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wnload\Train AHP\"/>
    </mc:Choice>
  </mc:AlternateContent>
  <xr:revisionPtr revIDLastSave="0" documentId="13_ncr:1_{14815C4B-0D1F-4B67-95A2-862E85DC2A57}" xr6:coauthVersionLast="47" xr6:coauthVersionMax="47" xr10:uidLastSave="{00000000-0000-0000-0000-000000000000}"/>
  <bookViews>
    <workbookView xWindow="-108" yWindow="-108" windowWidth="23256" windowHeight="14616" activeTab="4" xr2:uid="{00000000-000D-0000-FFFF-FFFF00000000}"/>
  </bookViews>
  <sheets>
    <sheet name="README" sheetId="1" r:id="rId1"/>
    <sheet name="Lists" sheetId="2" state="hidden" r:id="rId2"/>
    <sheet name="Filters" sheetId="4" r:id="rId3"/>
    <sheet name="Laptop_Data" sheetId="3" r:id="rId4"/>
    <sheet name="AHP_Setup" sheetId="5" r:id="rId5"/>
    <sheet name="AI_Suggestions" sheetId="6" r:id="rId6"/>
    <sheet name="Ranking" sheetId="7" r:id="rId7"/>
  </sheets>
  <definedNames>
    <definedName name="BATTERY_MAX">Ranking!$F$10</definedName>
    <definedName name="BATTERY_MIN">Ranking!$E$10</definedName>
    <definedName name="CPU_MAX">Ranking!$F$5</definedName>
    <definedName name="CPU_MIN">Ranking!$E$5</definedName>
    <definedName name="DURABILITY_MAX">Ranking!$F$11</definedName>
    <definedName name="DURABILITY_MIN">Ranking!$E$11</definedName>
    <definedName name="GPU_MAX">Ranking!$F$7</definedName>
    <definedName name="GPU_MIN">Ranking!$E$7</definedName>
    <definedName name="RAM_MAX">Ranking!$F$6</definedName>
    <definedName name="RAM_MIN">Ranking!$E$6</definedName>
    <definedName name="SCREEN_MAX">Ranking!$F$8</definedName>
    <definedName name="SCREEN_MIN">Ranking!$E$8</definedName>
    <definedName name="UPGRADE_MAX">Ranking!$F$12</definedName>
    <definedName name="UPGRADE_MIN">Ranking!$E$12</definedName>
    <definedName name="W_BATTERY">Ranking!$B$10</definedName>
    <definedName name="W_CPU">Ranking!$B$5</definedName>
    <definedName name="W_DURABILITY">Ranking!$B$11</definedName>
    <definedName name="W_GPU">Ranking!$B$7</definedName>
    <definedName name="W_RAM">Ranking!$B$6</definedName>
    <definedName name="W_SCREEN">Ranking!$B$8</definedName>
    <definedName name="W_UPGRADE">Ranking!$B$12</definedName>
    <definedName name="W_WEIGHT">Ranking!$B$9</definedName>
    <definedName name="WEIGHT_MAX">Ranking!$F$9</definedName>
    <definedName name="WEIGHT_MIN">Ranking!$E$9</definedName>
  </definedNames>
  <calcPr calcId="191029"/>
</workbook>
</file>

<file path=xl/calcChain.xml><?xml version="1.0" encoding="utf-8"?>
<calcChain xmlns="http://schemas.openxmlformats.org/spreadsheetml/2006/main">
  <c r="J30" i="5" l="1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38" i="3"/>
  <c r="AD39" i="3"/>
  <c r="AD40" i="3"/>
  <c r="AD41" i="3"/>
  <c r="AD42" i="3"/>
  <c r="AD43" i="3"/>
  <c r="AD44" i="3"/>
  <c r="AD45" i="3"/>
  <c r="AD46" i="3"/>
  <c r="AD47" i="3"/>
  <c r="AD48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" i="3"/>
  <c r="E12" i="6"/>
  <c r="E11" i="6"/>
  <c r="E10" i="6"/>
  <c r="E9" i="6"/>
  <c r="E8" i="6"/>
  <c r="E7" i="6"/>
  <c r="E6" i="6"/>
  <c r="E5" i="6"/>
  <c r="H11" i="5"/>
  <c r="G11" i="5"/>
  <c r="F11" i="5"/>
  <c r="E11" i="5"/>
  <c r="D11" i="5"/>
  <c r="C11" i="5"/>
  <c r="B11" i="5"/>
  <c r="G10" i="5"/>
  <c r="F10" i="5"/>
  <c r="E10" i="5"/>
  <c r="D10" i="5"/>
  <c r="C10" i="5"/>
  <c r="B10" i="5"/>
  <c r="F9" i="5"/>
  <c r="E9" i="5"/>
  <c r="D9" i="5"/>
  <c r="C9" i="5"/>
  <c r="B9" i="5"/>
  <c r="E8" i="5"/>
  <c r="D8" i="5"/>
  <c r="C8" i="5"/>
  <c r="B8" i="5"/>
  <c r="D7" i="5"/>
  <c r="C7" i="5"/>
  <c r="B7" i="5"/>
  <c r="C6" i="5"/>
  <c r="B6" i="5"/>
  <c r="B5" i="5"/>
  <c r="J4" i="5"/>
  <c r="AG1276" i="3"/>
  <c r="AF1276" i="3"/>
  <c r="AE1276" i="3"/>
  <c r="AG1275" i="3"/>
  <c r="AF1275" i="3"/>
  <c r="AE1275" i="3"/>
  <c r="AG1274" i="3"/>
  <c r="AF1274" i="3"/>
  <c r="AE1274" i="3"/>
  <c r="AG1273" i="3"/>
  <c r="AF1273" i="3"/>
  <c r="AE1273" i="3"/>
  <c r="AG1272" i="3"/>
  <c r="AF1272" i="3"/>
  <c r="AE1272" i="3"/>
  <c r="AG1271" i="3"/>
  <c r="AF1271" i="3"/>
  <c r="AE1271" i="3"/>
  <c r="AG1270" i="3"/>
  <c r="AF1270" i="3"/>
  <c r="AE1270" i="3"/>
  <c r="AG1269" i="3"/>
  <c r="AF1269" i="3"/>
  <c r="AE1269" i="3"/>
  <c r="AG1268" i="3"/>
  <c r="AF1268" i="3"/>
  <c r="AE1268" i="3"/>
  <c r="AG1267" i="3"/>
  <c r="AF1267" i="3"/>
  <c r="AE1267" i="3"/>
  <c r="AG1266" i="3"/>
  <c r="AF1266" i="3"/>
  <c r="AE1266" i="3"/>
  <c r="AG1265" i="3"/>
  <c r="AF1265" i="3"/>
  <c r="AE1265" i="3"/>
  <c r="AG1264" i="3"/>
  <c r="AF1264" i="3"/>
  <c r="AE1264" i="3"/>
  <c r="AG1263" i="3"/>
  <c r="AF1263" i="3"/>
  <c r="AE1263" i="3"/>
  <c r="AG1262" i="3"/>
  <c r="AF1262" i="3"/>
  <c r="AE1262" i="3"/>
  <c r="AG1261" i="3"/>
  <c r="AF1261" i="3"/>
  <c r="AE1261" i="3"/>
  <c r="AG1260" i="3"/>
  <c r="AF1260" i="3"/>
  <c r="AE1260" i="3"/>
  <c r="AG1259" i="3"/>
  <c r="AF1259" i="3"/>
  <c r="AE1259" i="3"/>
  <c r="AG1258" i="3"/>
  <c r="AF1258" i="3"/>
  <c r="AE1258" i="3"/>
  <c r="AG1257" i="3"/>
  <c r="AF1257" i="3"/>
  <c r="AE1257" i="3"/>
  <c r="AG1256" i="3"/>
  <c r="AF1256" i="3"/>
  <c r="AE1256" i="3"/>
  <c r="AG1255" i="3"/>
  <c r="AF1255" i="3"/>
  <c r="AE1255" i="3"/>
  <c r="AG1254" i="3"/>
  <c r="AF1254" i="3"/>
  <c r="AE1254" i="3"/>
  <c r="AG1253" i="3"/>
  <c r="AF1253" i="3"/>
  <c r="AE1253" i="3"/>
  <c r="AG1252" i="3"/>
  <c r="AF1252" i="3"/>
  <c r="AE1252" i="3"/>
  <c r="AG1251" i="3"/>
  <c r="AF1251" i="3"/>
  <c r="AE1251" i="3"/>
  <c r="AG1250" i="3"/>
  <c r="AF1250" i="3"/>
  <c r="AE1250" i="3"/>
  <c r="AG1249" i="3"/>
  <c r="AF1249" i="3"/>
  <c r="AE1249" i="3"/>
  <c r="AG1248" i="3"/>
  <c r="AF1248" i="3"/>
  <c r="AE1248" i="3"/>
  <c r="AG1247" i="3"/>
  <c r="AF1247" i="3"/>
  <c r="AE1247" i="3"/>
  <c r="AG1246" i="3"/>
  <c r="AF1246" i="3"/>
  <c r="AE1246" i="3"/>
  <c r="AG1245" i="3"/>
  <c r="AF1245" i="3"/>
  <c r="AE1245" i="3"/>
  <c r="AG1244" i="3"/>
  <c r="AF1244" i="3"/>
  <c r="AE1244" i="3"/>
  <c r="AG1243" i="3"/>
  <c r="AF1243" i="3"/>
  <c r="AE1243" i="3"/>
  <c r="AG1242" i="3"/>
  <c r="AF1242" i="3"/>
  <c r="AE1242" i="3"/>
  <c r="AG1241" i="3"/>
  <c r="AF1241" i="3"/>
  <c r="AE1241" i="3"/>
  <c r="AG1240" i="3"/>
  <c r="AF1240" i="3"/>
  <c r="AE1240" i="3"/>
  <c r="AG1239" i="3"/>
  <c r="AF1239" i="3"/>
  <c r="AE1239" i="3"/>
  <c r="AG1238" i="3"/>
  <c r="AF1238" i="3"/>
  <c r="AE1238" i="3"/>
  <c r="AG1237" i="3"/>
  <c r="AF1237" i="3"/>
  <c r="AE1237" i="3"/>
  <c r="AG1236" i="3"/>
  <c r="AF1236" i="3"/>
  <c r="AE1236" i="3"/>
  <c r="AG1235" i="3"/>
  <c r="AF1235" i="3"/>
  <c r="AE1235" i="3"/>
  <c r="AG1234" i="3"/>
  <c r="AF1234" i="3"/>
  <c r="AE1234" i="3"/>
  <c r="AG1233" i="3"/>
  <c r="AF1233" i="3"/>
  <c r="AE1233" i="3"/>
  <c r="AG1232" i="3"/>
  <c r="AF1232" i="3"/>
  <c r="AE1232" i="3"/>
  <c r="AG1231" i="3"/>
  <c r="AF1231" i="3"/>
  <c r="AE1231" i="3"/>
  <c r="AG1230" i="3"/>
  <c r="AF1230" i="3"/>
  <c r="AE1230" i="3"/>
  <c r="AG1229" i="3"/>
  <c r="AF1229" i="3"/>
  <c r="AE1229" i="3"/>
  <c r="AG1228" i="3"/>
  <c r="AF1228" i="3"/>
  <c r="AE1228" i="3"/>
  <c r="AG1227" i="3"/>
  <c r="AF1227" i="3"/>
  <c r="AE1227" i="3"/>
  <c r="AG1226" i="3"/>
  <c r="AF1226" i="3"/>
  <c r="AE1226" i="3"/>
  <c r="AG1225" i="3"/>
  <c r="AF1225" i="3"/>
  <c r="AE1225" i="3"/>
  <c r="AG1224" i="3"/>
  <c r="AF1224" i="3"/>
  <c r="AE1224" i="3"/>
  <c r="AG1223" i="3"/>
  <c r="AF1223" i="3"/>
  <c r="AE1223" i="3"/>
  <c r="AG1222" i="3"/>
  <c r="AF1222" i="3"/>
  <c r="AE1222" i="3"/>
  <c r="AG1221" i="3"/>
  <c r="AF1221" i="3"/>
  <c r="AE1221" i="3"/>
  <c r="AG1220" i="3"/>
  <c r="AF1220" i="3"/>
  <c r="AE1220" i="3"/>
  <c r="AG1219" i="3"/>
  <c r="AF1219" i="3"/>
  <c r="AE1219" i="3"/>
  <c r="AG1218" i="3"/>
  <c r="AF1218" i="3"/>
  <c r="AE1218" i="3"/>
  <c r="AG1217" i="3"/>
  <c r="AF1217" i="3"/>
  <c r="AE1217" i="3"/>
  <c r="AG1216" i="3"/>
  <c r="AF1216" i="3"/>
  <c r="AE1216" i="3"/>
  <c r="AG1215" i="3"/>
  <c r="AF1215" i="3"/>
  <c r="AE1215" i="3"/>
  <c r="AG1214" i="3"/>
  <c r="AF1214" i="3"/>
  <c r="AE1214" i="3"/>
  <c r="AG1213" i="3"/>
  <c r="AF1213" i="3"/>
  <c r="AE1213" i="3"/>
  <c r="AG1212" i="3"/>
  <c r="AF1212" i="3"/>
  <c r="AE1212" i="3"/>
  <c r="AG1211" i="3"/>
  <c r="AF1211" i="3"/>
  <c r="AE1211" i="3"/>
  <c r="AG1210" i="3"/>
  <c r="AF1210" i="3"/>
  <c r="AE1210" i="3"/>
  <c r="AG1209" i="3"/>
  <c r="AF1209" i="3"/>
  <c r="AE1209" i="3"/>
  <c r="AG1208" i="3"/>
  <c r="AF1208" i="3"/>
  <c r="AE1208" i="3"/>
  <c r="AG1207" i="3"/>
  <c r="AF1207" i="3"/>
  <c r="AE1207" i="3"/>
  <c r="AG1206" i="3"/>
  <c r="AF1206" i="3"/>
  <c r="AE1206" i="3"/>
  <c r="AG1205" i="3"/>
  <c r="AF1205" i="3"/>
  <c r="AE1205" i="3"/>
  <c r="AG1204" i="3"/>
  <c r="AF1204" i="3"/>
  <c r="AE1204" i="3"/>
  <c r="AG1203" i="3"/>
  <c r="AF1203" i="3"/>
  <c r="AE1203" i="3"/>
  <c r="AG1202" i="3"/>
  <c r="AF1202" i="3"/>
  <c r="AE1202" i="3"/>
  <c r="AG1201" i="3"/>
  <c r="AF1201" i="3"/>
  <c r="AE1201" i="3"/>
  <c r="AG1200" i="3"/>
  <c r="AF1200" i="3"/>
  <c r="AE1200" i="3"/>
  <c r="AG1199" i="3"/>
  <c r="AF1199" i="3"/>
  <c r="AE1199" i="3"/>
  <c r="AG1198" i="3"/>
  <c r="AF1198" i="3"/>
  <c r="AE1198" i="3"/>
  <c r="AG1197" i="3"/>
  <c r="AF1197" i="3"/>
  <c r="AE1197" i="3"/>
  <c r="AG1196" i="3"/>
  <c r="AF1196" i="3"/>
  <c r="AE1196" i="3"/>
  <c r="AG1195" i="3"/>
  <c r="AF1195" i="3"/>
  <c r="AE1195" i="3"/>
  <c r="AG1194" i="3"/>
  <c r="AF1194" i="3"/>
  <c r="AE1194" i="3"/>
  <c r="AG1193" i="3"/>
  <c r="AF1193" i="3"/>
  <c r="AE1193" i="3"/>
  <c r="AG1192" i="3"/>
  <c r="AF1192" i="3"/>
  <c r="AE1192" i="3"/>
  <c r="AG1191" i="3"/>
  <c r="AF1191" i="3"/>
  <c r="AE1191" i="3"/>
  <c r="AG1190" i="3"/>
  <c r="AF1190" i="3"/>
  <c r="AE1190" i="3"/>
  <c r="AG1189" i="3"/>
  <c r="AF1189" i="3"/>
  <c r="AE1189" i="3"/>
  <c r="AG1188" i="3"/>
  <c r="AF1188" i="3"/>
  <c r="AE1188" i="3"/>
  <c r="AG1187" i="3"/>
  <c r="AF1187" i="3"/>
  <c r="AE1187" i="3"/>
  <c r="AG1186" i="3"/>
  <c r="AF1186" i="3"/>
  <c r="AE1186" i="3"/>
  <c r="AG1185" i="3"/>
  <c r="AF1185" i="3"/>
  <c r="AE1185" i="3"/>
  <c r="AG1184" i="3"/>
  <c r="AF1184" i="3"/>
  <c r="AE1184" i="3"/>
  <c r="AG1183" i="3"/>
  <c r="AF1183" i="3"/>
  <c r="AE1183" i="3"/>
  <c r="AG1182" i="3"/>
  <c r="AF1182" i="3"/>
  <c r="AE1182" i="3"/>
  <c r="AG1181" i="3"/>
  <c r="AF1181" i="3"/>
  <c r="AE1181" i="3"/>
  <c r="AG1180" i="3"/>
  <c r="AF1180" i="3"/>
  <c r="AE1180" i="3"/>
  <c r="AG1179" i="3"/>
  <c r="AF1179" i="3"/>
  <c r="AE1179" i="3"/>
  <c r="AG1178" i="3"/>
  <c r="AF1178" i="3"/>
  <c r="AE1178" i="3"/>
  <c r="AG1177" i="3"/>
  <c r="AF1177" i="3"/>
  <c r="AE1177" i="3"/>
  <c r="AG1176" i="3"/>
  <c r="AF1176" i="3"/>
  <c r="AE1176" i="3"/>
  <c r="AG1175" i="3"/>
  <c r="AF1175" i="3"/>
  <c r="AE1175" i="3"/>
  <c r="AG1174" i="3"/>
  <c r="AF1174" i="3"/>
  <c r="AE1174" i="3"/>
  <c r="AG1173" i="3"/>
  <c r="AF1173" i="3"/>
  <c r="AE1173" i="3"/>
  <c r="AG1172" i="3"/>
  <c r="AF1172" i="3"/>
  <c r="AE1172" i="3"/>
  <c r="AG1171" i="3"/>
  <c r="AF1171" i="3"/>
  <c r="AE1171" i="3"/>
  <c r="AG1170" i="3"/>
  <c r="AF1170" i="3"/>
  <c r="AE1170" i="3"/>
  <c r="AG1169" i="3"/>
  <c r="AF1169" i="3"/>
  <c r="AE1169" i="3"/>
  <c r="AG1168" i="3"/>
  <c r="AF1168" i="3"/>
  <c r="AE1168" i="3"/>
  <c r="AG1167" i="3"/>
  <c r="AF1167" i="3"/>
  <c r="AE1167" i="3"/>
  <c r="AG1166" i="3"/>
  <c r="AF1166" i="3"/>
  <c r="AE1166" i="3"/>
  <c r="AG1165" i="3"/>
  <c r="AF1165" i="3"/>
  <c r="AE1165" i="3"/>
  <c r="AG1164" i="3"/>
  <c r="AF1164" i="3"/>
  <c r="AE1164" i="3"/>
  <c r="AG1163" i="3"/>
  <c r="AF1163" i="3"/>
  <c r="AE1163" i="3"/>
  <c r="AG1162" i="3"/>
  <c r="AF1162" i="3"/>
  <c r="AE1162" i="3"/>
  <c r="AG1161" i="3"/>
  <c r="AF1161" i="3"/>
  <c r="AE1161" i="3"/>
  <c r="AG1160" i="3"/>
  <c r="AF1160" i="3"/>
  <c r="AE1160" i="3"/>
  <c r="AG1159" i="3"/>
  <c r="AF1159" i="3"/>
  <c r="AE1159" i="3"/>
  <c r="AG1158" i="3"/>
  <c r="AF1158" i="3"/>
  <c r="AE1158" i="3"/>
  <c r="AG1157" i="3"/>
  <c r="AF1157" i="3"/>
  <c r="AE1157" i="3"/>
  <c r="AG1156" i="3"/>
  <c r="AF1156" i="3"/>
  <c r="AE1156" i="3"/>
  <c r="AG1155" i="3"/>
  <c r="AF1155" i="3"/>
  <c r="AE1155" i="3"/>
  <c r="AG1154" i="3"/>
  <c r="AF1154" i="3"/>
  <c r="AE1154" i="3"/>
  <c r="AG1153" i="3"/>
  <c r="AF1153" i="3"/>
  <c r="AE1153" i="3"/>
  <c r="AG1152" i="3"/>
  <c r="AF1152" i="3"/>
  <c r="AE1152" i="3"/>
  <c r="AG1151" i="3"/>
  <c r="AF1151" i="3"/>
  <c r="AE1151" i="3"/>
  <c r="AG1150" i="3"/>
  <c r="AF1150" i="3"/>
  <c r="AE1150" i="3"/>
  <c r="AG1149" i="3"/>
  <c r="AF1149" i="3"/>
  <c r="AE1149" i="3"/>
  <c r="AG1148" i="3"/>
  <c r="AF1148" i="3"/>
  <c r="AE1148" i="3"/>
  <c r="AG1147" i="3"/>
  <c r="AF1147" i="3"/>
  <c r="AE1147" i="3"/>
  <c r="AG1146" i="3"/>
  <c r="AF1146" i="3"/>
  <c r="AE1146" i="3"/>
  <c r="AG1145" i="3"/>
  <c r="AF1145" i="3"/>
  <c r="AE1145" i="3"/>
  <c r="AG1144" i="3"/>
  <c r="AF1144" i="3"/>
  <c r="AE1144" i="3"/>
  <c r="AG1143" i="3"/>
  <c r="AF1143" i="3"/>
  <c r="AE1143" i="3"/>
  <c r="AG1142" i="3"/>
  <c r="AF1142" i="3"/>
  <c r="AE1142" i="3"/>
  <c r="AG1141" i="3"/>
  <c r="AF1141" i="3"/>
  <c r="AE1141" i="3"/>
  <c r="AG1140" i="3"/>
  <c r="AF1140" i="3"/>
  <c r="AE1140" i="3"/>
  <c r="AG1139" i="3"/>
  <c r="AF1139" i="3"/>
  <c r="AE1139" i="3"/>
  <c r="AG1138" i="3"/>
  <c r="AF1138" i="3"/>
  <c r="AE1138" i="3"/>
  <c r="AG1137" i="3"/>
  <c r="AF1137" i="3"/>
  <c r="AE1137" i="3"/>
  <c r="AG1136" i="3"/>
  <c r="AF1136" i="3"/>
  <c r="AE1136" i="3"/>
  <c r="AG1135" i="3"/>
  <c r="AF1135" i="3"/>
  <c r="AE1135" i="3"/>
  <c r="AG1134" i="3"/>
  <c r="AF1134" i="3"/>
  <c r="AE1134" i="3"/>
  <c r="AG1133" i="3"/>
  <c r="AF1133" i="3"/>
  <c r="AE1133" i="3"/>
  <c r="AG1132" i="3"/>
  <c r="AF1132" i="3"/>
  <c r="AE1132" i="3"/>
  <c r="AG1131" i="3"/>
  <c r="AF1131" i="3"/>
  <c r="AE1131" i="3"/>
  <c r="AG1130" i="3"/>
  <c r="AF1130" i="3"/>
  <c r="AE1130" i="3"/>
  <c r="AG1129" i="3"/>
  <c r="AF1129" i="3"/>
  <c r="AE1129" i="3"/>
  <c r="AG1128" i="3"/>
  <c r="AF1128" i="3"/>
  <c r="AE1128" i="3"/>
  <c r="AG1127" i="3"/>
  <c r="AF1127" i="3"/>
  <c r="AE1127" i="3"/>
  <c r="AG1126" i="3"/>
  <c r="AF1126" i="3"/>
  <c r="AE1126" i="3"/>
  <c r="AG1125" i="3"/>
  <c r="AF1125" i="3"/>
  <c r="AE1125" i="3"/>
  <c r="AG1124" i="3"/>
  <c r="AF1124" i="3"/>
  <c r="AE1124" i="3"/>
  <c r="AG1123" i="3"/>
  <c r="AF1123" i="3"/>
  <c r="AE1123" i="3"/>
  <c r="AG1122" i="3"/>
  <c r="AF1122" i="3"/>
  <c r="AE1122" i="3"/>
  <c r="AG1121" i="3"/>
  <c r="AF1121" i="3"/>
  <c r="AE1121" i="3"/>
  <c r="AG1120" i="3"/>
  <c r="AF1120" i="3"/>
  <c r="AE1120" i="3"/>
  <c r="AG1119" i="3"/>
  <c r="AF1119" i="3"/>
  <c r="AE1119" i="3"/>
  <c r="AG1118" i="3"/>
  <c r="AF1118" i="3"/>
  <c r="AE1118" i="3"/>
  <c r="AG1117" i="3"/>
  <c r="AF1117" i="3"/>
  <c r="AE1117" i="3"/>
  <c r="AG1116" i="3"/>
  <c r="AF1116" i="3"/>
  <c r="AE1116" i="3"/>
  <c r="AG1115" i="3"/>
  <c r="AF1115" i="3"/>
  <c r="AE1115" i="3"/>
  <c r="AG1114" i="3"/>
  <c r="AF1114" i="3"/>
  <c r="AE1114" i="3"/>
  <c r="AG1113" i="3"/>
  <c r="AF1113" i="3"/>
  <c r="AE1113" i="3"/>
  <c r="AG1112" i="3"/>
  <c r="AF1112" i="3"/>
  <c r="AE1112" i="3"/>
  <c r="AG1111" i="3"/>
  <c r="AF1111" i="3"/>
  <c r="AE1111" i="3"/>
  <c r="AG1110" i="3"/>
  <c r="AF1110" i="3"/>
  <c r="AE1110" i="3"/>
  <c r="AG1109" i="3"/>
  <c r="AF1109" i="3"/>
  <c r="AE1109" i="3"/>
  <c r="AG1108" i="3"/>
  <c r="AF1108" i="3"/>
  <c r="AE1108" i="3"/>
  <c r="AG1107" i="3"/>
  <c r="AF1107" i="3"/>
  <c r="AE1107" i="3"/>
  <c r="AG1106" i="3"/>
  <c r="AF1106" i="3"/>
  <c r="AE1106" i="3"/>
  <c r="AG1105" i="3"/>
  <c r="AF1105" i="3"/>
  <c r="AE1105" i="3"/>
  <c r="AG1104" i="3"/>
  <c r="AF1104" i="3"/>
  <c r="AE1104" i="3"/>
  <c r="AG1103" i="3"/>
  <c r="AF1103" i="3"/>
  <c r="AE1103" i="3"/>
  <c r="AG1102" i="3"/>
  <c r="AF1102" i="3"/>
  <c r="AE1102" i="3"/>
  <c r="AG1101" i="3"/>
  <c r="AF1101" i="3"/>
  <c r="AE1101" i="3"/>
  <c r="AG1100" i="3"/>
  <c r="AF1100" i="3"/>
  <c r="AE1100" i="3"/>
  <c r="AG1099" i="3"/>
  <c r="AF1099" i="3"/>
  <c r="AE1099" i="3"/>
  <c r="AG1098" i="3"/>
  <c r="AF1098" i="3"/>
  <c r="AE1098" i="3"/>
  <c r="AG1097" i="3"/>
  <c r="AF1097" i="3"/>
  <c r="AE1097" i="3"/>
  <c r="AG1096" i="3"/>
  <c r="AF1096" i="3"/>
  <c r="AE1096" i="3"/>
  <c r="AG1095" i="3"/>
  <c r="AF1095" i="3"/>
  <c r="AE1095" i="3"/>
  <c r="AG1094" i="3"/>
  <c r="AF1094" i="3"/>
  <c r="AE1094" i="3"/>
  <c r="AG1093" i="3"/>
  <c r="AF1093" i="3"/>
  <c r="AE1093" i="3"/>
  <c r="AG1092" i="3"/>
  <c r="AF1092" i="3"/>
  <c r="AE1092" i="3"/>
  <c r="AG1091" i="3"/>
  <c r="AF1091" i="3"/>
  <c r="AE1091" i="3"/>
  <c r="AG1090" i="3"/>
  <c r="AF1090" i="3"/>
  <c r="AE1090" i="3"/>
  <c r="AG1089" i="3"/>
  <c r="AF1089" i="3"/>
  <c r="AE1089" i="3"/>
  <c r="AG1088" i="3"/>
  <c r="AF1088" i="3"/>
  <c r="AE1088" i="3"/>
  <c r="AG1087" i="3"/>
  <c r="AF1087" i="3"/>
  <c r="AE1087" i="3"/>
  <c r="AG1086" i="3"/>
  <c r="AF1086" i="3"/>
  <c r="AE1086" i="3"/>
  <c r="AG1085" i="3"/>
  <c r="AF1085" i="3"/>
  <c r="AE1085" i="3"/>
  <c r="AG1084" i="3"/>
  <c r="AF1084" i="3"/>
  <c r="AE1084" i="3"/>
  <c r="AG1083" i="3"/>
  <c r="AF1083" i="3"/>
  <c r="AE1083" i="3"/>
  <c r="AG1082" i="3"/>
  <c r="AF1082" i="3"/>
  <c r="AE1082" i="3"/>
  <c r="AG1081" i="3"/>
  <c r="AF1081" i="3"/>
  <c r="AE1081" i="3"/>
  <c r="AG1080" i="3"/>
  <c r="AF1080" i="3"/>
  <c r="AE1080" i="3"/>
  <c r="AG1079" i="3"/>
  <c r="AF1079" i="3"/>
  <c r="AE1079" i="3"/>
  <c r="AG1078" i="3"/>
  <c r="AF1078" i="3"/>
  <c r="AE1078" i="3"/>
  <c r="AG1077" i="3"/>
  <c r="AF1077" i="3"/>
  <c r="AE1077" i="3"/>
  <c r="AG1076" i="3"/>
  <c r="AF1076" i="3"/>
  <c r="AE1076" i="3"/>
  <c r="AG1075" i="3"/>
  <c r="AF1075" i="3"/>
  <c r="AE1075" i="3"/>
  <c r="AG1074" i="3"/>
  <c r="AF1074" i="3"/>
  <c r="AE1074" i="3"/>
  <c r="AG1073" i="3"/>
  <c r="AF1073" i="3"/>
  <c r="AE1073" i="3"/>
  <c r="AG1072" i="3"/>
  <c r="AF1072" i="3"/>
  <c r="AE1072" i="3"/>
  <c r="AG1071" i="3"/>
  <c r="AF1071" i="3"/>
  <c r="AE1071" i="3"/>
  <c r="AG1070" i="3"/>
  <c r="AF1070" i="3"/>
  <c r="AE1070" i="3"/>
  <c r="AG1069" i="3"/>
  <c r="AF1069" i="3"/>
  <c r="AE1069" i="3"/>
  <c r="AG1068" i="3"/>
  <c r="AF1068" i="3"/>
  <c r="AE1068" i="3"/>
  <c r="AG1067" i="3"/>
  <c r="AF1067" i="3"/>
  <c r="AE1067" i="3"/>
  <c r="AG1066" i="3"/>
  <c r="AF1066" i="3"/>
  <c r="AE1066" i="3"/>
  <c r="AG1065" i="3"/>
  <c r="AF1065" i="3"/>
  <c r="AE1065" i="3"/>
  <c r="AG1064" i="3"/>
  <c r="AF1064" i="3"/>
  <c r="AE1064" i="3"/>
  <c r="AG1063" i="3"/>
  <c r="AF1063" i="3"/>
  <c r="AE1063" i="3"/>
  <c r="AG1062" i="3"/>
  <c r="AF1062" i="3"/>
  <c r="AE1062" i="3"/>
  <c r="AG1061" i="3"/>
  <c r="AF1061" i="3"/>
  <c r="AE1061" i="3"/>
  <c r="AG1060" i="3"/>
  <c r="AF1060" i="3"/>
  <c r="AE1060" i="3"/>
  <c r="AG1059" i="3"/>
  <c r="AF1059" i="3"/>
  <c r="AE1059" i="3"/>
  <c r="AG1058" i="3"/>
  <c r="AF1058" i="3"/>
  <c r="AE1058" i="3"/>
  <c r="AG1057" i="3"/>
  <c r="AF1057" i="3"/>
  <c r="AE1057" i="3"/>
  <c r="AG1056" i="3"/>
  <c r="AF1056" i="3"/>
  <c r="AE1056" i="3"/>
  <c r="AG1055" i="3"/>
  <c r="AF1055" i="3"/>
  <c r="AE1055" i="3"/>
  <c r="AG1054" i="3"/>
  <c r="AF1054" i="3"/>
  <c r="AE1054" i="3"/>
  <c r="AG1053" i="3"/>
  <c r="AF1053" i="3"/>
  <c r="AE1053" i="3"/>
  <c r="AG1052" i="3"/>
  <c r="AF1052" i="3"/>
  <c r="AE1052" i="3"/>
  <c r="AG1051" i="3"/>
  <c r="AF1051" i="3"/>
  <c r="AE1051" i="3"/>
  <c r="AG1050" i="3"/>
  <c r="AF1050" i="3"/>
  <c r="AE1050" i="3"/>
  <c r="AG1049" i="3"/>
  <c r="AF1049" i="3"/>
  <c r="AE1049" i="3"/>
  <c r="AG1048" i="3"/>
  <c r="AF1048" i="3"/>
  <c r="AE1048" i="3"/>
  <c r="AG1047" i="3"/>
  <c r="AF1047" i="3"/>
  <c r="AE1047" i="3"/>
  <c r="AG1046" i="3"/>
  <c r="AF1046" i="3"/>
  <c r="AE1046" i="3"/>
  <c r="AG1045" i="3"/>
  <c r="AF1045" i="3"/>
  <c r="AE1045" i="3"/>
  <c r="AG1044" i="3"/>
  <c r="AF1044" i="3"/>
  <c r="AE1044" i="3"/>
  <c r="AG1043" i="3"/>
  <c r="AF1043" i="3"/>
  <c r="AE1043" i="3"/>
  <c r="AG1042" i="3"/>
  <c r="AF1042" i="3"/>
  <c r="AE1042" i="3"/>
  <c r="AG1041" i="3"/>
  <c r="AF1041" i="3"/>
  <c r="AE1041" i="3"/>
  <c r="AG1040" i="3"/>
  <c r="AF1040" i="3"/>
  <c r="AE1040" i="3"/>
  <c r="AG1039" i="3"/>
  <c r="AF1039" i="3"/>
  <c r="AE1039" i="3"/>
  <c r="AG1038" i="3"/>
  <c r="AF1038" i="3"/>
  <c r="AE1038" i="3"/>
  <c r="AG1037" i="3"/>
  <c r="AF1037" i="3"/>
  <c r="AE1037" i="3"/>
  <c r="AG1036" i="3"/>
  <c r="AF1036" i="3"/>
  <c r="AE1036" i="3"/>
  <c r="AG1035" i="3"/>
  <c r="AF1035" i="3"/>
  <c r="AE1035" i="3"/>
  <c r="AG1034" i="3"/>
  <c r="AF1034" i="3"/>
  <c r="AE1034" i="3"/>
  <c r="AG1033" i="3"/>
  <c r="AF1033" i="3"/>
  <c r="AE1033" i="3"/>
  <c r="AG1032" i="3"/>
  <c r="AF1032" i="3"/>
  <c r="AE1032" i="3"/>
  <c r="AG1031" i="3"/>
  <c r="AF1031" i="3"/>
  <c r="AE1031" i="3"/>
  <c r="AG1030" i="3"/>
  <c r="AF1030" i="3"/>
  <c r="AE1030" i="3"/>
  <c r="AG1029" i="3"/>
  <c r="AF1029" i="3"/>
  <c r="AE1029" i="3"/>
  <c r="AG1028" i="3"/>
  <c r="AF1028" i="3"/>
  <c r="AE1028" i="3"/>
  <c r="AG1027" i="3"/>
  <c r="AF1027" i="3"/>
  <c r="AE1027" i="3"/>
  <c r="AG1026" i="3"/>
  <c r="AF1026" i="3"/>
  <c r="AE1026" i="3"/>
  <c r="AG1025" i="3"/>
  <c r="AF1025" i="3"/>
  <c r="AE1025" i="3"/>
  <c r="AG1024" i="3"/>
  <c r="AF1024" i="3"/>
  <c r="AE1024" i="3"/>
  <c r="AG1023" i="3"/>
  <c r="AF1023" i="3"/>
  <c r="AE1023" i="3"/>
  <c r="AG1022" i="3"/>
  <c r="AF1022" i="3"/>
  <c r="AE1022" i="3"/>
  <c r="AG1021" i="3"/>
  <c r="AF1021" i="3"/>
  <c r="AE1021" i="3"/>
  <c r="AG1020" i="3"/>
  <c r="AF1020" i="3"/>
  <c r="AE1020" i="3"/>
  <c r="AG1019" i="3"/>
  <c r="AF1019" i="3"/>
  <c r="AE1019" i="3"/>
  <c r="AG1018" i="3"/>
  <c r="AF1018" i="3"/>
  <c r="AE1018" i="3"/>
  <c r="AG1017" i="3"/>
  <c r="AF1017" i="3"/>
  <c r="AE1017" i="3"/>
  <c r="AG1016" i="3"/>
  <c r="AF1016" i="3"/>
  <c r="AE1016" i="3"/>
  <c r="AG1015" i="3"/>
  <c r="AF1015" i="3"/>
  <c r="AE1015" i="3"/>
  <c r="AG1014" i="3"/>
  <c r="AF1014" i="3"/>
  <c r="AE1014" i="3"/>
  <c r="AG1013" i="3"/>
  <c r="AF1013" i="3"/>
  <c r="AE1013" i="3"/>
  <c r="AG1012" i="3"/>
  <c r="AF1012" i="3"/>
  <c r="AE1012" i="3"/>
  <c r="AG1011" i="3"/>
  <c r="AF1011" i="3"/>
  <c r="AE1011" i="3"/>
  <c r="AG1010" i="3"/>
  <c r="AF1010" i="3"/>
  <c r="AE1010" i="3"/>
  <c r="AG1009" i="3"/>
  <c r="AF1009" i="3"/>
  <c r="AE1009" i="3"/>
  <c r="AG1008" i="3"/>
  <c r="AF1008" i="3"/>
  <c r="AE1008" i="3"/>
  <c r="AG1007" i="3"/>
  <c r="AF1007" i="3"/>
  <c r="AE1007" i="3"/>
  <c r="AG1006" i="3"/>
  <c r="AF1006" i="3"/>
  <c r="AE1006" i="3"/>
  <c r="AG1005" i="3"/>
  <c r="AF1005" i="3"/>
  <c r="AE1005" i="3"/>
  <c r="AG1004" i="3"/>
  <c r="AF1004" i="3"/>
  <c r="AE1004" i="3"/>
  <c r="AG1003" i="3"/>
  <c r="AF1003" i="3"/>
  <c r="AE1003" i="3"/>
  <c r="AG1002" i="3"/>
  <c r="AF1002" i="3"/>
  <c r="AE1002" i="3"/>
  <c r="AG1001" i="3"/>
  <c r="AF1001" i="3"/>
  <c r="AE1001" i="3"/>
  <c r="AG1000" i="3"/>
  <c r="AF1000" i="3"/>
  <c r="AE1000" i="3"/>
  <c r="AG999" i="3"/>
  <c r="AF999" i="3"/>
  <c r="AE999" i="3"/>
  <c r="AG998" i="3"/>
  <c r="AF998" i="3"/>
  <c r="AE998" i="3"/>
  <c r="AG997" i="3"/>
  <c r="AF997" i="3"/>
  <c r="AE997" i="3"/>
  <c r="AG996" i="3"/>
  <c r="AF996" i="3"/>
  <c r="AE996" i="3"/>
  <c r="AG995" i="3"/>
  <c r="AF995" i="3"/>
  <c r="AE995" i="3"/>
  <c r="AG994" i="3"/>
  <c r="AF994" i="3"/>
  <c r="AE994" i="3"/>
  <c r="AG993" i="3"/>
  <c r="AF993" i="3"/>
  <c r="AE993" i="3"/>
  <c r="AG992" i="3"/>
  <c r="AF992" i="3"/>
  <c r="AE992" i="3"/>
  <c r="AG991" i="3"/>
  <c r="AF991" i="3"/>
  <c r="AE991" i="3"/>
  <c r="AG990" i="3"/>
  <c r="AF990" i="3"/>
  <c r="AE990" i="3"/>
  <c r="AG989" i="3"/>
  <c r="AF989" i="3"/>
  <c r="AE989" i="3"/>
  <c r="AG988" i="3"/>
  <c r="AF988" i="3"/>
  <c r="AE988" i="3"/>
  <c r="AG987" i="3"/>
  <c r="AF987" i="3"/>
  <c r="AE987" i="3"/>
  <c r="AG986" i="3"/>
  <c r="AF986" i="3"/>
  <c r="AE986" i="3"/>
  <c r="AG985" i="3"/>
  <c r="AF985" i="3"/>
  <c r="AE985" i="3"/>
  <c r="AG984" i="3"/>
  <c r="AF984" i="3"/>
  <c r="AE984" i="3"/>
  <c r="AG983" i="3"/>
  <c r="AF983" i="3"/>
  <c r="AE983" i="3"/>
  <c r="AG982" i="3"/>
  <c r="AF982" i="3"/>
  <c r="AE982" i="3"/>
  <c r="AG981" i="3"/>
  <c r="AF981" i="3"/>
  <c r="AE981" i="3"/>
  <c r="AG980" i="3"/>
  <c r="AF980" i="3"/>
  <c r="AE980" i="3"/>
  <c r="AG979" i="3"/>
  <c r="AF979" i="3"/>
  <c r="AE979" i="3"/>
  <c r="AG978" i="3"/>
  <c r="AF978" i="3"/>
  <c r="AE978" i="3"/>
  <c r="AG977" i="3"/>
  <c r="AF977" i="3"/>
  <c r="AE977" i="3"/>
  <c r="AG976" i="3"/>
  <c r="AF976" i="3"/>
  <c r="AE976" i="3"/>
  <c r="AG975" i="3"/>
  <c r="AF975" i="3"/>
  <c r="AE975" i="3"/>
  <c r="AG974" i="3"/>
  <c r="AF974" i="3"/>
  <c r="AE974" i="3"/>
  <c r="AG973" i="3"/>
  <c r="AF973" i="3"/>
  <c r="AE973" i="3"/>
  <c r="AG972" i="3"/>
  <c r="AF972" i="3"/>
  <c r="AE972" i="3"/>
  <c r="AG971" i="3"/>
  <c r="AF971" i="3"/>
  <c r="AE971" i="3"/>
  <c r="AG970" i="3"/>
  <c r="AF970" i="3"/>
  <c r="AE970" i="3"/>
  <c r="AG969" i="3"/>
  <c r="AF969" i="3"/>
  <c r="AE969" i="3"/>
  <c r="AG968" i="3"/>
  <c r="AF968" i="3"/>
  <c r="AE968" i="3"/>
  <c r="AG967" i="3"/>
  <c r="AF967" i="3"/>
  <c r="AE967" i="3"/>
  <c r="AG966" i="3"/>
  <c r="AF966" i="3"/>
  <c r="AE966" i="3"/>
  <c r="AG965" i="3"/>
  <c r="AF965" i="3"/>
  <c r="AE965" i="3"/>
  <c r="AG964" i="3"/>
  <c r="AF964" i="3"/>
  <c r="AE964" i="3"/>
  <c r="AG963" i="3"/>
  <c r="AF963" i="3"/>
  <c r="AE963" i="3"/>
  <c r="AG962" i="3"/>
  <c r="AF962" i="3"/>
  <c r="AE962" i="3"/>
  <c r="AG961" i="3"/>
  <c r="AF961" i="3"/>
  <c r="AE961" i="3"/>
  <c r="AG960" i="3"/>
  <c r="AF960" i="3"/>
  <c r="AE960" i="3"/>
  <c r="AG959" i="3"/>
  <c r="AF959" i="3"/>
  <c r="AE959" i="3"/>
  <c r="AG958" i="3"/>
  <c r="AF958" i="3"/>
  <c r="AE958" i="3"/>
  <c r="AG957" i="3"/>
  <c r="AF957" i="3"/>
  <c r="AE957" i="3"/>
  <c r="AG956" i="3"/>
  <c r="AF956" i="3"/>
  <c r="AE956" i="3"/>
  <c r="AG955" i="3"/>
  <c r="AF955" i="3"/>
  <c r="AE955" i="3"/>
  <c r="AG954" i="3"/>
  <c r="AF954" i="3"/>
  <c r="AE954" i="3"/>
  <c r="AG953" i="3"/>
  <c r="AF953" i="3"/>
  <c r="AE953" i="3"/>
  <c r="AG952" i="3"/>
  <c r="AF952" i="3"/>
  <c r="AE952" i="3"/>
  <c r="AG951" i="3"/>
  <c r="AF951" i="3"/>
  <c r="AE951" i="3"/>
  <c r="AG950" i="3"/>
  <c r="AF950" i="3"/>
  <c r="AE950" i="3"/>
  <c r="AG949" i="3"/>
  <c r="AF949" i="3"/>
  <c r="AE949" i="3"/>
  <c r="AG948" i="3"/>
  <c r="AF948" i="3"/>
  <c r="AE948" i="3"/>
  <c r="AG947" i="3"/>
  <c r="AF947" i="3"/>
  <c r="AE947" i="3"/>
  <c r="AG946" i="3"/>
  <c r="AF946" i="3"/>
  <c r="AE946" i="3"/>
  <c r="AG945" i="3"/>
  <c r="AF945" i="3"/>
  <c r="AE945" i="3"/>
  <c r="AG944" i="3"/>
  <c r="AF944" i="3"/>
  <c r="AE944" i="3"/>
  <c r="AG943" i="3"/>
  <c r="AF943" i="3"/>
  <c r="AE943" i="3"/>
  <c r="AG942" i="3"/>
  <c r="AF942" i="3"/>
  <c r="AE942" i="3"/>
  <c r="AG941" i="3"/>
  <c r="AF941" i="3"/>
  <c r="AE941" i="3"/>
  <c r="AG940" i="3"/>
  <c r="AF940" i="3"/>
  <c r="AE940" i="3"/>
  <c r="AG939" i="3"/>
  <c r="AF939" i="3"/>
  <c r="AE939" i="3"/>
  <c r="AG938" i="3"/>
  <c r="AF938" i="3"/>
  <c r="AE938" i="3"/>
  <c r="AG937" i="3"/>
  <c r="AF937" i="3"/>
  <c r="AE937" i="3"/>
  <c r="AG936" i="3"/>
  <c r="AF936" i="3"/>
  <c r="AE936" i="3"/>
  <c r="AG935" i="3"/>
  <c r="AF935" i="3"/>
  <c r="AE935" i="3"/>
  <c r="AG934" i="3"/>
  <c r="AF934" i="3"/>
  <c r="AE934" i="3"/>
  <c r="AG933" i="3"/>
  <c r="AF933" i="3"/>
  <c r="AE933" i="3"/>
  <c r="AG932" i="3"/>
  <c r="AF932" i="3"/>
  <c r="AE932" i="3"/>
  <c r="AG931" i="3"/>
  <c r="AF931" i="3"/>
  <c r="AE931" i="3"/>
  <c r="AG930" i="3"/>
  <c r="AF930" i="3"/>
  <c r="AE930" i="3"/>
  <c r="AG929" i="3"/>
  <c r="AF929" i="3"/>
  <c r="AE929" i="3"/>
  <c r="AG928" i="3"/>
  <c r="AF928" i="3"/>
  <c r="AE928" i="3"/>
  <c r="AG927" i="3"/>
  <c r="AF927" i="3"/>
  <c r="AE927" i="3"/>
  <c r="AG926" i="3"/>
  <c r="AF926" i="3"/>
  <c r="AE926" i="3"/>
  <c r="AG925" i="3"/>
  <c r="AF925" i="3"/>
  <c r="AE925" i="3"/>
  <c r="AG924" i="3"/>
  <c r="AF924" i="3"/>
  <c r="AE924" i="3"/>
  <c r="AG923" i="3"/>
  <c r="AF923" i="3"/>
  <c r="AE923" i="3"/>
  <c r="AG922" i="3"/>
  <c r="AF922" i="3"/>
  <c r="AE922" i="3"/>
  <c r="AG921" i="3"/>
  <c r="AF921" i="3"/>
  <c r="AE921" i="3"/>
  <c r="AG920" i="3"/>
  <c r="AF920" i="3"/>
  <c r="AE920" i="3"/>
  <c r="AG919" i="3"/>
  <c r="AF919" i="3"/>
  <c r="AE919" i="3"/>
  <c r="AG918" i="3"/>
  <c r="AF918" i="3"/>
  <c r="AE918" i="3"/>
  <c r="AG917" i="3"/>
  <c r="AF917" i="3"/>
  <c r="AE917" i="3"/>
  <c r="AG916" i="3"/>
  <c r="AF916" i="3"/>
  <c r="AE916" i="3"/>
  <c r="AG915" i="3"/>
  <c r="AF915" i="3"/>
  <c r="AE915" i="3"/>
  <c r="AG914" i="3"/>
  <c r="AF914" i="3"/>
  <c r="AE914" i="3"/>
  <c r="AG913" i="3"/>
  <c r="AF913" i="3"/>
  <c r="AE913" i="3"/>
  <c r="AG912" i="3"/>
  <c r="AF912" i="3"/>
  <c r="AE912" i="3"/>
  <c r="AG911" i="3"/>
  <c r="AF911" i="3"/>
  <c r="AE911" i="3"/>
  <c r="AG910" i="3"/>
  <c r="AF910" i="3"/>
  <c r="AE910" i="3"/>
  <c r="AG909" i="3"/>
  <c r="AF909" i="3"/>
  <c r="AE909" i="3"/>
  <c r="AG908" i="3"/>
  <c r="AF908" i="3"/>
  <c r="AE908" i="3"/>
  <c r="AG907" i="3"/>
  <c r="AF907" i="3"/>
  <c r="AE907" i="3"/>
  <c r="AG906" i="3"/>
  <c r="AF906" i="3"/>
  <c r="AE906" i="3"/>
  <c r="AG905" i="3"/>
  <c r="AF905" i="3"/>
  <c r="AE905" i="3"/>
  <c r="AG904" i="3"/>
  <c r="AF904" i="3"/>
  <c r="AE904" i="3"/>
  <c r="AG903" i="3"/>
  <c r="AF903" i="3"/>
  <c r="AE903" i="3"/>
  <c r="AG902" i="3"/>
  <c r="AF902" i="3"/>
  <c r="AE902" i="3"/>
  <c r="AG901" i="3"/>
  <c r="AF901" i="3"/>
  <c r="AE901" i="3"/>
  <c r="AG900" i="3"/>
  <c r="AF900" i="3"/>
  <c r="AE900" i="3"/>
  <c r="AG899" i="3"/>
  <c r="AF899" i="3"/>
  <c r="AE899" i="3"/>
  <c r="AG898" i="3"/>
  <c r="AF898" i="3"/>
  <c r="AE898" i="3"/>
  <c r="AG897" i="3"/>
  <c r="AF897" i="3"/>
  <c r="AE897" i="3"/>
  <c r="AG896" i="3"/>
  <c r="AF896" i="3"/>
  <c r="AE896" i="3"/>
  <c r="AG895" i="3"/>
  <c r="AF895" i="3"/>
  <c r="AE895" i="3"/>
  <c r="AG894" i="3"/>
  <c r="AF894" i="3"/>
  <c r="AE894" i="3"/>
  <c r="AG893" i="3"/>
  <c r="AF893" i="3"/>
  <c r="AE893" i="3"/>
  <c r="AG892" i="3"/>
  <c r="AF892" i="3"/>
  <c r="AE892" i="3"/>
  <c r="AG891" i="3"/>
  <c r="AF891" i="3"/>
  <c r="AE891" i="3"/>
  <c r="AG890" i="3"/>
  <c r="AF890" i="3"/>
  <c r="AE890" i="3"/>
  <c r="AG889" i="3"/>
  <c r="AF889" i="3"/>
  <c r="AE889" i="3"/>
  <c r="AG888" i="3"/>
  <c r="AF888" i="3"/>
  <c r="AE888" i="3"/>
  <c r="AG887" i="3"/>
  <c r="AF887" i="3"/>
  <c r="AE887" i="3"/>
  <c r="AG886" i="3"/>
  <c r="AF886" i="3"/>
  <c r="AE886" i="3"/>
  <c r="AG885" i="3"/>
  <c r="AF885" i="3"/>
  <c r="AE885" i="3"/>
  <c r="AG884" i="3"/>
  <c r="AF884" i="3"/>
  <c r="AE884" i="3"/>
  <c r="AG883" i="3"/>
  <c r="AF883" i="3"/>
  <c r="AE883" i="3"/>
  <c r="AG882" i="3"/>
  <c r="AF882" i="3"/>
  <c r="AE882" i="3"/>
  <c r="AG881" i="3"/>
  <c r="AF881" i="3"/>
  <c r="AE881" i="3"/>
  <c r="AG880" i="3"/>
  <c r="AF880" i="3"/>
  <c r="AE880" i="3"/>
  <c r="AG879" i="3"/>
  <c r="AF879" i="3"/>
  <c r="AE879" i="3"/>
  <c r="AG878" i="3"/>
  <c r="AF878" i="3"/>
  <c r="AE878" i="3"/>
  <c r="AG877" i="3"/>
  <c r="AF877" i="3"/>
  <c r="AE877" i="3"/>
  <c r="AG876" i="3"/>
  <c r="AF876" i="3"/>
  <c r="AE876" i="3"/>
  <c r="AG875" i="3"/>
  <c r="AF875" i="3"/>
  <c r="AE875" i="3"/>
  <c r="AG874" i="3"/>
  <c r="AF874" i="3"/>
  <c r="AE874" i="3"/>
  <c r="AG873" i="3"/>
  <c r="AF873" i="3"/>
  <c r="AE873" i="3"/>
  <c r="AG872" i="3"/>
  <c r="AF872" i="3"/>
  <c r="AE872" i="3"/>
  <c r="AG871" i="3"/>
  <c r="AF871" i="3"/>
  <c r="AE871" i="3"/>
  <c r="AG870" i="3"/>
  <c r="AF870" i="3"/>
  <c r="AE870" i="3"/>
  <c r="AG869" i="3"/>
  <c r="AF869" i="3"/>
  <c r="AE869" i="3"/>
  <c r="AG868" i="3"/>
  <c r="AF868" i="3"/>
  <c r="AE868" i="3"/>
  <c r="AG867" i="3"/>
  <c r="AF867" i="3"/>
  <c r="AE867" i="3"/>
  <c r="AG866" i="3"/>
  <c r="AF866" i="3"/>
  <c r="AE866" i="3"/>
  <c r="AG865" i="3"/>
  <c r="AF865" i="3"/>
  <c r="AE865" i="3"/>
  <c r="AG864" i="3"/>
  <c r="AF864" i="3"/>
  <c r="AE864" i="3"/>
  <c r="AG863" i="3"/>
  <c r="AF863" i="3"/>
  <c r="AE863" i="3"/>
  <c r="AG862" i="3"/>
  <c r="AF862" i="3"/>
  <c r="AE862" i="3"/>
  <c r="AG861" i="3"/>
  <c r="AF861" i="3"/>
  <c r="AE861" i="3"/>
  <c r="AG860" i="3"/>
  <c r="AF860" i="3"/>
  <c r="AE860" i="3"/>
  <c r="AG859" i="3"/>
  <c r="AF859" i="3"/>
  <c r="AE859" i="3"/>
  <c r="AG858" i="3"/>
  <c r="AF858" i="3"/>
  <c r="AE858" i="3"/>
  <c r="AG857" i="3"/>
  <c r="AF857" i="3"/>
  <c r="AE857" i="3"/>
  <c r="AG856" i="3"/>
  <c r="AF856" i="3"/>
  <c r="AE856" i="3"/>
  <c r="AG855" i="3"/>
  <c r="AF855" i="3"/>
  <c r="AE855" i="3"/>
  <c r="AG854" i="3"/>
  <c r="AF854" i="3"/>
  <c r="AE854" i="3"/>
  <c r="AG853" i="3"/>
  <c r="AF853" i="3"/>
  <c r="AE853" i="3"/>
  <c r="AG852" i="3"/>
  <c r="AF852" i="3"/>
  <c r="AE852" i="3"/>
  <c r="AG851" i="3"/>
  <c r="AF851" i="3"/>
  <c r="AE851" i="3"/>
  <c r="AG850" i="3"/>
  <c r="AF850" i="3"/>
  <c r="AE850" i="3"/>
  <c r="AG849" i="3"/>
  <c r="AF849" i="3"/>
  <c r="AE849" i="3"/>
  <c r="AG848" i="3"/>
  <c r="AF848" i="3"/>
  <c r="AE848" i="3"/>
  <c r="AG847" i="3"/>
  <c r="AF847" i="3"/>
  <c r="AE847" i="3"/>
  <c r="AG846" i="3"/>
  <c r="AF846" i="3"/>
  <c r="AE846" i="3"/>
  <c r="AG845" i="3"/>
  <c r="AF845" i="3"/>
  <c r="AE845" i="3"/>
  <c r="AG844" i="3"/>
  <c r="AF844" i="3"/>
  <c r="AE844" i="3"/>
  <c r="AG843" i="3"/>
  <c r="AF843" i="3"/>
  <c r="AE843" i="3"/>
  <c r="AG842" i="3"/>
  <c r="AF842" i="3"/>
  <c r="AE842" i="3"/>
  <c r="AG841" i="3"/>
  <c r="AF841" i="3"/>
  <c r="AE841" i="3"/>
  <c r="AG840" i="3"/>
  <c r="AF840" i="3"/>
  <c r="AE840" i="3"/>
  <c r="AG839" i="3"/>
  <c r="AF839" i="3"/>
  <c r="AE839" i="3"/>
  <c r="AG838" i="3"/>
  <c r="AF838" i="3"/>
  <c r="AE838" i="3"/>
  <c r="AG837" i="3"/>
  <c r="AF837" i="3"/>
  <c r="AE837" i="3"/>
  <c r="AG836" i="3"/>
  <c r="AF836" i="3"/>
  <c r="AE836" i="3"/>
  <c r="AG835" i="3"/>
  <c r="AF835" i="3"/>
  <c r="AE835" i="3"/>
  <c r="AG834" i="3"/>
  <c r="AF834" i="3"/>
  <c r="AE834" i="3"/>
  <c r="AG833" i="3"/>
  <c r="AF833" i="3"/>
  <c r="AE833" i="3"/>
  <c r="AG832" i="3"/>
  <c r="AF832" i="3"/>
  <c r="AE832" i="3"/>
  <c r="AG831" i="3"/>
  <c r="AF831" i="3"/>
  <c r="AE831" i="3"/>
  <c r="AG830" i="3"/>
  <c r="AF830" i="3"/>
  <c r="AE830" i="3"/>
  <c r="AG829" i="3"/>
  <c r="AF829" i="3"/>
  <c r="AE829" i="3"/>
  <c r="AG828" i="3"/>
  <c r="AF828" i="3"/>
  <c r="AE828" i="3"/>
  <c r="AG827" i="3"/>
  <c r="AF827" i="3"/>
  <c r="AE827" i="3"/>
  <c r="AG826" i="3"/>
  <c r="AF826" i="3"/>
  <c r="AE826" i="3"/>
  <c r="AG825" i="3"/>
  <c r="AF825" i="3"/>
  <c r="AE825" i="3"/>
  <c r="AG824" i="3"/>
  <c r="AF824" i="3"/>
  <c r="AE824" i="3"/>
  <c r="AG823" i="3"/>
  <c r="AF823" i="3"/>
  <c r="AE823" i="3"/>
  <c r="AG822" i="3"/>
  <c r="AF822" i="3"/>
  <c r="AE822" i="3"/>
  <c r="AG821" i="3"/>
  <c r="AF821" i="3"/>
  <c r="AE821" i="3"/>
  <c r="AG820" i="3"/>
  <c r="AF820" i="3"/>
  <c r="AE820" i="3"/>
  <c r="AG819" i="3"/>
  <c r="AF819" i="3"/>
  <c r="AE819" i="3"/>
  <c r="AG818" i="3"/>
  <c r="AF818" i="3"/>
  <c r="AE818" i="3"/>
  <c r="AG817" i="3"/>
  <c r="AF817" i="3"/>
  <c r="AE817" i="3"/>
  <c r="AG816" i="3"/>
  <c r="AF816" i="3"/>
  <c r="AE816" i="3"/>
  <c r="AG815" i="3"/>
  <c r="AF815" i="3"/>
  <c r="AE815" i="3"/>
  <c r="AG814" i="3"/>
  <c r="AF814" i="3"/>
  <c r="AE814" i="3"/>
  <c r="AG813" i="3"/>
  <c r="AF813" i="3"/>
  <c r="AE813" i="3"/>
  <c r="AG812" i="3"/>
  <c r="AF812" i="3"/>
  <c r="AE812" i="3"/>
  <c r="AG811" i="3"/>
  <c r="AF811" i="3"/>
  <c r="AE811" i="3"/>
  <c r="AG810" i="3"/>
  <c r="AF810" i="3"/>
  <c r="AE810" i="3"/>
  <c r="AG809" i="3"/>
  <c r="AF809" i="3"/>
  <c r="AE809" i="3"/>
  <c r="AG808" i="3"/>
  <c r="AF808" i="3"/>
  <c r="AE808" i="3"/>
  <c r="AG807" i="3"/>
  <c r="AF807" i="3"/>
  <c r="AE807" i="3"/>
  <c r="AG806" i="3"/>
  <c r="AF806" i="3"/>
  <c r="AE806" i="3"/>
  <c r="AG805" i="3"/>
  <c r="AF805" i="3"/>
  <c r="AE805" i="3"/>
  <c r="AG804" i="3"/>
  <c r="AF804" i="3"/>
  <c r="AE804" i="3"/>
  <c r="AG803" i="3"/>
  <c r="AF803" i="3"/>
  <c r="AE803" i="3"/>
  <c r="AG802" i="3"/>
  <c r="AF802" i="3"/>
  <c r="AE802" i="3"/>
  <c r="AG801" i="3"/>
  <c r="AF801" i="3"/>
  <c r="AE801" i="3"/>
  <c r="AG800" i="3"/>
  <c r="AF800" i="3"/>
  <c r="AE800" i="3"/>
  <c r="AG799" i="3"/>
  <c r="AF799" i="3"/>
  <c r="AE799" i="3"/>
  <c r="AG798" i="3"/>
  <c r="AF798" i="3"/>
  <c r="AE798" i="3"/>
  <c r="AG797" i="3"/>
  <c r="AF797" i="3"/>
  <c r="AE797" i="3"/>
  <c r="AG796" i="3"/>
  <c r="AF796" i="3"/>
  <c r="AE796" i="3"/>
  <c r="AG795" i="3"/>
  <c r="AF795" i="3"/>
  <c r="AE795" i="3"/>
  <c r="AG794" i="3"/>
  <c r="AF794" i="3"/>
  <c r="AE794" i="3"/>
  <c r="AG793" i="3"/>
  <c r="AF793" i="3"/>
  <c r="AE793" i="3"/>
  <c r="AG792" i="3"/>
  <c r="AF792" i="3"/>
  <c r="AE792" i="3"/>
  <c r="AG791" i="3"/>
  <c r="AF791" i="3"/>
  <c r="AE791" i="3"/>
  <c r="AG790" i="3"/>
  <c r="AF790" i="3"/>
  <c r="AE790" i="3"/>
  <c r="AG789" i="3"/>
  <c r="AF789" i="3"/>
  <c r="AE789" i="3"/>
  <c r="AG788" i="3"/>
  <c r="AF788" i="3"/>
  <c r="AE788" i="3"/>
  <c r="AG787" i="3"/>
  <c r="AF787" i="3"/>
  <c r="AE787" i="3"/>
  <c r="AG786" i="3"/>
  <c r="AF786" i="3"/>
  <c r="AE786" i="3"/>
  <c r="AG785" i="3"/>
  <c r="AF785" i="3"/>
  <c r="AE785" i="3"/>
  <c r="AG784" i="3"/>
  <c r="AF784" i="3"/>
  <c r="AE784" i="3"/>
  <c r="AG783" i="3"/>
  <c r="AF783" i="3"/>
  <c r="AE783" i="3"/>
  <c r="AG782" i="3"/>
  <c r="AF782" i="3"/>
  <c r="AE782" i="3"/>
  <c r="AG781" i="3"/>
  <c r="AF781" i="3"/>
  <c r="AE781" i="3"/>
  <c r="AG780" i="3"/>
  <c r="AF780" i="3"/>
  <c r="AE780" i="3"/>
  <c r="AG779" i="3"/>
  <c r="AF779" i="3"/>
  <c r="AE779" i="3"/>
  <c r="AG778" i="3"/>
  <c r="AF778" i="3"/>
  <c r="AE778" i="3"/>
  <c r="AG777" i="3"/>
  <c r="AF777" i="3"/>
  <c r="AE777" i="3"/>
  <c r="AG776" i="3"/>
  <c r="AF776" i="3"/>
  <c r="AE776" i="3"/>
  <c r="AG775" i="3"/>
  <c r="AF775" i="3"/>
  <c r="AE775" i="3"/>
  <c r="AG774" i="3"/>
  <c r="AF774" i="3"/>
  <c r="AE774" i="3"/>
  <c r="AG773" i="3"/>
  <c r="AF773" i="3"/>
  <c r="AE773" i="3"/>
  <c r="AG772" i="3"/>
  <c r="AF772" i="3"/>
  <c r="AE772" i="3"/>
  <c r="AG771" i="3"/>
  <c r="AF771" i="3"/>
  <c r="AE771" i="3"/>
  <c r="AG770" i="3"/>
  <c r="AF770" i="3"/>
  <c r="AE770" i="3"/>
  <c r="AG769" i="3"/>
  <c r="AF769" i="3"/>
  <c r="AE769" i="3"/>
  <c r="AG768" i="3"/>
  <c r="AF768" i="3"/>
  <c r="AE768" i="3"/>
  <c r="AG767" i="3"/>
  <c r="AF767" i="3"/>
  <c r="AE767" i="3"/>
  <c r="AG766" i="3"/>
  <c r="AF766" i="3"/>
  <c r="AE766" i="3"/>
  <c r="AG765" i="3"/>
  <c r="AF765" i="3"/>
  <c r="AE765" i="3"/>
  <c r="AG764" i="3"/>
  <c r="AF764" i="3"/>
  <c r="AE764" i="3"/>
  <c r="AG763" i="3"/>
  <c r="AF763" i="3"/>
  <c r="AE763" i="3"/>
  <c r="AG762" i="3"/>
  <c r="AF762" i="3"/>
  <c r="AE762" i="3"/>
  <c r="AG761" i="3"/>
  <c r="AF761" i="3"/>
  <c r="AE761" i="3"/>
  <c r="AG760" i="3"/>
  <c r="AF760" i="3"/>
  <c r="AE760" i="3"/>
  <c r="AG759" i="3"/>
  <c r="AF759" i="3"/>
  <c r="AE759" i="3"/>
  <c r="AG758" i="3"/>
  <c r="AF758" i="3"/>
  <c r="AE758" i="3"/>
  <c r="AG757" i="3"/>
  <c r="AF757" i="3"/>
  <c r="AE757" i="3"/>
  <c r="AG756" i="3"/>
  <c r="AF756" i="3"/>
  <c r="AE756" i="3"/>
  <c r="AG755" i="3"/>
  <c r="AF755" i="3"/>
  <c r="AE755" i="3"/>
  <c r="AG754" i="3"/>
  <c r="AF754" i="3"/>
  <c r="AE754" i="3"/>
  <c r="AG753" i="3"/>
  <c r="AF753" i="3"/>
  <c r="AE753" i="3"/>
  <c r="AG752" i="3"/>
  <c r="AF752" i="3"/>
  <c r="AE752" i="3"/>
  <c r="AG751" i="3"/>
  <c r="AF751" i="3"/>
  <c r="AE751" i="3"/>
  <c r="AG750" i="3"/>
  <c r="AF750" i="3"/>
  <c r="AE750" i="3"/>
  <c r="AG749" i="3"/>
  <c r="AF749" i="3"/>
  <c r="AE749" i="3"/>
  <c r="AG748" i="3"/>
  <c r="AF748" i="3"/>
  <c r="AE748" i="3"/>
  <c r="AG747" i="3"/>
  <c r="AF747" i="3"/>
  <c r="AE747" i="3"/>
  <c r="AG746" i="3"/>
  <c r="AF746" i="3"/>
  <c r="AE746" i="3"/>
  <c r="AG745" i="3"/>
  <c r="AF745" i="3"/>
  <c r="AE745" i="3"/>
  <c r="AG744" i="3"/>
  <c r="AF744" i="3"/>
  <c r="AE744" i="3"/>
  <c r="AG743" i="3"/>
  <c r="AF743" i="3"/>
  <c r="AE743" i="3"/>
  <c r="AG742" i="3"/>
  <c r="AF742" i="3"/>
  <c r="AE742" i="3"/>
  <c r="AG741" i="3"/>
  <c r="AF741" i="3"/>
  <c r="AE741" i="3"/>
  <c r="AG740" i="3"/>
  <c r="AF740" i="3"/>
  <c r="AE740" i="3"/>
  <c r="AG739" i="3"/>
  <c r="AF739" i="3"/>
  <c r="AE739" i="3"/>
  <c r="AG738" i="3"/>
  <c r="AF738" i="3"/>
  <c r="AE738" i="3"/>
  <c r="AG737" i="3"/>
  <c r="AF737" i="3"/>
  <c r="AE737" i="3"/>
  <c r="AG736" i="3"/>
  <c r="AF736" i="3"/>
  <c r="AE736" i="3"/>
  <c r="AG735" i="3"/>
  <c r="AF735" i="3"/>
  <c r="AE735" i="3"/>
  <c r="AG734" i="3"/>
  <c r="AF734" i="3"/>
  <c r="AE734" i="3"/>
  <c r="AG733" i="3"/>
  <c r="AF733" i="3"/>
  <c r="AE733" i="3"/>
  <c r="AG732" i="3"/>
  <c r="AF732" i="3"/>
  <c r="AE732" i="3"/>
  <c r="AG731" i="3"/>
  <c r="AF731" i="3"/>
  <c r="AE731" i="3"/>
  <c r="AG730" i="3"/>
  <c r="AF730" i="3"/>
  <c r="AE730" i="3"/>
  <c r="AG729" i="3"/>
  <c r="AF729" i="3"/>
  <c r="AE729" i="3"/>
  <c r="AG728" i="3"/>
  <c r="AF728" i="3"/>
  <c r="AE728" i="3"/>
  <c r="AG727" i="3"/>
  <c r="AF727" i="3"/>
  <c r="AE727" i="3"/>
  <c r="AG726" i="3"/>
  <c r="AF726" i="3"/>
  <c r="AE726" i="3"/>
  <c r="AG725" i="3"/>
  <c r="AF725" i="3"/>
  <c r="AE725" i="3"/>
  <c r="AG724" i="3"/>
  <c r="AF724" i="3"/>
  <c r="AE724" i="3"/>
  <c r="AG723" i="3"/>
  <c r="AF723" i="3"/>
  <c r="AE723" i="3"/>
  <c r="AG722" i="3"/>
  <c r="AF722" i="3"/>
  <c r="AE722" i="3"/>
  <c r="AG721" i="3"/>
  <c r="AF721" i="3"/>
  <c r="AE721" i="3"/>
  <c r="AG720" i="3"/>
  <c r="AF720" i="3"/>
  <c r="AE720" i="3"/>
  <c r="AG719" i="3"/>
  <c r="AF719" i="3"/>
  <c r="AE719" i="3"/>
  <c r="AG718" i="3"/>
  <c r="AF718" i="3"/>
  <c r="AE718" i="3"/>
  <c r="AG717" i="3"/>
  <c r="AF717" i="3"/>
  <c r="AE717" i="3"/>
  <c r="AG716" i="3"/>
  <c r="AF716" i="3"/>
  <c r="AE716" i="3"/>
  <c r="AG715" i="3"/>
  <c r="AF715" i="3"/>
  <c r="AE715" i="3"/>
  <c r="AG714" i="3"/>
  <c r="AF714" i="3"/>
  <c r="AE714" i="3"/>
  <c r="AG713" i="3"/>
  <c r="AF713" i="3"/>
  <c r="AE713" i="3"/>
  <c r="AG712" i="3"/>
  <c r="AF712" i="3"/>
  <c r="AE712" i="3"/>
  <c r="AG711" i="3"/>
  <c r="AF711" i="3"/>
  <c r="AE711" i="3"/>
  <c r="AG710" i="3"/>
  <c r="AF710" i="3"/>
  <c r="AE710" i="3"/>
  <c r="AG709" i="3"/>
  <c r="AF709" i="3"/>
  <c r="AE709" i="3"/>
  <c r="AG708" i="3"/>
  <c r="AF708" i="3"/>
  <c r="AE708" i="3"/>
  <c r="AG707" i="3"/>
  <c r="AF707" i="3"/>
  <c r="AE707" i="3"/>
  <c r="AG706" i="3"/>
  <c r="AF706" i="3"/>
  <c r="AE706" i="3"/>
  <c r="AG705" i="3"/>
  <c r="AF705" i="3"/>
  <c r="AE705" i="3"/>
  <c r="AG704" i="3"/>
  <c r="AF704" i="3"/>
  <c r="AE704" i="3"/>
  <c r="AG703" i="3"/>
  <c r="AF703" i="3"/>
  <c r="AE703" i="3"/>
  <c r="AG702" i="3"/>
  <c r="AF702" i="3"/>
  <c r="AE702" i="3"/>
  <c r="AG701" i="3"/>
  <c r="AF701" i="3"/>
  <c r="AE701" i="3"/>
  <c r="AG700" i="3"/>
  <c r="AF700" i="3"/>
  <c r="AE700" i="3"/>
  <c r="AG699" i="3"/>
  <c r="AF699" i="3"/>
  <c r="AE699" i="3"/>
  <c r="AG698" i="3"/>
  <c r="AF698" i="3"/>
  <c r="AE698" i="3"/>
  <c r="AG697" i="3"/>
  <c r="AF697" i="3"/>
  <c r="AE697" i="3"/>
  <c r="AG696" i="3"/>
  <c r="AF696" i="3"/>
  <c r="AE696" i="3"/>
  <c r="AG695" i="3"/>
  <c r="AF695" i="3"/>
  <c r="AE695" i="3"/>
  <c r="AG694" i="3"/>
  <c r="AF694" i="3"/>
  <c r="AE694" i="3"/>
  <c r="AG693" i="3"/>
  <c r="AF693" i="3"/>
  <c r="AE693" i="3"/>
  <c r="AG692" i="3"/>
  <c r="AF692" i="3"/>
  <c r="AE692" i="3"/>
  <c r="AG691" i="3"/>
  <c r="AF691" i="3"/>
  <c r="AE691" i="3"/>
  <c r="AG690" i="3"/>
  <c r="AF690" i="3"/>
  <c r="AE690" i="3"/>
  <c r="AG689" i="3"/>
  <c r="AF689" i="3"/>
  <c r="AE689" i="3"/>
  <c r="AG688" i="3"/>
  <c r="AF688" i="3"/>
  <c r="AE688" i="3"/>
  <c r="AG687" i="3"/>
  <c r="AF687" i="3"/>
  <c r="AE687" i="3"/>
  <c r="AG686" i="3"/>
  <c r="AF686" i="3"/>
  <c r="AE686" i="3"/>
  <c r="AG685" i="3"/>
  <c r="AF685" i="3"/>
  <c r="AE685" i="3"/>
  <c r="AG684" i="3"/>
  <c r="AF684" i="3"/>
  <c r="AE684" i="3"/>
  <c r="AG683" i="3"/>
  <c r="AF683" i="3"/>
  <c r="AE683" i="3"/>
  <c r="AG682" i="3"/>
  <c r="AF682" i="3"/>
  <c r="AE682" i="3"/>
  <c r="AG681" i="3"/>
  <c r="AF681" i="3"/>
  <c r="AE681" i="3"/>
  <c r="AG680" i="3"/>
  <c r="AF680" i="3"/>
  <c r="AE680" i="3"/>
  <c r="AG679" i="3"/>
  <c r="AF679" i="3"/>
  <c r="AE679" i="3"/>
  <c r="AG678" i="3"/>
  <c r="AF678" i="3"/>
  <c r="AE678" i="3"/>
  <c r="AG677" i="3"/>
  <c r="AF677" i="3"/>
  <c r="AE677" i="3"/>
  <c r="AG676" i="3"/>
  <c r="AF676" i="3"/>
  <c r="AE676" i="3"/>
  <c r="AG675" i="3"/>
  <c r="AF675" i="3"/>
  <c r="AE675" i="3"/>
  <c r="AG674" i="3"/>
  <c r="AF674" i="3"/>
  <c r="AE674" i="3"/>
  <c r="AG673" i="3"/>
  <c r="AF673" i="3"/>
  <c r="AE673" i="3"/>
  <c r="AG672" i="3"/>
  <c r="AF672" i="3"/>
  <c r="AE672" i="3"/>
  <c r="AG671" i="3"/>
  <c r="AF671" i="3"/>
  <c r="AE671" i="3"/>
  <c r="AG670" i="3"/>
  <c r="AF670" i="3"/>
  <c r="AE670" i="3"/>
  <c r="AG669" i="3"/>
  <c r="AF669" i="3"/>
  <c r="AE669" i="3"/>
  <c r="AG668" i="3"/>
  <c r="AF668" i="3"/>
  <c r="AE668" i="3"/>
  <c r="AG667" i="3"/>
  <c r="AF667" i="3"/>
  <c r="AE667" i="3"/>
  <c r="AG666" i="3"/>
  <c r="AF666" i="3"/>
  <c r="AE666" i="3"/>
  <c r="AG665" i="3"/>
  <c r="AF665" i="3"/>
  <c r="AE665" i="3"/>
  <c r="AG664" i="3"/>
  <c r="AF664" i="3"/>
  <c r="AE664" i="3"/>
  <c r="AG663" i="3"/>
  <c r="AF663" i="3"/>
  <c r="AE663" i="3"/>
  <c r="AG662" i="3"/>
  <c r="AF662" i="3"/>
  <c r="AE662" i="3"/>
  <c r="AG661" i="3"/>
  <c r="AF661" i="3"/>
  <c r="AE661" i="3"/>
  <c r="AG660" i="3"/>
  <c r="AF660" i="3"/>
  <c r="AE660" i="3"/>
  <c r="AG659" i="3"/>
  <c r="AF659" i="3"/>
  <c r="AE659" i="3"/>
  <c r="AG658" i="3"/>
  <c r="AF658" i="3"/>
  <c r="AE658" i="3"/>
  <c r="AG657" i="3"/>
  <c r="AF657" i="3"/>
  <c r="AE657" i="3"/>
  <c r="AG656" i="3"/>
  <c r="AF656" i="3"/>
  <c r="AE656" i="3"/>
  <c r="AG655" i="3"/>
  <c r="AF655" i="3"/>
  <c r="AE655" i="3"/>
  <c r="AG654" i="3"/>
  <c r="AF654" i="3"/>
  <c r="AE654" i="3"/>
  <c r="AG653" i="3"/>
  <c r="AF653" i="3"/>
  <c r="AE653" i="3"/>
  <c r="AG652" i="3"/>
  <c r="AF652" i="3"/>
  <c r="AE652" i="3"/>
  <c r="AG651" i="3"/>
  <c r="AF651" i="3"/>
  <c r="AE651" i="3"/>
  <c r="AG650" i="3"/>
  <c r="AF650" i="3"/>
  <c r="AE650" i="3"/>
  <c r="AG649" i="3"/>
  <c r="AF649" i="3"/>
  <c r="AE649" i="3"/>
  <c r="AG648" i="3"/>
  <c r="AF648" i="3"/>
  <c r="AE648" i="3"/>
  <c r="AG647" i="3"/>
  <c r="AF647" i="3"/>
  <c r="AE647" i="3"/>
  <c r="AG646" i="3"/>
  <c r="AF646" i="3"/>
  <c r="AE646" i="3"/>
  <c r="AG645" i="3"/>
  <c r="AF645" i="3"/>
  <c r="AE645" i="3"/>
  <c r="AG644" i="3"/>
  <c r="AF644" i="3"/>
  <c r="AE644" i="3"/>
  <c r="AG643" i="3"/>
  <c r="AF643" i="3"/>
  <c r="AE643" i="3"/>
  <c r="AG642" i="3"/>
  <c r="AF642" i="3"/>
  <c r="AE642" i="3"/>
  <c r="AG641" i="3"/>
  <c r="AF641" i="3"/>
  <c r="AE641" i="3"/>
  <c r="AG640" i="3"/>
  <c r="AF640" i="3"/>
  <c r="AE640" i="3"/>
  <c r="AG639" i="3"/>
  <c r="AF639" i="3"/>
  <c r="AE639" i="3"/>
  <c r="AG638" i="3"/>
  <c r="AF638" i="3"/>
  <c r="AE638" i="3"/>
  <c r="AG637" i="3"/>
  <c r="AF637" i="3"/>
  <c r="AE637" i="3"/>
  <c r="AG636" i="3"/>
  <c r="AF636" i="3"/>
  <c r="AE636" i="3"/>
  <c r="AG635" i="3"/>
  <c r="AF635" i="3"/>
  <c r="AE635" i="3"/>
  <c r="AG634" i="3"/>
  <c r="AF634" i="3"/>
  <c r="AE634" i="3"/>
  <c r="AG633" i="3"/>
  <c r="AF633" i="3"/>
  <c r="AE633" i="3"/>
  <c r="AG632" i="3"/>
  <c r="AF632" i="3"/>
  <c r="AE632" i="3"/>
  <c r="AG631" i="3"/>
  <c r="AF631" i="3"/>
  <c r="AE631" i="3"/>
  <c r="AG630" i="3"/>
  <c r="AF630" i="3"/>
  <c r="AE630" i="3"/>
  <c r="AG629" i="3"/>
  <c r="AF629" i="3"/>
  <c r="AE629" i="3"/>
  <c r="AG628" i="3"/>
  <c r="AF628" i="3"/>
  <c r="AE628" i="3"/>
  <c r="AG627" i="3"/>
  <c r="AF627" i="3"/>
  <c r="AE627" i="3"/>
  <c r="AG626" i="3"/>
  <c r="AF626" i="3"/>
  <c r="AE626" i="3"/>
  <c r="AG625" i="3"/>
  <c r="AF625" i="3"/>
  <c r="AE625" i="3"/>
  <c r="AG624" i="3"/>
  <c r="AF624" i="3"/>
  <c r="AE624" i="3"/>
  <c r="AG623" i="3"/>
  <c r="AF623" i="3"/>
  <c r="AE623" i="3"/>
  <c r="AG622" i="3"/>
  <c r="AF622" i="3"/>
  <c r="AE622" i="3"/>
  <c r="AG621" i="3"/>
  <c r="AF621" i="3"/>
  <c r="AE621" i="3"/>
  <c r="AG620" i="3"/>
  <c r="AF620" i="3"/>
  <c r="AE620" i="3"/>
  <c r="AG619" i="3"/>
  <c r="AF619" i="3"/>
  <c r="AE619" i="3"/>
  <c r="AG618" i="3"/>
  <c r="AF618" i="3"/>
  <c r="AE618" i="3"/>
  <c r="AG617" i="3"/>
  <c r="AF617" i="3"/>
  <c r="AE617" i="3"/>
  <c r="AG616" i="3"/>
  <c r="AF616" i="3"/>
  <c r="AE616" i="3"/>
  <c r="AG615" i="3"/>
  <c r="AF615" i="3"/>
  <c r="AE615" i="3"/>
  <c r="AG614" i="3"/>
  <c r="AF614" i="3"/>
  <c r="AE614" i="3"/>
  <c r="AG613" i="3"/>
  <c r="AF613" i="3"/>
  <c r="AE613" i="3"/>
  <c r="AG612" i="3"/>
  <c r="AF612" i="3"/>
  <c r="AE612" i="3"/>
  <c r="AG611" i="3"/>
  <c r="AF611" i="3"/>
  <c r="AE611" i="3"/>
  <c r="AG610" i="3"/>
  <c r="AF610" i="3"/>
  <c r="AE610" i="3"/>
  <c r="AG609" i="3"/>
  <c r="AF609" i="3"/>
  <c r="AE609" i="3"/>
  <c r="AG608" i="3"/>
  <c r="AF608" i="3"/>
  <c r="AE608" i="3"/>
  <c r="AG607" i="3"/>
  <c r="AF607" i="3"/>
  <c r="AE607" i="3"/>
  <c r="AG606" i="3"/>
  <c r="AF606" i="3"/>
  <c r="AE606" i="3"/>
  <c r="AG605" i="3"/>
  <c r="AF605" i="3"/>
  <c r="AE605" i="3"/>
  <c r="AG604" i="3"/>
  <c r="AF604" i="3"/>
  <c r="AE604" i="3"/>
  <c r="AG603" i="3"/>
  <c r="AF603" i="3"/>
  <c r="AE603" i="3"/>
  <c r="AG602" i="3"/>
  <c r="AF602" i="3"/>
  <c r="AE602" i="3"/>
  <c r="AG601" i="3"/>
  <c r="AF601" i="3"/>
  <c r="AE601" i="3"/>
  <c r="AG600" i="3"/>
  <c r="AF600" i="3"/>
  <c r="AE600" i="3"/>
  <c r="AG599" i="3"/>
  <c r="AF599" i="3"/>
  <c r="AE599" i="3"/>
  <c r="AG598" i="3"/>
  <c r="AF598" i="3"/>
  <c r="AE598" i="3"/>
  <c r="AG597" i="3"/>
  <c r="AF597" i="3"/>
  <c r="AE597" i="3"/>
  <c r="AG596" i="3"/>
  <c r="AF596" i="3"/>
  <c r="AE596" i="3"/>
  <c r="AG595" i="3"/>
  <c r="AF595" i="3"/>
  <c r="AE595" i="3"/>
  <c r="AG594" i="3"/>
  <c r="AF594" i="3"/>
  <c r="AE594" i="3"/>
  <c r="AG593" i="3"/>
  <c r="AF593" i="3"/>
  <c r="AE593" i="3"/>
  <c r="AG592" i="3"/>
  <c r="AF592" i="3"/>
  <c r="AE592" i="3"/>
  <c r="AG591" i="3"/>
  <c r="AF591" i="3"/>
  <c r="AE591" i="3"/>
  <c r="AG590" i="3"/>
  <c r="AF590" i="3"/>
  <c r="AE590" i="3"/>
  <c r="AG589" i="3"/>
  <c r="AF589" i="3"/>
  <c r="AE589" i="3"/>
  <c r="AG588" i="3"/>
  <c r="AF588" i="3"/>
  <c r="AE588" i="3"/>
  <c r="AG587" i="3"/>
  <c r="AF587" i="3"/>
  <c r="AE587" i="3"/>
  <c r="AG586" i="3"/>
  <c r="AF586" i="3"/>
  <c r="AE586" i="3"/>
  <c r="AG585" i="3"/>
  <c r="AF585" i="3"/>
  <c r="AE585" i="3"/>
  <c r="AG584" i="3"/>
  <c r="AF584" i="3"/>
  <c r="AE584" i="3"/>
  <c r="AG583" i="3"/>
  <c r="AF583" i="3"/>
  <c r="AE583" i="3"/>
  <c r="AG582" i="3"/>
  <c r="AF582" i="3"/>
  <c r="AE582" i="3"/>
  <c r="AG581" i="3"/>
  <c r="AF581" i="3"/>
  <c r="AE581" i="3"/>
  <c r="AG580" i="3"/>
  <c r="AF580" i="3"/>
  <c r="AE580" i="3"/>
  <c r="AG579" i="3"/>
  <c r="AF579" i="3"/>
  <c r="AE579" i="3"/>
  <c r="AG578" i="3"/>
  <c r="AF578" i="3"/>
  <c r="AE578" i="3"/>
  <c r="AG577" i="3"/>
  <c r="AF577" i="3"/>
  <c r="AE577" i="3"/>
  <c r="AG576" i="3"/>
  <c r="AF576" i="3"/>
  <c r="AE576" i="3"/>
  <c r="AG575" i="3"/>
  <c r="AF575" i="3"/>
  <c r="AE575" i="3"/>
  <c r="AG574" i="3"/>
  <c r="AF574" i="3"/>
  <c r="AE574" i="3"/>
  <c r="AG573" i="3"/>
  <c r="AF573" i="3"/>
  <c r="AE573" i="3"/>
  <c r="AG572" i="3"/>
  <c r="AF572" i="3"/>
  <c r="AE572" i="3"/>
  <c r="AG571" i="3"/>
  <c r="AF571" i="3"/>
  <c r="AE571" i="3"/>
  <c r="AG570" i="3"/>
  <c r="AF570" i="3"/>
  <c r="AE570" i="3"/>
  <c r="AG569" i="3"/>
  <c r="AF569" i="3"/>
  <c r="AE569" i="3"/>
  <c r="AG568" i="3"/>
  <c r="AF568" i="3"/>
  <c r="AE568" i="3"/>
  <c r="AG567" i="3"/>
  <c r="AF567" i="3"/>
  <c r="AE567" i="3"/>
  <c r="AG566" i="3"/>
  <c r="AF566" i="3"/>
  <c r="AE566" i="3"/>
  <c r="AG565" i="3"/>
  <c r="AF565" i="3"/>
  <c r="AE565" i="3"/>
  <c r="AG564" i="3"/>
  <c r="AF564" i="3"/>
  <c r="AE564" i="3"/>
  <c r="AG563" i="3"/>
  <c r="AF563" i="3"/>
  <c r="AE563" i="3"/>
  <c r="AG562" i="3"/>
  <c r="AF562" i="3"/>
  <c r="AE562" i="3"/>
  <c r="AG561" i="3"/>
  <c r="AF561" i="3"/>
  <c r="AE561" i="3"/>
  <c r="AG560" i="3"/>
  <c r="AF560" i="3"/>
  <c r="AE560" i="3"/>
  <c r="AG559" i="3"/>
  <c r="AF559" i="3"/>
  <c r="AE559" i="3"/>
  <c r="AG558" i="3"/>
  <c r="AF558" i="3"/>
  <c r="AE558" i="3"/>
  <c r="AG557" i="3"/>
  <c r="AF557" i="3"/>
  <c r="AE557" i="3"/>
  <c r="AG556" i="3"/>
  <c r="AF556" i="3"/>
  <c r="AE556" i="3"/>
  <c r="AG555" i="3"/>
  <c r="AF555" i="3"/>
  <c r="AE555" i="3"/>
  <c r="AG554" i="3"/>
  <c r="AF554" i="3"/>
  <c r="AE554" i="3"/>
  <c r="AG553" i="3"/>
  <c r="AF553" i="3"/>
  <c r="AE553" i="3"/>
  <c r="AG552" i="3"/>
  <c r="AF552" i="3"/>
  <c r="AE552" i="3"/>
  <c r="AG551" i="3"/>
  <c r="AF551" i="3"/>
  <c r="AE551" i="3"/>
  <c r="AG550" i="3"/>
  <c r="AF550" i="3"/>
  <c r="AE550" i="3"/>
  <c r="AG549" i="3"/>
  <c r="AF549" i="3"/>
  <c r="AE549" i="3"/>
  <c r="AG548" i="3"/>
  <c r="AF548" i="3"/>
  <c r="AE548" i="3"/>
  <c r="AG547" i="3"/>
  <c r="AF547" i="3"/>
  <c r="AE547" i="3"/>
  <c r="AG546" i="3"/>
  <c r="AF546" i="3"/>
  <c r="AE546" i="3"/>
  <c r="AG545" i="3"/>
  <c r="AF545" i="3"/>
  <c r="AE545" i="3"/>
  <c r="AG544" i="3"/>
  <c r="AF544" i="3"/>
  <c r="AE544" i="3"/>
  <c r="AG543" i="3"/>
  <c r="AF543" i="3"/>
  <c r="AE543" i="3"/>
  <c r="AG542" i="3"/>
  <c r="AF542" i="3"/>
  <c r="AE542" i="3"/>
  <c r="AG541" i="3"/>
  <c r="AF541" i="3"/>
  <c r="AE541" i="3"/>
  <c r="AG540" i="3"/>
  <c r="AF540" i="3"/>
  <c r="AE540" i="3"/>
  <c r="AG539" i="3"/>
  <c r="AF539" i="3"/>
  <c r="AE539" i="3"/>
  <c r="AG538" i="3"/>
  <c r="AF538" i="3"/>
  <c r="AE538" i="3"/>
  <c r="AG537" i="3"/>
  <c r="AF537" i="3"/>
  <c r="AE537" i="3"/>
  <c r="AG536" i="3"/>
  <c r="AF536" i="3"/>
  <c r="AE536" i="3"/>
  <c r="AG535" i="3"/>
  <c r="AF535" i="3"/>
  <c r="AE535" i="3"/>
  <c r="AG534" i="3"/>
  <c r="AF534" i="3"/>
  <c r="AE534" i="3"/>
  <c r="AG533" i="3"/>
  <c r="AF533" i="3"/>
  <c r="AE533" i="3"/>
  <c r="AG532" i="3"/>
  <c r="AF532" i="3"/>
  <c r="AE532" i="3"/>
  <c r="AG531" i="3"/>
  <c r="AF531" i="3"/>
  <c r="AE531" i="3"/>
  <c r="AG530" i="3"/>
  <c r="AF530" i="3"/>
  <c r="AE530" i="3"/>
  <c r="AG529" i="3"/>
  <c r="AF529" i="3"/>
  <c r="AE529" i="3"/>
  <c r="AG528" i="3"/>
  <c r="AF528" i="3"/>
  <c r="AE528" i="3"/>
  <c r="AG527" i="3"/>
  <c r="AF527" i="3"/>
  <c r="AE527" i="3"/>
  <c r="AG526" i="3"/>
  <c r="AF526" i="3"/>
  <c r="AE526" i="3"/>
  <c r="AG525" i="3"/>
  <c r="AF525" i="3"/>
  <c r="AE525" i="3"/>
  <c r="AG524" i="3"/>
  <c r="AF524" i="3"/>
  <c r="AE524" i="3"/>
  <c r="AG523" i="3"/>
  <c r="AF523" i="3"/>
  <c r="AE523" i="3"/>
  <c r="AG522" i="3"/>
  <c r="AF522" i="3"/>
  <c r="AE522" i="3"/>
  <c r="AG521" i="3"/>
  <c r="AF521" i="3"/>
  <c r="AE521" i="3"/>
  <c r="AG520" i="3"/>
  <c r="AF520" i="3"/>
  <c r="AE520" i="3"/>
  <c r="AG519" i="3"/>
  <c r="AF519" i="3"/>
  <c r="AE519" i="3"/>
  <c r="AG518" i="3"/>
  <c r="AF518" i="3"/>
  <c r="AE518" i="3"/>
  <c r="AG517" i="3"/>
  <c r="AF517" i="3"/>
  <c r="AE517" i="3"/>
  <c r="AG516" i="3"/>
  <c r="AF516" i="3"/>
  <c r="AE516" i="3"/>
  <c r="AG515" i="3"/>
  <c r="AF515" i="3"/>
  <c r="AE515" i="3"/>
  <c r="AG514" i="3"/>
  <c r="AF514" i="3"/>
  <c r="AE514" i="3"/>
  <c r="AG513" i="3"/>
  <c r="AF513" i="3"/>
  <c r="AE513" i="3"/>
  <c r="AG512" i="3"/>
  <c r="AF512" i="3"/>
  <c r="AE512" i="3"/>
  <c r="AG511" i="3"/>
  <c r="AF511" i="3"/>
  <c r="AE511" i="3"/>
  <c r="AG510" i="3"/>
  <c r="AF510" i="3"/>
  <c r="AE510" i="3"/>
  <c r="AG509" i="3"/>
  <c r="AF509" i="3"/>
  <c r="AE509" i="3"/>
  <c r="AG508" i="3"/>
  <c r="AF508" i="3"/>
  <c r="AE508" i="3"/>
  <c r="AG507" i="3"/>
  <c r="AF507" i="3"/>
  <c r="AE507" i="3"/>
  <c r="AG506" i="3"/>
  <c r="AF506" i="3"/>
  <c r="AE506" i="3"/>
  <c r="AG505" i="3"/>
  <c r="AF505" i="3"/>
  <c r="AE505" i="3"/>
  <c r="AG504" i="3"/>
  <c r="AF504" i="3"/>
  <c r="AE504" i="3"/>
  <c r="AG503" i="3"/>
  <c r="AF503" i="3"/>
  <c r="AE503" i="3"/>
  <c r="AG502" i="3"/>
  <c r="AF502" i="3"/>
  <c r="AE502" i="3"/>
  <c r="AG501" i="3"/>
  <c r="AF501" i="3"/>
  <c r="AE501" i="3"/>
  <c r="AG500" i="3"/>
  <c r="AF500" i="3"/>
  <c r="AE500" i="3"/>
  <c r="AG499" i="3"/>
  <c r="AF499" i="3"/>
  <c r="AE499" i="3"/>
  <c r="AG498" i="3"/>
  <c r="AF498" i="3"/>
  <c r="AE498" i="3"/>
  <c r="AG497" i="3"/>
  <c r="AF497" i="3"/>
  <c r="AE497" i="3"/>
  <c r="AG496" i="3"/>
  <c r="AF496" i="3"/>
  <c r="AE496" i="3"/>
  <c r="AG495" i="3"/>
  <c r="AF495" i="3"/>
  <c r="AE495" i="3"/>
  <c r="AG494" i="3"/>
  <c r="AF494" i="3"/>
  <c r="AE494" i="3"/>
  <c r="AG493" i="3"/>
  <c r="AF493" i="3"/>
  <c r="AE493" i="3"/>
  <c r="AG492" i="3"/>
  <c r="AF492" i="3"/>
  <c r="AE492" i="3"/>
  <c r="AG491" i="3"/>
  <c r="AF491" i="3"/>
  <c r="AE491" i="3"/>
  <c r="AG490" i="3"/>
  <c r="AF490" i="3"/>
  <c r="AE490" i="3"/>
  <c r="AG489" i="3"/>
  <c r="AF489" i="3"/>
  <c r="AE489" i="3"/>
  <c r="AG488" i="3"/>
  <c r="AF488" i="3"/>
  <c r="AE488" i="3"/>
  <c r="AG487" i="3"/>
  <c r="AF487" i="3"/>
  <c r="AE487" i="3"/>
  <c r="AG486" i="3"/>
  <c r="AF486" i="3"/>
  <c r="AE486" i="3"/>
  <c r="AG485" i="3"/>
  <c r="AF485" i="3"/>
  <c r="AE485" i="3"/>
  <c r="AG484" i="3"/>
  <c r="AF484" i="3"/>
  <c r="AE484" i="3"/>
  <c r="AG483" i="3"/>
  <c r="AF483" i="3"/>
  <c r="AE483" i="3"/>
  <c r="AG482" i="3"/>
  <c r="AF482" i="3"/>
  <c r="AE482" i="3"/>
  <c r="AG481" i="3"/>
  <c r="AF481" i="3"/>
  <c r="AE481" i="3"/>
  <c r="AG480" i="3"/>
  <c r="AF480" i="3"/>
  <c r="AE480" i="3"/>
  <c r="AG479" i="3"/>
  <c r="AF479" i="3"/>
  <c r="AE479" i="3"/>
  <c r="AG478" i="3"/>
  <c r="AF478" i="3"/>
  <c r="AE478" i="3"/>
  <c r="AG477" i="3"/>
  <c r="AF477" i="3"/>
  <c r="AE477" i="3"/>
  <c r="AG476" i="3"/>
  <c r="AF476" i="3"/>
  <c r="AE476" i="3"/>
  <c r="AG475" i="3"/>
  <c r="AF475" i="3"/>
  <c r="AE475" i="3"/>
  <c r="AG474" i="3"/>
  <c r="AF474" i="3"/>
  <c r="AE474" i="3"/>
  <c r="AG473" i="3"/>
  <c r="AF473" i="3"/>
  <c r="AE473" i="3"/>
  <c r="AG472" i="3"/>
  <c r="AF472" i="3"/>
  <c r="AE472" i="3"/>
  <c r="AG471" i="3"/>
  <c r="AF471" i="3"/>
  <c r="AE471" i="3"/>
  <c r="AG470" i="3"/>
  <c r="AF470" i="3"/>
  <c r="AE470" i="3"/>
  <c r="AG469" i="3"/>
  <c r="AF469" i="3"/>
  <c r="AE469" i="3"/>
  <c r="AG468" i="3"/>
  <c r="AF468" i="3"/>
  <c r="AE468" i="3"/>
  <c r="AG467" i="3"/>
  <c r="AF467" i="3"/>
  <c r="AE467" i="3"/>
  <c r="AG466" i="3"/>
  <c r="AF466" i="3"/>
  <c r="AE466" i="3"/>
  <c r="AG465" i="3"/>
  <c r="AF465" i="3"/>
  <c r="AE465" i="3"/>
  <c r="AG464" i="3"/>
  <c r="AF464" i="3"/>
  <c r="AE464" i="3"/>
  <c r="AG463" i="3"/>
  <c r="AF463" i="3"/>
  <c r="AE463" i="3"/>
  <c r="AG462" i="3"/>
  <c r="AF462" i="3"/>
  <c r="AE462" i="3"/>
  <c r="AG461" i="3"/>
  <c r="AF461" i="3"/>
  <c r="AE461" i="3"/>
  <c r="AG460" i="3"/>
  <c r="AF460" i="3"/>
  <c r="AE460" i="3"/>
  <c r="AG459" i="3"/>
  <c r="AF459" i="3"/>
  <c r="AE459" i="3"/>
  <c r="AG458" i="3"/>
  <c r="AF458" i="3"/>
  <c r="AE458" i="3"/>
  <c r="AG457" i="3"/>
  <c r="AF457" i="3"/>
  <c r="AE457" i="3"/>
  <c r="AG456" i="3"/>
  <c r="AF456" i="3"/>
  <c r="AE456" i="3"/>
  <c r="AG455" i="3"/>
  <c r="AF455" i="3"/>
  <c r="AE455" i="3"/>
  <c r="AG454" i="3"/>
  <c r="AF454" i="3"/>
  <c r="AE454" i="3"/>
  <c r="AG453" i="3"/>
  <c r="AF453" i="3"/>
  <c r="AE453" i="3"/>
  <c r="AG452" i="3"/>
  <c r="AF452" i="3"/>
  <c r="AE452" i="3"/>
  <c r="AG451" i="3"/>
  <c r="AF451" i="3"/>
  <c r="AE451" i="3"/>
  <c r="AG450" i="3"/>
  <c r="AF450" i="3"/>
  <c r="AE450" i="3"/>
  <c r="AG449" i="3"/>
  <c r="AF449" i="3"/>
  <c r="AE449" i="3"/>
  <c r="AG448" i="3"/>
  <c r="AF448" i="3"/>
  <c r="AE448" i="3"/>
  <c r="AG447" i="3"/>
  <c r="AF447" i="3"/>
  <c r="AE447" i="3"/>
  <c r="AG446" i="3"/>
  <c r="AF446" i="3"/>
  <c r="AE446" i="3"/>
  <c r="AG445" i="3"/>
  <c r="AF445" i="3"/>
  <c r="AE445" i="3"/>
  <c r="AG444" i="3"/>
  <c r="AF444" i="3"/>
  <c r="AE444" i="3"/>
  <c r="AG443" i="3"/>
  <c r="AF443" i="3"/>
  <c r="AE443" i="3"/>
  <c r="AG442" i="3"/>
  <c r="AF442" i="3"/>
  <c r="AE442" i="3"/>
  <c r="AG441" i="3"/>
  <c r="AF441" i="3"/>
  <c r="AE441" i="3"/>
  <c r="AG440" i="3"/>
  <c r="AF440" i="3"/>
  <c r="AE440" i="3"/>
  <c r="AG439" i="3"/>
  <c r="AF439" i="3"/>
  <c r="AE439" i="3"/>
  <c r="AG438" i="3"/>
  <c r="AF438" i="3"/>
  <c r="AE438" i="3"/>
  <c r="AG437" i="3"/>
  <c r="AF437" i="3"/>
  <c r="AE437" i="3"/>
  <c r="AG436" i="3"/>
  <c r="AF436" i="3"/>
  <c r="AE436" i="3"/>
  <c r="AG435" i="3"/>
  <c r="AF435" i="3"/>
  <c r="AE435" i="3"/>
  <c r="AG434" i="3"/>
  <c r="AF434" i="3"/>
  <c r="AE434" i="3"/>
  <c r="AG433" i="3"/>
  <c r="AF433" i="3"/>
  <c r="AE433" i="3"/>
  <c r="AG432" i="3"/>
  <c r="AF432" i="3"/>
  <c r="AE432" i="3"/>
  <c r="AG431" i="3"/>
  <c r="AF431" i="3"/>
  <c r="AE431" i="3"/>
  <c r="AG430" i="3"/>
  <c r="AF430" i="3"/>
  <c r="AE430" i="3"/>
  <c r="AG429" i="3"/>
  <c r="AF429" i="3"/>
  <c r="AE429" i="3"/>
  <c r="AG428" i="3"/>
  <c r="AF428" i="3"/>
  <c r="AE428" i="3"/>
  <c r="AG427" i="3"/>
  <c r="AF427" i="3"/>
  <c r="AE427" i="3"/>
  <c r="AG426" i="3"/>
  <c r="AF426" i="3"/>
  <c r="AE426" i="3"/>
  <c r="AG425" i="3"/>
  <c r="AF425" i="3"/>
  <c r="AE425" i="3"/>
  <c r="AG424" i="3"/>
  <c r="AF424" i="3"/>
  <c r="AE424" i="3"/>
  <c r="AG423" i="3"/>
  <c r="AF423" i="3"/>
  <c r="AE423" i="3"/>
  <c r="AG422" i="3"/>
  <c r="AF422" i="3"/>
  <c r="AE422" i="3"/>
  <c r="AG421" i="3"/>
  <c r="AF421" i="3"/>
  <c r="AE421" i="3"/>
  <c r="AG420" i="3"/>
  <c r="AF420" i="3"/>
  <c r="AE420" i="3"/>
  <c r="AG419" i="3"/>
  <c r="AF419" i="3"/>
  <c r="AE419" i="3"/>
  <c r="AG418" i="3"/>
  <c r="AF418" i="3"/>
  <c r="AE418" i="3"/>
  <c r="AG417" i="3"/>
  <c r="AF417" i="3"/>
  <c r="AE417" i="3"/>
  <c r="AG416" i="3"/>
  <c r="AF416" i="3"/>
  <c r="AE416" i="3"/>
  <c r="AG415" i="3"/>
  <c r="AF415" i="3"/>
  <c r="AE415" i="3"/>
  <c r="AG414" i="3"/>
  <c r="AF414" i="3"/>
  <c r="AE414" i="3"/>
  <c r="AG413" i="3"/>
  <c r="AF413" i="3"/>
  <c r="AE413" i="3"/>
  <c r="AG412" i="3"/>
  <c r="AF412" i="3"/>
  <c r="AE412" i="3"/>
  <c r="AG411" i="3"/>
  <c r="AF411" i="3"/>
  <c r="AE411" i="3"/>
  <c r="AG410" i="3"/>
  <c r="AF410" i="3"/>
  <c r="AE410" i="3"/>
  <c r="AG409" i="3"/>
  <c r="AF409" i="3"/>
  <c r="AE409" i="3"/>
  <c r="AG408" i="3"/>
  <c r="AF408" i="3"/>
  <c r="AE408" i="3"/>
  <c r="AG407" i="3"/>
  <c r="AF407" i="3"/>
  <c r="AE407" i="3"/>
  <c r="AG406" i="3"/>
  <c r="AF406" i="3"/>
  <c r="AE406" i="3"/>
  <c r="AG405" i="3"/>
  <c r="AF405" i="3"/>
  <c r="AE405" i="3"/>
  <c r="AG404" i="3"/>
  <c r="AF404" i="3"/>
  <c r="AE404" i="3"/>
  <c r="AG403" i="3"/>
  <c r="AF403" i="3"/>
  <c r="AE403" i="3"/>
  <c r="AG402" i="3"/>
  <c r="AF402" i="3"/>
  <c r="AE402" i="3"/>
  <c r="AG401" i="3"/>
  <c r="AF401" i="3"/>
  <c r="AE401" i="3"/>
  <c r="AG400" i="3"/>
  <c r="AF400" i="3"/>
  <c r="AE400" i="3"/>
  <c r="AG399" i="3"/>
  <c r="AF399" i="3"/>
  <c r="AE399" i="3"/>
  <c r="AG398" i="3"/>
  <c r="AF398" i="3"/>
  <c r="AE398" i="3"/>
  <c r="AG397" i="3"/>
  <c r="AF397" i="3"/>
  <c r="AE397" i="3"/>
  <c r="AG396" i="3"/>
  <c r="AF396" i="3"/>
  <c r="AE396" i="3"/>
  <c r="AG395" i="3"/>
  <c r="AF395" i="3"/>
  <c r="AE395" i="3"/>
  <c r="AG394" i="3"/>
  <c r="AF394" i="3"/>
  <c r="AE394" i="3"/>
  <c r="AG393" i="3"/>
  <c r="AF393" i="3"/>
  <c r="AE393" i="3"/>
  <c r="AG392" i="3"/>
  <c r="AF392" i="3"/>
  <c r="AE392" i="3"/>
  <c r="AG391" i="3"/>
  <c r="AF391" i="3"/>
  <c r="AE391" i="3"/>
  <c r="AG390" i="3"/>
  <c r="AF390" i="3"/>
  <c r="AE390" i="3"/>
  <c r="AG389" i="3"/>
  <c r="AF389" i="3"/>
  <c r="AE389" i="3"/>
  <c r="AG388" i="3"/>
  <c r="AF388" i="3"/>
  <c r="AE388" i="3"/>
  <c r="AG387" i="3"/>
  <c r="AF387" i="3"/>
  <c r="AE387" i="3"/>
  <c r="AG386" i="3"/>
  <c r="AF386" i="3"/>
  <c r="AE386" i="3"/>
  <c r="AG385" i="3"/>
  <c r="AF385" i="3"/>
  <c r="AE385" i="3"/>
  <c r="AG384" i="3"/>
  <c r="AF384" i="3"/>
  <c r="AE384" i="3"/>
  <c r="AG383" i="3"/>
  <c r="AF383" i="3"/>
  <c r="AE383" i="3"/>
  <c r="AG382" i="3"/>
  <c r="AF382" i="3"/>
  <c r="AE382" i="3"/>
  <c r="AG381" i="3"/>
  <c r="AF381" i="3"/>
  <c r="AE381" i="3"/>
  <c r="AG380" i="3"/>
  <c r="AF380" i="3"/>
  <c r="AE380" i="3"/>
  <c r="AG379" i="3"/>
  <c r="AF379" i="3"/>
  <c r="AE379" i="3"/>
  <c r="AG378" i="3"/>
  <c r="AF378" i="3"/>
  <c r="AE378" i="3"/>
  <c r="AG377" i="3"/>
  <c r="AF377" i="3"/>
  <c r="AE377" i="3"/>
  <c r="AG376" i="3"/>
  <c r="AF376" i="3"/>
  <c r="AE376" i="3"/>
  <c r="AG375" i="3"/>
  <c r="AF375" i="3"/>
  <c r="AE375" i="3"/>
  <c r="AG374" i="3"/>
  <c r="AF374" i="3"/>
  <c r="AE374" i="3"/>
  <c r="AG373" i="3"/>
  <c r="AF373" i="3"/>
  <c r="AE373" i="3"/>
  <c r="AG372" i="3"/>
  <c r="AF372" i="3"/>
  <c r="AE372" i="3"/>
  <c r="AG371" i="3"/>
  <c r="AF371" i="3"/>
  <c r="AE371" i="3"/>
  <c r="AG370" i="3"/>
  <c r="AF370" i="3"/>
  <c r="AE370" i="3"/>
  <c r="AG369" i="3"/>
  <c r="AF369" i="3"/>
  <c r="AE369" i="3"/>
  <c r="AG368" i="3"/>
  <c r="AF368" i="3"/>
  <c r="AE368" i="3"/>
  <c r="AG367" i="3"/>
  <c r="AF367" i="3"/>
  <c r="AE367" i="3"/>
  <c r="AG366" i="3"/>
  <c r="AF366" i="3"/>
  <c r="AE366" i="3"/>
  <c r="AG365" i="3"/>
  <c r="AF365" i="3"/>
  <c r="AE365" i="3"/>
  <c r="AG364" i="3"/>
  <c r="AF364" i="3"/>
  <c r="AE364" i="3"/>
  <c r="AG363" i="3"/>
  <c r="AF363" i="3"/>
  <c r="AE363" i="3"/>
  <c r="AG362" i="3"/>
  <c r="AF362" i="3"/>
  <c r="AE362" i="3"/>
  <c r="AG361" i="3"/>
  <c r="AF361" i="3"/>
  <c r="AE361" i="3"/>
  <c r="AG360" i="3"/>
  <c r="AF360" i="3"/>
  <c r="AE360" i="3"/>
  <c r="AG359" i="3"/>
  <c r="AF359" i="3"/>
  <c r="AE359" i="3"/>
  <c r="AG358" i="3"/>
  <c r="AF358" i="3"/>
  <c r="AE358" i="3"/>
  <c r="AG357" i="3"/>
  <c r="AF357" i="3"/>
  <c r="AE357" i="3"/>
  <c r="AG356" i="3"/>
  <c r="AF356" i="3"/>
  <c r="AE356" i="3"/>
  <c r="AG355" i="3"/>
  <c r="AF355" i="3"/>
  <c r="AE355" i="3"/>
  <c r="AG354" i="3"/>
  <c r="AF354" i="3"/>
  <c r="AE354" i="3"/>
  <c r="AG353" i="3"/>
  <c r="AF353" i="3"/>
  <c r="AE353" i="3"/>
  <c r="AG352" i="3"/>
  <c r="AF352" i="3"/>
  <c r="AE352" i="3"/>
  <c r="AG351" i="3"/>
  <c r="AF351" i="3"/>
  <c r="AE351" i="3"/>
  <c r="AG350" i="3"/>
  <c r="AF350" i="3"/>
  <c r="AE350" i="3"/>
  <c r="AG349" i="3"/>
  <c r="AF349" i="3"/>
  <c r="AE349" i="3"/>
  <c r="AG348" i="3"/>
  <c r="AF348" i="3"/>
  <c r="AE348" i="3"/>
  <c r="AG347" i="3"/>
  <c r="AF347" i="3"/>
  <c r="AE347" i="3"/>
  <c r="AG346" i="3"/>
  <c r="AF346" i="3"/>
  <c r="AE346" i="3"/>
  <c r="AG345" i="3"/>
  <c r="AF345" i="3"/>
  <c r="AE345" i="3"/>
  <c r="AG344" i="3"/>
  <c r="AF344" i="3"/>
  <c r="AE344" i="3"/>
  <c r="AG343" i="3"/>
  <c r="AF343" i="3"/>
  <c r="AE343" i="3"/>
  <c r="AG342" i="3"/>
  <c r="AF342" i="3"/>
  <c r="AE342" i="3"/>
  <c r="AG341" i="3"/>
  <c r="AF341" i="3"/>
  <c r="AE341" i="3"/>
  <c r="AG340" i="3"/>
  <c r="AF340" i="3"/>
  <c r="AE340" i="3"/>
  <c r="AG339" i="3"/>
  <c r="AF339" i="3"/>
  <c r="AE339" i="3"/>
  <c r="AG338" i="3"/>
  <c r="AF338" i="3"/>
  <c r="AE338" i="3"/>
  <c r="AG337" i="3"/>
  <c r="AF337" i="3"/>
  <c r="AE337" i="3"/>
  <c r="AG336" i="3"/>
  <c r="AF336" i="3"/>
  <c r="AE336" i="3"/>
  <c r="AG335" i="3"/>
  <c r="AF335" i="3"/>
  <c r="AE335" i="3"/>
  <c r="AG334" i="3"/>
  <c r="AF334" i="3"/>
  <c r="AE334" i="3"/>
  <c r="AG333" i="3"/>
  <c r="AF333" i="3"/>
  <c r="AE333" i="3"/>
  <c r="AG332" i="3"/>
  <c r="AF332" i="3"/>
  <c r="AE332" i="3"/>
  <c r="AG331" i="3"/>
  <c r="AF331" i="3"/>
  <c r="AE331" i="3"/>
  <c r="AG330" i="3"/>
  <c r="AF330" i="3"/>
  <c r="AE330" i="3"/>
  <c r="AG329" i="3"/>
  <c r="AF329" i="3"/>
  <c r="AE329" i="3"/>
  <c r="AG328" i="3"/>
  <c r="AF328" i="3"/>
  <c r="AE328" i="3"/>
  <c r="AG327" i="3"/>
  <c r="AF327" i="3"/>
  <c r="AE327" i="3"/>
  <c r="AG326" i="3"/>
  <c r="AF326" i="3"/>
  <c r="AE326" i="3"/>
  <c r="AG325" i="3"/>
  <c r="AF325" i="3"/>
  <c r="AE325" i="3"/>
  <c r="AG324" i="3"/>
  <c r="AF324" i="3"/>
  <c r="AE324" i="3"/>
  <c r="AG323" i="3"/>
  <c r="AF323" i="3"/>
  <c r="AE323" i="3"/>
  <c r="AG322" i="3"/>
  <c r="AF322" i="3"/>
  <c r="AE322" i="3"/>
  <c r="AG321" i="3"/>
  <c r="AF321" i="3"/>
  <c r="AE321" i="3"/>
  <c r="AG320" i="3"/>
  <c r="AF320" i="3"/>
  <c r="AE320" i="3"/>
  <c r="AG319" i="3"/>
  <c r="AF319" i="3"/>
  <c r="AE319" i="3"/>
  <c r="AG318" i="3"/>
  <c r="AF318" i="3"/>
  <c r="AE318" i="3"/>
  <c r="AG317" i="3"/>
  <c r="AF317" i="3"/>
  <c r="AE317" i="3"/>
  <c r="AG316" i="3"/>
  <c r="AF316" i="3"/>
  <c r="AE316" i="3"/>
  <c r="AG315" i="3"/>
  <c r="AF315" i="3"/>
  <c r="AE315" i="3"/>
  <c r="AG314" i="3"/>
  <c r="AF314" i="3"/>
  <c r="AE314" i="3"/>
  <c r="AG313" i="3"/>
  <c r="AF313" i="3"/>
  <c r="AE313" i="3"/>
  <c r="AG312" i="3"/>
  <c r="AF312" i="3"/>
  <c r="AE312" i="3"/>
  <c r="AG311" i="3"/>
  <c r="AF311" i="3"/>
  <c r="AE311" i="3"/>
  <c r="AG310" i="3"/>
  <c r="AF310" i="3"/>
  <c r="AE310" i="3"/>
  <c r="AG309" i="3"/>
  <c r="AF309" i="3"/>
  <c r="AE309" i="3"/>
  <c r="AG308" i="3"/>
  <c r="AF308" i="3"/>
  <c r="AE308" i="3"/>
  <c r="AG307" i="3"/>
  <c r="AF307" i="3"/>
  <c r="AE307" i="3"/>
  <c r="AG306" i="3"/>
  <c r="AF306" i="3"/>
  <c r="AE306" i="3"/>
  <c r="AG305" i="3"/>
  <c r="AF305" i="3"/>
  <c r="AE305" i="3"/>
  <c r="AG304" i="3"/>
  <c r="AF304" i="3"/>
  <c r="AE304" i="3"/>
  <c r="AG303" i="3"/>
  <c r="AF303" i="3"/>
  <c r="AE303" i="3"/>
  <c r="AG302" i="3"/>
  <c r="AF302" i="3"/>
  <c r="AE302" i="3"/>
  <c r="AG301" i="3"/>
  <c r="AF301" i="3"/>
  <c r="AE301" i="3"/>
  <c r="AG300" i="3"/>
  <c r="AF300" i="3"/>
  <c r="AE300" i="3"/>
  <c r="AG299" i="3"/>
  <c r="AF299" i="3"/>
  <c r="AE299" i="3"/>
  <c r="AG298" i="3"/>
  <c r="AF298" i="3"/>
  <c r="AE298" i="3"/>
  <c r="AG297" i="3"/>
  <c r="AF297" i="3"/>
  <c r="AE297" i="3"/>
  <c r="AG296" i="3"/>
  <c r="AF296" i="3"/>
  <c r="AE296" i="3"/>
  <c r="AG295" i="3"/>
  <c r="AF295" i="3"/>
  <c r="AE295" i="3"/>
  <c r="AG294" i="3"/>
  <c r="AF294" i="3"/>
  <c r="AE294" i="3"/>
  <c r="AG293" i="3"/>
  <c r="AF293" i="3"/>
  <c r="AE293" i="3"/>
  <c r="AG292" i="3"/>
  <c r="AF292" i="3"/>
  <c r="AE292" i="3"/>
  <c r="AG291" i="3"/>
  <c r="AF291" i="3"/>
  <c r="AE291" i="3"/>
  <c r="AG290" i="3"/>
  <c r="AF290" i="3"/>
  <c r="AE290" i="3"/>
  <c r="AG289" i="3"/>
  <c r="AF289" i="3"/>
  <c r="AE289" i="3"/>
  <c r="AG288" i="3"/>
  <c r="AF288" i="3"/>
  <c r="AE288" i="3"/>
  <c r="AG287" i="3"/>
  <c r="AF287" i="3"/>
  <c r="AE287" i="3"/>
  <c r="AG286" i="3"/>
  <c r="AF286" i="3"/>
  <c r="AE286" i="3"/>
  <c r="AG285" i="3"/>
  <c r="AF285" i="3"/>
  <c r="AE285" i="3"/>
  <c r="AG284" i="3"/>
  <c r="AF284" i="3"/>
  <c r="AE284" i="3"/>
  <c r="AG283" i="3"/>
  <c r="AF283" i="3"/>
  <c r="AE283" i="3"/>
  <c r="AG282" i="3"/>
  <c r="AF282" i="3"/>
  <c r="AE282" i="3"/>
  <c r="AG281" i="3"/>
  <c r="AF281" i="3"/>
  <c r="AE281" i="3"/>
  <c r="AG280" i="3"/>
  <c r="AF280" i="3"/>
  <c r="AE280" i="3"/>
  <c r="AG279" i="3"/>
  <c r="AF279" i="3"/>
  <c r="AE279" i="3"/>
  <c r="AG278" i="3"/>
  <c r="AF278" i="3"/>
  <c r="AE278" i="3"/>
  <c r="AG277" i="3"/>
  <c r="AF277" i="3"/>
  <c r="AE277" i="3"/>
  <c r="AG276" i="3"/>
  <c r="AF276" i="3"/>
  <c r="AE276" i="3"/>
  <c r="AG275" i="3"/>
  <c r="AF275" i="3"/>
  <c r="AE275" i="3"/>
  <c r="AG274" i="3"/>
  <c r="AF274" i="3"/>
  <c r="AE274" i="3"/>
  <c r="AG273" i="3"/>
  <c r="AF273" i="3"/>
  <c r="AE273" i="3"/>
  <c r="AG272" i="3"/>
  <c r="AF272" i="3"/>
  <c r="AE272" i="3"/>
  <c r="AG271" i="3"/>
  <c r="AF271" i="3"/>
  <c r="AE271" i="3"/>
  <c r="AG270" i="3"/>
  <c r="AF270" i="3"/>
  <c r="AE270" i="3"/>
  <c r="AG269" i="3"/>
  <c r="AF269" i="3"/>
  <c r="AE269" i="3"/>
  <c r="AG268" i="3"/>
  <c r="AF268" i="3"/>
  <c r="AE268" i="3"/>
  <c r="AG267" i="3"/>
  <c r="AF267" i="3"/>
  <c r="AE267" i="3"/>
  <c r="AG266" i="3"/>
  <c r="AF266" i="3"/>
  <c r="AE266" i="3"/>
  <c r="AG265" i="3"/>
  <c r="AF265" i="3"/>
  <c r="AE265" i="3"/>
  <c r="AG264" i="3"/>
  <c r="AF264" i="3"/>
  <c r="AE264" i="3"/>
  <c r="AG263" i="3"/>
  <c r="AF263" i="3"/>
  <c r="AE263" i="3"/>
  <c r="AG262" i="3"/>
  <c r="AF262" i="3"/>
  <c r="AE262" i="3"/>
  <c r="AG261" i="3"/>
  <c r="AF261" i="3"/>
  <c r="AE261" i="3"/>
  <c r="AG260" i="3"/>
  <c r="AF260" i="3"/>
  <c r="AE260" i="3"/>
  <c r="AG259" i="3"/>
  <c r="AF259" i="3"/>
  <c r="AE259" i="3"/>
  <c r="AG258" i="3"/>
  <c r="AF258" i="3"/>
  <c r="AE258" i="3"/>
  <c r="AG257" i="3"/>
  <c r="AF257" i="3"/>
  <c r="AE257" i="3"/>
  <c r="AG256" i="3"/>
  <c r="AF256" i="3"/>
  <c r="AE256" i="3"/>
  <c r="AG255" i="3"/>
  <c r="AF255" i="3"/>
  <c r="AE255" i="3"/>
  <c r="AG254" i="3"/>
  <c r="AF254" i="3"/>
  <c r="AE254" i="3"/>
  <c r="AG253" i="3"/>
  <c r="AF253" i="3"/>
  <c r="AE253" i="3"/>
  <c r="AG252" i="3"/>
  <c r="AF252" i="3"/>
  <c r="AE252" i="3"/>
  <c r="AG251" i="3"/>
  <c r="AF251" i="3"/>
  <c r="AE251" i="3"/>
  <c r="AG250" i="3"/>
  <c r="AF250" i="3"/>
  <c r="AE250" i="3"/>
  <c r="AG249" i="3"/>
  <c r="AF249" i="3"/>
  <c r="AE249" i="3"/>
  <c r="AG248" i="3"/>
  <c r="AF248" i="3"/>
  <c r="AE248" i="3"/>
  <c r="AG247" i="3"/>
  <c r="AF247" i="3"/>
  <c r="AE247" i="3"/>
  <c r="AG246" i="3"/>
  <c r="AF246" i="3"/>
  <c r="AE246" i="3"/>
  <c r="AG245" i="3"/>
  <c r="AF245" i="3"/>
  <c r="AE245" i="3"/>
  <c r="AG244" i="3"/>
  <c r="AF244" i="3"/>
  <c r="AE244" i="3"/>
  <c r="AG243" i="3"/>
  <c r="AF243" i="3"/>
  <c r="AE243" i="3"/>
  <c r="AG242" i="3"/>
  <c r="AF242" i="3"/>
  <c r="AE242" i="3"/>
  <c r="AG241" i="3"/>
  <c r="AF241" i="3"/>
  <c r="AE241" i="3"/>
  <c r="AG240" i="3"/>
  <c r="AF240" i="3"/>
  <c r="AE240" i="3"/>
  <c r="AG239" i="3"/>
  <c r="AF239" i="3"/>
  <c r="AE239" i="3"/>
  <c r="AG238" i="3"/>
  <c r="AF238" i="3"/>
  <c r="AE238" i="3"/>
  <c r="AG237" i="3"/>
  <c r="AF237" i="3"/>
  <c r="AE237" i="3"/>
  <c r="AG236" i="3"/>
  <c r="AF236" i="3"/>
  <c r="AE236" i="3"/>
  <c r="AG235" i="3"/>
  <c r="AF235" i="3"/>
  <c r="AE235" i="3"/>
  <c r="AG234" i="3"/>
  <c r="AF234" i="3"/>
  <c r="AE234" i="3"/>
  <c r="AG233" i="3"/>
  <c r="AF233" i="3"/>
  <c r="AE233" i="3"/>
  <c r="AG232" i="3"/>
  <c r="AF232" i="3"/>
  <c r="AE232" i="3"/>
  <c r="AG231" i="3"/>
  <c r="AF231" i="3"/>
  <c r="AE231" i="3"/>
  <c r="AG230" i="3"/>
  <c r="AF230" i="3"/>
  <c r="AE230" i="3"/>
  <c r="AG229" i="3"/>
  <c r="AF229" i="3"/>
  <c r="AE229" i="3"/>
  <c r="AG228" i="3"/>
  <c r="AF228" i="3"/>
  <c r="AE228" i="3"/>
  <c r="AG227" i="3"/>
  <c r="AF227" i="3"/>
  <c r="AE227" i="3"/>
  <c r="AG226" i="3"/>
  <c r="AF226" i="3"/>
  <c r="AE226" i="3"/>
  <c r="AG225" i="3"/>
  <c r="AF225" i="3"/>
  <c r="AE225" i="3"/>
  <c r="AG224" i="3"/>
  <c r="AF224" i="3"/>
  <c r="AE224" i="3"/>
  <c r="AG223" i="3"/>
  <c r="AF223" i="3"/>
  <c r="AE223" i="3"/>
  <c r="AG222" i="3"/>
  <c r="AF222" i="3"/>
  <c r="AE222" i="3"/>
  <c r="AG221" i="3"/>
  <c r="AF221" i="3"/>
  <c r="AE221" i="3"/>
  <c r="AG220" i="3"/>
  <c r="AF220" i="3"/>
  <c r="AE220" i="3"/>
  <c r="AG219" i="3"/>
  <c r="AF219" i="3"/>
  <c r="AE219" i="3"/>
  <c r="AG218" i="3"/>
  <c r="AF218" i="3"/>
  <c r="AE218" i="3"/>
  <c r="AG217" i="3"/>
  <c r="AF217" i="3"/>
  <c r="AE217" i="3"/>
  <c r="AG216" i="3"/>
  <c r="AF216" i="3"/>
  <c r="AE216" i="3"/>
  <c r="AG215" i="3"/>
  <c r="AF215" i="3"/>
  <c r="AE215" i="3"/>
  <c r="AG214" i="3"/>
  <c r="AF214" i="3"/>
  <c r="AE214" i="3"/>
  <c r="AG213" i="3"/>
  <c r="AF213" i="3"/>
  <c r="AE213" i="3"/>
  <c r="AG212" i="3"/>
  <c r="AF212" i="3"/>
  <c r="AE212" i="3"/>
  <c r="AG211" i="3"/>
  <c r="AF211" i="3"/>
  <c r="AE211" i="3"/>
  <c r="AG210" i="3"/>
  <c r="AF210" i="3"/>
  <c r="AE210" i="3"/>
  <c r="AG209" i="3"/>
  <c r="AF209" i="3"/>
  <c r="AE209" i="3"/>
  <c r="AG208" i="3"/>
  <c r="AF208" i="3"/>
  <c r="AE208" i="3"/>
  <c r="AG207" i="3"/>
  <c r="AF207" i="3"/>
  <c r="AE207" i="3"/>
  <c r="AG206" i="3"/>
  <c r="AF206" i="3"/>
  <c r="AE206" i="3"/>
  <c r="AG205" i="3"/>
  <c r="AF205" i="3"/>
  <c r="AE205" i="3"/>
  <c r="AG204" i="3"/>
  <c r="AF204" i="3"/>
  <c r="AE204" i="3"/>
  <c r="AG203" i="3"/>
  <c r="AF203" i="3"/>
  <c r="AE203" i="3"/>
  <c r="AG202" i="3"/>
  <c r="AF202" i="3"/>
  <c r="AE202" i="3"/>
  <c r="AG201" i="3"/>
  <c r="AF201" i="3"/>
  <c r="AE201" i="3"/>
  <c r="AG200" i="3"/>
  <c r="AF200" i="3"/>
  <c r="AE200" i="3"/>
  <c r="AG199" i="3"/>
  <c r="AF199" i="3"/>
  <c r="AE199" i="3"/>
  <c r="AG198" i="3"/>
  <c r="AF198" i="3"/>
  <c r="AE198" i="3"/>
  <c r="AG197" i="3"/>
  <c r="AF197" i="3"/>
  <c r="AE197" i="3"/>
  <c r="AG196" i="3"/>
  <c r="AF196" i="3"/>
  <c r="AE196" i="3"/>
  <c r="AG195" i="3"/>
  <c r="AF195" i="3"/>
  <c r="AE195" i="3"/>
  <c r="AG194" i="3"/>
  <c r="AF194" i="3"/>
  <c r="AE194" i="3"/>
  <c r="AG193" i="3"/>
  <c r="AF193" i="3"/>
  <c r="AE193" i="3"/>
  <c r="AG192" i="3"/>
  <c r="AF192" i="3"/>
  <c r="AE192" i="3"/>
  <c r="AG191" i="3"/>
  <c r="AF191" i="3"/>
  <c r="AE191" i="3"/>
  <c r="AG190" i="3"/>
  <c r="AF190" i="3"/>
  <c r="AE190" i="3"/>
  <c r="AG189" i="3"/>
  <c r="AF189" i="3"/>
  <c r="AE189" i="3"/>
  <c r="AG188" i="3"/>
  <c r="AF188" i="3"/>
  <c r="AE188" i="3"/>
  <c r="AG187" i="3"/>
  <c r="AF187" i="3"/>
  <c r="AE187" i="3"/>
  <c r="AG186" i="3"/>
  <c r="AF186" i="3"/>
  <c r="AE186" i="3"/>
  <c r="AG185" i="3"/>
  <c r="AF185" i="3"/>
  <c r="AE185" i="3"/>
  <c r="AG184" i="3"/>
  <c r="AF184" i="3"/>
  <c r="AE184" i="3"/>
  <c r="AG183" i="3"/>
  <c r="AF183" i="3"/>
  <c r="AE183" i="3"/>
  <c r="AG182" i="3"/>
  <c r="AF182" i="3"/>
  <c r="AE182" i="3"/>
  <c r="AG181" i="3"/>
  <c r="AF181" i="3"/>
  <c r="AE181" i="3"/>
  <c r="AG180" i="3"/>
  <c r="AF180" i="3"/>
  <c r="AE180" i="3"/>
  <c r="AG179" i="3"/>
  <c r="AF179" i="3"/>
  <c r="AE179" i="3"/>
  <c r="AG178" i="3"/>
  <c r="AF178" i="3"/>
  <c r="AE178" i="3"/>
  <c r="AG177" i="3"/>
  <c r="AF177" i="3"/>
  <c r="AE177" i="3"/>
  <c r="AG176" i="3"/>
  <c r="AF176" i="3"/>
  <c r="AE176" i="3"/>
  <c r="AG175" i="3"/>
  <c r="AF175" i="3"/>
  <c r="AE175" i="3"/>
  <c r="AG174" i="3"/>
  <c r="AF174" i="3"/>
  <c r="AE174" i="3"/>
  <c r="AG173" i="3"/>
  <c r="AF173" i="3"/>
  <c r="AE173" i="3"/>
  <c r="AG172" i="3"/>
  <c r="AF172" i="3"/>
  <c r="AE172" i="3"/>
  <c r="AG171" i="3"/>
  <c r="AF171" i="3"/>
  <c r="AE171" i="3"/>
  <c r="AG170" i="3"/>
  <c r="AF170" i="3"/>
  <c r="AE170" i="3"/>
  <c r="AG169" i="3"/>
  <c r="AF169" i="3"/>
  <c r="AE169" i="3"/>
  <c r="AG168" i="3"/>
  <c r="AF168" i="3"/>
  <c r="AE168" i="3"/>
  <c r="AG167" i="3"/>
  <c r="AF167" i="3"/>
  <c r="AE167" i="3"/>
  <c r="AG166" i="3"/>
  <c r="AF166" i="3"/>
  <c r="AE166" i="3"/>
  <c r="AG165" i="3"/>
  <c r="AF165" i="3"/>
  <c r="AE165" i="3"/>
  <c r="AG164" i="3"/>
  <c r="AF164" i="3"/>
  <c r="AE164" i="3"/>
  <c r="AG163" i="3"/>
  <c r="AF163" i="3"/>
  <c r="AE163" i="3"/>
  <c r="AG162" i="3"/>
  <c r="AF162" i="3"/>
  <c r="AE162" i="3"/>
  <c r="AG161" i="3"/>
  <c r="AF161" i="3"/>
  <c r="AE161" i="3"/>
  <c r="AG160" i="3"/>
  <c r="AF160" i="3"/>
  <c r="AE160" i="3"/>
  <c r="AG159" i="3"/>
  <c r="AF159" i="3"/>
  <c r="AE159" i="3"/>
  <c r="AG158" i="3"/>
  <c r="AF158" i="3"/>
  <c r="AE158" i="3"/>
  <c r="AG157" i="3"/>
  <c r="AF157" i="3"/>
  <c r="AE157" i="3"/>
  <c r="AG156" i="3"/>
  <c r="AF156" i="3"/>
  <c r="AE156" i="3"/>
  <c r="AG155" i="3"/>
  <c r="AF155" i="3"/>
  <c r="AE155" i="3"/>
  <c r="AG154" i="3"/>
  <c r="AF154" i="3"/>
  <c r="AE154" i="3"/>
  <c r="AG153" i="3"/>
  <c r="AF153" i="3"/>
  <c r="AE153" i="3"/>
  <c r="AG152" i="3"/>
  <c r="AF152" i="3"/>
  <c r="AE152" i="3"/>
  <c r="AG151" i="3"/>
  <c r="AF151" i="3"/>
  <c r="AE151" i="3"/>
  <c r="AG150" i="3"/>
  <c r="AF150" i="3"/>
  <c r="AE150" i="3"/>
  <c r="AG149" i="3"/>
  <c r="AF149" i="3"/>
  <c r="AE149" i="3"/>
  <c r="AG148" i="3"/>
  <c r="AF148" i="3"/>
  <c r="AE148" i="3"/>
  <c r="AG147" i="3"/>
  <c r="AF147" i="3"/>
  <c r="AE147" i="3"/>
  <c r="AG146" i="3"/>
  <c r="AF146" i="3"/>
  <c r="AE146" i="3"/>
  <c r="AG145" i="3"/>
  <c r="AF145" i="3"/>
  <c r="AE145" i="3"/>
  <c r="AG144" i="3"/>
  <c r="AF144" i="3"/>
  <c r="AE144" i="3"/>
  <c r="AG143" i="3"/>
  <c r="AF143" i="3"/>
  <c r="AE143" i="3"/>
  <c r="AG142" i="3"/>
  <c r="AF142" i="3"/>
  <c r="AE142" i="3"/>
  <c r="AG141" i="3"/>
  <c r="AF141" i="3"/>
  <c r="AE141" i="3"/>
  <c r="AG140" i="3"/>
  <c r="AF140" i="3"/>
  <c r="AE140" i="3"/>
  <c r="AG139" i="3"/>
  <c r="AF139" i="3"/>
  <c r="AE139" i="3"/>
  <c r="AG138" i="3"/>
  <c r="AF138" i="3"/>
  <c r="AE138" i="3"/>
  <c r="AG137" i="3"/>
  <c r="AF137" i="3"/>
  <c r="AE137" i="3"/>
  <c r="AG136" i="3"/>
  <c r="AF136" i="3"/>
  <c r="AE136" i="3"/>
  <c r="AG135" i="3"/>
  <c r="AF135" i="3"/>
  <c r="AE135" i="3"/>
  <c r="AG134" i="3"/>
  <c r="AF134" i="3"/>
  <c r="AE134" i="3"/>
  <c r="AG133" i="3"/>
  <c r="AF133" i="3"/>
  <c r="AE133" i="3"/>
  <c r="AG132" i="3"/>
  <c r="AF132" i="3"/>
  <c r="AE132" i="3"/>
  <c r="AG131" i="3"/>
  <c r="AF131" i="3"/>
  <c r="AE131" i="3"/>
  <c r="AG130" i="3"/>
  <c r="AF130" i="3"/>
  <c r="AE130" i="3"/>
  <c r="AG129" i="3"/>
  <c r="AF129" i="3"/>
  <c r="AE129" i="3"/>
  <c r="AG128" i="3"/>
  <c r="AF128" i="3"/>
  <c r="AE128" i="3"/>
  <c r="AG127" i="3"/>
  <c r="AF127" i="3"/>
  <c r="AE127" i="3"/>
  <c r="AG126" i="3"/>
  <c r="AF126" i="3"/>
  <c r="AE126" i="3"/>
  <c r="AG125" i="3"/>
  <c r="AF125" i="3"/>
  <c r="AE125" i="3"/>
  <c r="AG124" i="3"/>
  <c r="AF124" i="3"/>
  <c r="AE124" i="3"/>
  <c r="AG123" i="3"/>
  <c r="AF123" i="3"/>
  <c r="AE123" i="3"/>
  <c r="AG122" i="3"/>
  <c r="AF122" i="3"/>
  <c r="AE122" i="3"/>
  <c r="AG121" i="3"/>
  <c r="AF121" i="3"/>
  <c r="AE121" i="3"/>
  <c r="AG120" i="3"/>
  <c r="AF120" i="3"/>
  <c r="AE120" i="3"/>
  <c r="AG119" i="3"/>
  <c r="AF119" i="3"/>
  <c r="AE119" i="3"/>
  <c r="AG118" i="3"/>
  <c r="AF118" i="3"/>
  <c r="AE118" i="3"/>
  <c r="AG117" i="3"/>
  <c r="AF117" i="3"/>
  <c r="AE117" i="3"/>
  <c r="AG116" i="3"/>
  <c r="AF116" i="3"/>
  <c r="AE116" i="3"/>
  <c r="AG115" i="3"/>
  <c r="AF115" i="3"/>
  <c r="AE115" i="3"/>
  <c r="AG114" i="3"/>
  <c r="AF114" i="3"/>
  <c r="AE114" i="3"/>
  <c r="AG113" i="3"/>
  <c r="AF113" i="3"/>
  <c r="AE113" i="3"/>
  <c r="AG112" i="3"/>
  <c r="AF112" i="3"/>
  <c r="AE112" i="3"/>
  <c r="AG111" i="3"/>
  <c r="AF111" i="3"/>
  <c r="AE111" i="3"/>
  <c r="AG110" i="3"/>
  <c r="AF110" i="3"/>
  <c r="AE110" i="3"/>
  <c r="AG109" i="3"/>
  <c r="AF109" i="3"/>
  <c r="AE109" i="3"/>
  <c r="AG108" i="3"/>
  <c r="AF108" i="3"/>
  <c r="AE108" i="3"/>
  <c r="AG107" i="3"/>
  <c r="AF107" i="3"/>
  <c r="AE107" i="3"/>
  <c r="AG106" i="3"/>
  <c r="AF106" i="3"/>
  <c r="AE106" i="3"/>
  <c r="AG105" i="3"/>
  <c r="AF105" i="3"/>
  <c r="AE105" i="3"/>
  <c r="AG104" i="3"/>
  <c r="AF104" i="3"/>
  <c r="AE104" i="3"/>
  <c r="AG103" i="3"/>
  <c r="AF103" i="3"/>
  <c r="AE103" i="3"/>
  <c r="AG102" i="3"/>
  <c r="AF102" i="3"/>
  <c r="AE102" i="3"/>
  <c r="AG101" i="3"/>
  <c r="AF101" i="3"/>
  <c r="AE101" i="3"/>
  <c r="AG100" i="3"/>
  <c r="AF100" i="3"/>
  <c r="AE100" i="3"/>
  <c r="AG99" i="3"/>
  <c r="AF99" i="3"/>
  <c r="AE99" i="3"/>
  <c r="AG98" i="3"/>
  <c r="AF98" i="3"/>
  <c r="AE98" i="3"/>
  <c r="AG97" i="3"/>
  <c r="AF97" i="3"/>
  <c r="AE97" i="3"/>
  <c r="AG96" i="3"/>
  <c r="AF96" i="3"/>
  <c r="AE96" i="3"/>
  <c r="AG95" i="3"/>
  <c r="AF95" i="3"/>
  <c r="AE95" i="3"/>
  <c r="AG94" i="3"/>
  <c r="AF94" i="3"/>
  <c r="AE94" i="3"/>
  <c r="AG93" i="3"/>
  <c r="AF93" i="3"/>
  <c r="AE93" i="3"/>
  <c r="AG92" i="3"/>
  <c r="AF92" i="3"/>
  <c r="AE92" i="3"/>
  <c r="AG91" i="3"/>
  <c r="AF91" i="3"/>
  <c r="AE91" i="3"/>
  <c r="AG90" i="3"/>
  <c r="AF90" i="3"/>
  <c r="AE90" i="3"/>
  <c r="AG89" i="3"/>
  <c r="AF89" i="3"/>
  <c r="AE89" i="3"/>
  <c r="AG88" i="3"/>
  <c r="AF88" i="3"/>
  <c r="AE88" i="3"/>
  <c r="AG87" i="3"/>
  <c r="AF87" i="3"/>
  <c r="AE87" i="3"/>
  <c r="AG86" i="3"/>
  <c r="AF86" i="3"/>
  <c r="AE86" i="3"/>
  <c r="AG85" i="3"/>
  <c r="AF85" i="3"/>
  <c r="AE85" i="3"/>
  <c r="AG84" i="3"/>
  <c r="AF84" i="3"/>
  <c r="AE84" i="3"/>
  <c r="AG83" i="3"/>
  <c r="AF83" i="3"/>
  <c r="AE83" i="3"/>
  <c r="AG82" i="3"/>
  <c r="AF82" i="3"/>
  <c r="AE82" i="3"/>
  <c r="AG81" i="3"/>
  <c r="AF81" i="3"/>
  <c r="AE81" i="3"/>
  <c r="AG80" i="3"/>
  <c r="AF80" i="3"/>
  <c r="AE80" i="3"/>
  <c r="AG79" i="3"/>
  <c r="AF79" i="3"/>
  <c r="AE79" i="3"/>
  <c r="AG78" i="3"/>
  <c r="AF78" i="3"/>
  <c r="AE78" i="3"/>
  <c r="AG77" i="3"/>
  <c r="AF77" i="3"/>
  <c r="AE77" i="3"/>
  <c r="AG76" i="3"/>
  <c r="AF76" i="3"/>
  <c r="AE76" i="3"/>
  <c r="AG75" i="3"/>
  <c r="AF75" i="3"/>
  <c r="AE75" i="3"/>
  <c r="AG74" i="3"/>
  <c r="AF74" i="3"/>
  <c r="AE74" i="3"/>
  <c r="AG73" i="3"/>
  <c r="AF73" i="3"/>
  <c r="AE73" i="3"/>
  <c r="AG72" i="3"/>
  <c r="AF72" i="3"/>
  <c r="AE72" i="3"/>
  <c r="AG71" i="3"/>
  <c r="AF71" i="3"/>
  <c r="AE71" i="3"/>
  <c r="AG70" i="3"/>
  <c r="AF70" i="3"/>
  <c r="AE70" i="3"/>
  <c r="AG69" i="3"/>
  <c r="AF69" i="3"/>
  <c r="AE69" i="3"/>
  <c r="AG68" i="3"/>
  <c r="AF68" i="3"/>
  <c r="AE68" i="3"/>
  <c r="AG67" i="3"/>
  <c r="AF67" i="3"/>
  <c r="AE67" i="3"/>
  <c r="AG66" i="3"/>
  <c r="AF66" i="3"/>
  <c r="AE66" i="3"/>
  <c r="AG65" i="3"/>
  <c r="AF65" i="3"/>
  <c r="AE65" i="3"/>
  <c r="AG64" i="3"/>
  <c r="AF64" i="3"/>
  <c r="AE64" i="3"/>
  <c r="AG63" i="3"/>
  <c r="AF63" i="3"/>
  <c r="AE63" i="3"/>
  <c r="AG62" i="3"/>
  <c r="AF62" i="3"/>
  <c r="AE62" i="3"/>
  <c r="AG61" i="3"/>
  <c r="AF61" i="3"/>
  <c r="AE61" i="3"/>
  <c r="AG60" i="3"/>
  <c r="AF60" i="3"/>
  <c r="AE60" i="3"/>
  <c r="AG59" i="3"/>
  <c r="AF59" i="3"/>
  <c r="AE59" i="3"/>
  <c r="AG58" i="3"/>
  <c r="AF58" i="3"/>
  <c r="AE58" i="3"/>
  <c r="AG57" i="3"/>
  <c r="AF57" i="3"/>
  <c r="AE57" i="3"/>
  <c r="AG56" i="3"/>
  <c r="AF56" i="3"/>
  <c r="AE56" i="3"/>
  <c r="AG55" i="3"/>
  <c r="AF55" i="3"/>
  <c r="AE55" i="3"/>
  <c r="AG54" i="3"/>
  <c r="AF54" i="3"/>
  <c r="AE54" i="3"/>
  <c r="AG53" i="3"/>
  <c r="AF53" i="3"/>
  <c r="AE53" i="3"/>
  <c r="AG52" i="3"/>
  <c r="AF52" i="3"/>
  <c r="AE52" i="3"/>
  <c r="AG51" i="3"/>
  <c r="AF51" i="3"/>
  <c r="AE51" i="3"/>
  <c r="AG50" i="3"/>
  <c r="AF50" i="3"/>
  <c r="AE50" i="3"/>
  <c r="AG49" i="3"/>
  <c r="AF49" i="3"/>
  <c r="AE49" i="3"/>
  <c r="AG48" i="3"/>
  <c r="AF48" i="3"/>
  <c r="AE48" i="3"/>
  <c r="AG47" i="3"/>
  <c r="AF47" i="3"/>
  <c r="AE47" i="3"/>
  <c r="AG46" i="3"/>
  <c r="AF46" i="3"/>
  <c r="AE46" i="3"/>
  <c r="AG45" i="3"/>
  <c r="AF45" i="3"/>
  <c r="AE45" i="3"/>
  <c r="AG44" i="3"/>
  <c r="AF44" i="3"/>
  <c r="AE44" i="3"/>
  <c r="AG43" i="3"/>
  <c r="AF43" i="3"/>
  <c r="AE43" i="3"/>
  <c r="AG42" i="3"/>
  <c r="AF42" i="3"/>
  <c r="AE42" i="3"/>
  <c r="AG41" i="3"/>
  <c r="AF41" i="3"/>
  <c r="AE41" i="3"/>
  <c r="AG40" i="3"/>
  <c r="AF40" i="3"/>
  <c r="AE40" i="3"/>
  <c r="AG39" i="3"/>
  <c r="AF39" i="3"/>
  <c r="AE39" i="3"/>
  <c r="AG38" i="3"/>
  <c r="AF38" i="3"/>
  <c r="AE38" i="3"/>
  <c r="AG37" i="3"/>
  <c r="AF37" i="3"/>
  <c r="AE37" i="3"/>
  <c r="AG36" i="3"/>
  <c r="AF36" i="3"/>
  <c r="AE36" i="3"/>
  <c r="AG35" i="3"/>
  <c r="AF35" i="3"/>
  <c r="AE35" i="3"/>
  <c r="AG34" i="3"/>
  <c r="AF34" i="3"/>
  <c r="AE34" i="3"/>
  <c r="AG33" i="3"/>
  <c r="AF33" i="3"/>
  <c r="AE33" i="3"/>
  <c r="AG32" i="3"/>
  <c r="AF32" i="3"/>
  <c r="AE32" i="3"/>
  <c r="AG31" i="3"/>
  <c r="AF31" i="3"/>
  <c r="AE31" i="3"/>
  <c r="AG30" i="3"/>
  <c r="AF30" i="3"/>
  <c r="AE30" i="3"/>
  <c r="AG29" i="3"/>
  <c r="AF29" i="3"/>
  <c r="AE29" i="3"/>
  <c r="AG28" i="3"/>
  <c r="AF28" i="3"/>
  <c r="AE28" i="3"/>
  <c r="AG27" i="3"/>
  <c r="AF27" i="3"/>
  <c r="AE27" i="3"/>
  <c r="AG26" i="3"/>
  <c r="AF26" i="3"/>
  <c r="AE26" i="3"/>
  <c r="AG25" i="3"/>
  <c r="AF25" i="3"/>
  <c r="AE25" i="3"/>
  <c r="AG24" i="3"/>
  <c r="AF24" i="3"/>
  <c r="AE24" i="3"/>
  <c r="AG23" i="3"/>
  <c r="AF23" i="3"/>
  <c r="AE23" i="3"/>
  <c r="AG22" i="3"/>
  <c r="AF22" i="3"/>
  <c r="AE22" i="3"/>
  <c r="AG21" i="3"/>
  <c r="AF21" i="3"/>
  <c r="AE21" i="3"/>
  <c r="AG20" i="3"/>
  <c r="AF20" i="3"/>
  <c r="AE20" i="3"/>
  <c r="AG19" i="3"/>
  <c r="AF19" i="3"/>
  <c r="AE19" i="3"/>
  <c r="AG18" i="3"/>
  <c r="AF18" i="3"/>
  <c r="AE18" i="3"/>
  <c r="AG17" i="3"/>
  <c r="AF17" i="3"/>
  <c r="AE17" i="3"/>
  <c r="AG16" i="3"/>
  <c r="AF16" i="3"/>
  <c r="AE16" i="3"/>
  <c r="AG15" i="3"/>
  <c r="AF15" i="3"/>
  <c r="AE15" i="3"/>
  <c r="AG14" i="3"/>
  <c r="AF14" i="3"/>
  <c r="AE14" i="3"/>
  <c r="AG13" i="3"/>
  <c r="AF13" i="3"/>
  <c r="AE13" i="3"/>
  <c r="AG12" i="3"/>
  <c r="AF12" i="3"/>
  <c r="AE12" i="3"/>
  <c r="AG11" i="3"/>
  <c r="AF11" i="3"/>
  <c r="AE11" i="3"/>
  <c r="AG10" i="3"/>
  <c r="AF10" i="3"/>
  <c r="AE10" i="3"/>
  <c r="AG9" i="3"/>
  <c r="AF9" i="3"/>
  <c r="AE9" i="3"/>
  <c r="AG8" i="3"/>
  <c r="AF8" i="3"/>
  <c r="AE8" i="3"/>
  <c r="AG7" i="3"/>
  <c r="AF7" i="3"/>
  <c r="AE7" i="3"/>
  <c r="AG6" i="3"/>
  <c r="AF6" i="3"/>
  <c r="AE6" i="3"/>
  <c r="AG5" i="3"/>
  <c r="AF5" i="3"/>
  <c r="AE5" i="3"/>
  <c r="AG4" i="3"/>
  <c r="AF4" i="3"/>
  <c r="AE4" i="3"/>
  <c r="AG3" i="3"/>
  <c r="AF3" i="3"/>
  <c r="AE3" i="3"/>
  <c r="AG2" i="3"/>
  <c r="AF2" i="3"/>
  <c r="AE2" i="3"/>
  <c r="AN128" i="3" l="1"/>
  <c r="AN895" i="3"/>
  <c r="AN479" i="3"/>
  <c r="AN79" i="3"/>
  <c r="AO718" i="3"/>
  <c r="AO765" i="3"/>
  <c r="AO205" i="3"/>
  <c r="AN252" i="3"/>
  <c r="AO330" i="3"/>
  <c r="AO709" i="3"/>
  <c r="AN533" i="3"/>
  <c r="AO356" i="3"/>
  <c r="AO1083" i="3"/>
  <c r="AO219" i="3"/>
  <c r="AO1112" i="3"/>
  <c r="AO936" i="3"/>
  <c r="AK464" i="3"/>
  <c r="AO416" i="3"/>
  <c r="AN152" i="3"/>
  <c r="F7" i="7"/>
  <c r="AJ917" i="3" s="1"/>
  <c r="E10" i="7"/>
  <c r="E5" i="7"/>
  <c r="AH1252" i="3" s="1"/>
  <c r="E7" i="7"/>
  <c r="AJ873" i="3" s="1"/>
  <c r="F9" i="7"/>
  <c r="AL490" i="3" s="1"/>
  <c r="F8" i="7"/>
  <c r="AK270" i="3" s="1"/>
  <c r="F10" i="7"/>
  <c r="AM145" i="3" s="1"/>
  <c r="E6" i="7"/>
  <c r="AI229" i="3" s="1"/>
  <c r="F11" i="7"/>
  <c r="AN542" i="3" s="1"/>
  <c r="F12" i="7"/>
  <c r="AO218" i="3" s="1"/>
  <c r="E9" i="7"/>
  <c r="AL16" i="3" s="1"/>
  <c r="E11" i="7"/>
  <c r="AN23" i="3" s="1"/>
  <c r="E12" i="7"/>
  <c r="AO590" i="3" s="1"/>
  <c r="F6" i="7"/>
  <c r="AI517" i="3" s="1"/>
  <c r="E8" i="7"/>
  <c r="AK223" i="3" s="1"/>
  <c r="F5" i="7"/>
  <c r="AH373" i="3" s="1"/>
  <c r="F7" i="6"/>
  <c r="AM255" i="3"/>
  <c r="AJ542" i="3"/>
  <c r="AN275" i="3"/>
  <c r="AK454" i="3"/>
  <c r="AK389" i="3"/>
  <c r="AO389" i="3"/>
  <c r="AN382" i="3"/>
  <c r="AO1188" i="3"/>
  <c r="AO1192" i="3"/>
  <c r="AK184" i="3"/>
  <c r="AO492" i="3"/>
  <c r="AN1005" i="3"/>
  <c r="AN527" i="3"/>
  <c r="AN184" i="3"/>
  <c r="AJ398" i="3"/>
  <c r="AJ998" i="3"/>
  <c r="AO1006" i="3"/>
  <c r="AO1010" i="3"/>
  <c r="AO1161" i="3"/>
  <c r="AN368" i="3"/>
  <c r="AK398" i="3"/>
  <c r="AO454" i="3"/>
  <c r="AO1067" i="3"/>
  <c r="AI65" i="3"/>
  <c r="AJ175" i="3"/>
  <c r="AK252" i="3"/>
  <c r="AJ369" i="3"/>
  <c r="AN718" i="3"/>
  <c r="AN181" i="3"/>
  <c r="AK638" i="3"/>
  <c r="AO831" i="3"/>
  <c r="AM216" i="3"/>
  <c r="AJ389" i="3"/>
  <c r="AH412" i="3"/>
  <c r="AN456" i="3"/>
  <c r="AN750" i="3"/>
  <c r="AK119" i="3"/>
  <c r="AJ299" i="3"/>
  <c r="AJ460" i="3"/>
  <c r="AK659" i="3"/>
  <c r="AK696" i="3"/>
  <c r="AN1232" i="3"/>
  <c r="AN1244" i="3"/>
  <c r="AJ112" i="3"/>
  <c r="AN375" i="3"/>
  <c r="AK554" i="3"/>
  <c r="AJ81" i="3"/>
  <c r="AK112" i="3"/>
  <c r="AJ258" i="3"/>
  <c r="AO732" i="3"/>
  <c r="AN590" i="3"/>
  <c r="AK645" i="3"/>
  <c r="AK710" i="3"/>
  <c r="AK960" i="3"/>
  <c r="AN1140" i="3"/>
  <c r="AK179" i="3"/>
  <c r="AN179" i="3"/>
  <c r="AK260" i="3"/>
  <c r="AI895" i="3"/>
  <c r="AI1089" i="3"/>
  <c r="AI955" i="3"/>
  <c r="AI660" i="3"/>
  <c r="AI439" i="3"/>
  <c r="AI299" i="3"/>
  <c r="AH69" i="3"/>
  <c r="AK290" i="3"/>
  <c r="AH290" i="3"/>
  <c r="AI386" i="3"/>
  <c r="AI433" i="3"/>
  <c r="AO516" i="3"/>
  <c r="AK516" i="3"/>
  <c r="AJ567" i="3"/>
  <c r="AN698" i="3"/>
  <c r="AO1013" i="3"/>
  <c r="AN1013" i="3"/>
  <c r="AN1216" i="3"/>
  <c r="AI1219" i="3"/>
  <c r="AJ305" i="3"/>
  <c r="AO442" i="3"/>
  <c r="AN893" i="3"/>
  <c r="AO893" i="3"/>
  <c r="AJ893" i="3"/>
  <c r="AH493" i="3"/>
  <c r="AO343" i="3"/>
  <c r="AJ70" i="3"/>
  <c r="AM352" i="3"/>
  <c r="AO352" i="3"/>
  <c r="AI487" i="3"/>
  <c r="AH1201" i="3"/>
  <c r="AH428" i="3"/>
  <c r="AH542" i="3"/>
  <c r="AI1024" i="3"/>
  <c r="AO1024" i="3"/>
  <c r="AJ414" i="3"/>
  <c r="AI464" i="3"/>
  <c r="AI549" i="3"/>
  <c r="AN673" i="3"/>
  <c r="AJ673" i="3"/>
  <c r="AN726" i="3"/>
  <c r="AH204" i="3"/>
  <c r="AJ957" i="3"/>
  <c r="AN95" i="3"/>
  <c r="AI137" i="3"/>
  <c r="AJ363" i="3"/>
  <c r="AN330" i="3"/>
  <c r="AN352" i="3"/>
  <c r="AO662" i="3"/>
  <c r="AN662" i="3"/>
  <c r="AI662" i="3"/>
  <c r="AO1065" i="3"/>
  <c r="AN55" i="3"/>
  <c r="AH109" i="3"/>
  <c r="AH130" i="3"/>
  <c r="AN207" i="3"/>
  <c r="AI382" i="3"/>
  <c r="AO382" i="3"/>
  <c r="AN337" i="3"/>
  <c r="AH414" i="3"/>
  <c r="AN448" i="3"/>
  <c r="AJ810" i="3"/>
  <c r="AO825" i="3"/>
  <c r="AK1050" i="3"/>
  <c r="AM375" i="3"/>
  <c r="AJ375" i="3"/>
  <c r="AO414" i="3"/>
  <c r="AI121" i="3"/>
  <c r="AJ246" i="3"/>
  <c r="AN246" i="3"/>
  <c r="AI330" i="3"/>
  <c r="AH404" i="3"/>
  <c r="AK404" i="3"/>
  <c r="AN682" i="3"/>
  <c r="AI345" i="3"/>
  <c r="AI684" i="3"/>
  <c r="AK695" i="3"/>
  <c r="AI702" i="3"/>
  <c r="AJ1156" i="3"/>
  <c r="AI905" i="3"/>
  <c r="AN394" i="3"/>
  <c r="AN398" i="3"/>
  <c r="AN623" i="3"/>
  <c r="AO645" i="3"/>
  <c r="AO913" i="3"/>
  <c r="AI1000" i="3"/>
  <c r="AO1085" i="3"/>
  <c r="AN1111" i="3"/>
  <c r="AN1168" i="3"/>
  <c r="AJ408" i="3"/>
  <c r="AN421" i="3"/>
  <c r="AK446" i="3"/>
  <c r="AI469" i="3"/>
  <c r="AK492" i="3"/>
  <c r="AJ517" i="3"/>
  <c r="AM527" i="3"/>
  <c r="AH702" i="3"/>
  <c r="AK764" i="3"/>
  <c r="AI772" i="3"/>
  <c r="AO789" i="3"/>
  <c r="AO793" i="3"/>
  <c r="AJ800" i="3"/>
  <c r="AO879" i="3"/>
  <c r="AN894" i="3"/>
  <c r="AJ935" i="3"/>
  <c r="AO970" i="3"/>
  <c r="AN1089" i="3"/>
  <c r="AN1115" i="3"/>
  <c r="AN1191" i="3"/>
  <c r="AH198" i="3"/>
  <c r="AK251" i="3"/>
  <c r="AH368" i="3"/>
  <c r="AN381" i="3"/>
  <c r="AJ675" i="3"/>
  <c r="AI710" i="3"/>
  <c r="AJ834" i="3"/>
  <c r="AN891" i="3"/>
  <c r="AN1026" i="3"/>
  <c r="AN1130" i="3"/>
  <c r="AI1108" i="3"/>
  <c r="AI1238" i="3"/>
  <c r="AH565" i="3"/>
  <c r="AK772" i="3"/>
  <c r="AN925" i="3"/>
  <c r="AJ1128" i="3"/>
  <c r="AH219" i="3"/>
  <c r="AK318" i="3"/>
  <c r="AI389" i="3"/>
  <c r="AK391" i="3"/>
  <c r="AI406" i="3"/>
  <c r="AN466" i="3"/>
  <c r="AO490" i="3"/>
  <c r="AI515" i="3"/>
  <c r="AO521" i="3"/>
  <c r="AO639" i="3"/>
  <c r="AN979" i="3"/>
  <c r="AI1015" i="3"/>
  <c r="AH426" i="3"/>
  <c r="AN521" i="3"/>
  <c r="AI198" i="3"/>
  <c r="AO49" i="3"/>
  <c r="AN299" i="3"/>
  <c r="AJ322" i="3"/>
  <c r="AO466" i="3"/>
  <c r="AN474" i="3"/>
  <c r="AJ552" i="3"/>
  <c r="AI694" i="3"/>
  <c r="AO725" i="3"/>
  <c r="AN777" i="3"/>
  <c r="AN877" i="3"/>
  <c r="AO1039" i="3"/>
  <c r="AO1094" i="3"/>
  <c r="AN1162" i="3"/>
  <c r="AK1223" i="3"/>
  <c r="AO1227" i="3"/>
  <c r="AH666" i="3"/>
  <c r="AN666" i="3"/>
  <c r="AN691" i="3"/>
  <c r="AH958" i="3"/>
  <c r="AH1275" i="3"/>
  <c r="AK95" i="3"/>
  <c r="AH121" i="3"/>
  <c r="AN131" i="3"/>
  <c r="AN204" i="3"/>
  <c r="AJ207" i="3"/>
  <c r="AI219" i="3"/>
  <c r="AN251" i="3"/>
  <c r="AH314" i="3"/>
  <c r="AH346" i="3"/>
  <c r="AH356" i="3"/>
  <c r="AN386" i="3"/>
  <c r="AK496" i="3"/>
  <c r="AH496" i="3"/>
  <c r="AH623" i="3"/>
  <c r="AO876" i="3"/>
  <c r="AK876" i="3"/>
  <c r="AO921" i="3"/>
  <c r="AJ731" i="3"/>
  <c r="AN67" i="3"/>
  <c r="AH90" i="3"/>
  <c r="AN92" i="3"/>
  <c r="AO204" i="3"/>
  <c r="AK207" i="3"/>
  <c r="AK343" i="3"/>
  <c r="AN363" i="3"/>
  <c r="AO386" i="3"/>
  <c r="AM389" i="3"/>
  <c r="AH460" i="3"/>
  <c r="AH795" i="3"/>
  <c r="AN966" i="3"/>
  <c r="AK966" i="3"/>
  <c r="AI966" i="3"/>
  <c r="AJ680" i="3"/>
  <c r="AH196" i="3"/>
  <c r="AK219" i="3"/>
  <c r="AN343" i="3"/>
  <c r="AH473" i="3"/>
  <c r="AO473" i="3"/>
  <c r="AO493" i="3"/>
  <c r="AN493" i="3"/>
  <c r="AH610" i="3"/>
  <c r="AH778" i="3"/>
  <c r="AH799" i="3"/>
  <c r="AO810" i="3"/>
  <c r="AN810" i="3"/>
  <c r="AH810" i="3"/>
  <c r="AH903" i="3"/>
  <c r="AO903" i="3"/>
  <c r="AL903" i="3"/>
  <c r="AK903" i="3"/>
  <c r="AN944" i="3"/>
  <c r="AO944" i="3"/>
  <c r="AN219" i="3"/>
  <c r="AH433" i="3"/>
  <c r="AH475" i="3"/>
  <c r="AI478" i="3"/>
  <c r="AJ585" i="3"/>
  <c r="AN585" i="3"/>
  <c r="AH627" i="3"/>
  <c r="AJ681" i="3"/>
  <c r="AH681" i="3"/>
  <c r="AH712" i="3"/>
  <c r="AO747" i="3"/>
  <c r="AH806" i="3"/>
  <c r="AN873" i="3"/>
  <c r="AM873" i="3"/>
  <c r="AK958" i="3"/>
  <c r="AJ485" i="3"/>
  <c r="AO628" i="3"/>
  <c r="AO993" i="3"/>
  <c r="AN1103" i="3"/>
  <c r="AK1103" i="3"/>
  <c r="AJ1103" i="3"/>
  <c r="AI1103" i="3"/>
  <c r="AN56" i="3"/>
  <c r="AH65" i="3"/>
  <c r="AH81" i="3"/>
  <c r="AJ173" i="3"/>
  <c r="AO214" i="3"/>
  <c r="AH255" i="3"/>
  <c r="AH272" i="3"/>
  <c r="AH275" i="3"/>
  <c r="AI290" i="3"/>
  <c r="AH354" i="3"/>
  <c r="AH382" i="3"/>
  <c r="AH458" i="3"/>
  <c r="AH476" i="3"/>
  <c r="AI491" i="3"/>
  <c r="AH491" i="3"/>
  <c r="AH578" i="3"/>
  <c r="AH803" i="3"/>
  <c r="AI941" i="3"/>
  <c r="AH975" i="3"/>
  <c r="AO1119" i="3"/>
  <c r="AN1119" i="3"/>
  <c r="AJ1119" i="3"/>
  <c r="AJ1153" i="3"/>
  <c r="AK1153" i="3"/>
  <c r="AJ48" i="3"/>
  <c r="AN81" i="3"/>
  <c r="AJ130" i="3"/>
  <c r="AO161" i="3"/>
  <c r="AH194" i="3"/>
  <c r="AH220" i="3"/>
  <c r="AH282" i="3"/>
  <c r="AI368" i="3"/>
  <c r="AH374" i="3"/>
  <c r="AH385" i="3"/>
  <c r="AK390" i="3"/>
  <c r="AK473" i="3"/>
  <c r="AK485" i="3"/>
  <c r="AK536" i="3"/>
  <c r="AH732" i="3"/>
  <c r="AO811" i="3"/>
  <c r="AO859" i="3"/>
  <c r="AJ859" i="3"/>
  <c r="AI859" i="3"/>
  <c r="AN706" i="3"/>
  <c r="AN908" i="3"/>
  <c r="AO908" i="3"/>
  <c r="AK130" i="3"/>
  <c r="AK139" i="3"/>
  <c r="AM194" i="3"/>
  <c r="AM218" i="3"/>
  <c r="AJ220" i="3"/>
  <c r="AI297" i="3"/>
  <c r="AH331" i="3"/>
  <c r="AN390" i="3"/>
  <c r="AN473" i="3"/>
  <c r="AN485" i="3"/>
  <c r="AJ491" i="3"/>
  <c r="AK510" i="3"/>
  <c r="AO633" i="3"/>
  <c r="AH633" i="3"/>
  <c r="AH763" i="3"/>
  <c r="AN780" i="3"/>
  <c r="AH780" i="3"/>
  <c r="AH901" i="3"/>
  <c r="AO901" i="3"/>
  <c r="AK901" i="3"/>
  <c r="AJ901" i="3"/>
  <c r="AI901" i="3"/>
  <c r="AO916" i="3"/>
  <c r="AO1019" i="3"/>
  <c r="AN678" i="3"/>
  <c r="AN716" i="3"/>
  <c r="AH55" i="3"/>
  <c r="AH60" i="3"/>
  <c r="AN85" i="3"/>
  <c r="AO116" i="3"/>
  <c r="AJ122" i="3"/>
  <c r="AN130" i="3"/>
  <c r="AN148" i="3"/>
  <c r="AH298" i="3"/>
  <c r="AK368" i="3"/>
  <c r="AN385" i="3"/>
  <c r="AN424" i="3"/>
  <c r="AI471" i="3"/>
  <c r="AN491" i="3"/>
  <c r="AN637" i="3"/>
  <c r="AN664" i="3"/>
  <c r="AH696" i="3"/>
  <c r="AH726" i="3"/>
  <c r="AH934" i="3"/>
  <c r="AK106" i="3"/>
  <c r="AH207" i="3"/>
  <c r="AH343" i="3"/>
  <c r="AH716" i="3"/>
  <c r="AN773" i="3"/>
  <c r="AI837" i="3"/>
  <c r="AO837" i="3"/>
  <c r="AO867" i="3"/>
  <c r="AN975" i="3"/>
  <c r="AN60" i="3"/>
  <c r="AH137" i="3"/>
  <c r="AH159" i="3"/>
  <c r="AI180" i="3"/>
  <c r="AO200" i="3"/>
  <c r="AN209" i="3"/>
  <c r="AJ231" i="3"/>
  <c r="AO471" i="3"/>
  <c r="AN502" i="3"/>
  <c r="AO502" i="3"/>
  <c r="AN524" i="3"/>
  <c r="AH556" i="3"/>
  <c r="AH559" i="3"/>
  <c r="AH651" i="3"/>
  <c r="AO790" i="3"/>
  <c r="AO830" i="3"/>
  <c r="AH912" i="3"/>
  <c r="AN1049" i="3"/>
  <c r="AO1049" i="3"/>
  <c r="AO582" i="3"/>
  <c r="AJ582" i="3"/>
  <c r="AK1041" i="3"/>
  <c r="AH125" i="3"/>
  <c r="AH276" i="3"/>
  <c r="AH329" i="3"/>
  <c r="AH406" i="3"/>
  <c r="AJ412" i="3"/>
  <c r="AK435" i="3"/>
  <c r="AO435" i="3"/>
  <c r="AH489" i="3"/>
  <c r="AH508" i="3"/>
  <c r="AN508" i="3"/>
  <c r="AN9" i="3"/>
  <c r="AO60" i="3"/>
  <c r="AN122" i="3"/>
  <c r="AN185" i="3"/>
  <c r="AO209" i="3"/>
  <c r="AK231" i="3"/>
  <c r="AH243" i="3"/>
  <c r="AH246" i="3"/>
  <c r="AN316" i="3"/>
  <c r="AN339" i="3"/>
  <c r="AO448" i="3"/>
  <c r="AJ448" i="3"/>
  <c r="AH454" i="3"/>
  <c r="AH534" i="3"/>
  <c r="AN633" i="3"/>
  <c r="AN652" i="3"/>
  <c r="AK652" i="3"/>
  <c r="AH652" i="3"/>
  <c r="AI669" i="3"/>
  <c r="AH669" i="3"/>
  <c r="AJ811" i="3"/>
  <c r="AH898" i="3"/>
  <c r="AO898" i="3"/>
  <c r="AK898" i="3"/>
  <c r="AN1019" i="3"/>
  <c r="AH471" i="3"/>
  <c r="AN3" i="3"/>
  <c r="AO85" i="3"/>
  <c r="AN139" i="3"/>
  <c r="AJ209" i="3"/>
  <c r="AJ212" i="3"/>
  <c r="AH231" i="3"/>
  <c r="AH251" i="3"/>
  <c r="AN231" i="3"/>
  <c r="AN243" i="3"/>
  <c r="AI246" i="3"/>
  <c r="AO316" i="3"/>
  <c r="AK349" i="3"/>
  <c r="AH389" i="3"/>
  <c r="AN406" i="3"/>
  <c r="AK456" i="3"/>
  <c r="AK534" i="3"/>
  <c r="AN591" i="3"/>
  <c r="AO591" i="3"/>
  <c r="AH784" i="3"/>
  <c r="AK799" i="3"/>
  <c r="J8" i="5"/>
  <c r="AH527" i="3"/>
  <c r="AH588" i="3"/>
  <c r="AK687" i="3"/>
  <c r="AH715" i="3"/>
  <c r="AK732" i="3"/>
  <c r="AH750" i="3"/>
  <c r="AH838" i="3"/>
  <c r="AH893" i="3"/>
  <c r="AH902" i="3"/>
  <c r="AO917" i="3"/>
  <c r="AI947" i="3"/>
  <c r="AH1012" i="3"/>
  <c r="AI1040" i="3"/>
  <c r="AI1046" i="3"/>
  <c r="AH1075" i="3"/>
  <c r="AI1130" i="3"/>
  <c r="AI1138" i="3"/>
  <c r="AK1216" i="3"/>
  <c r="AN687" i="3"/>
  <c r="AK807" i="3"/>
  <c r="AK838" i="3"/>
  <c r="AH887" i="3"/>
  <c r="AI902" i="3"/>
  <c r="AO687" i="3"/>
  <c r="AI846" i="3"/>
  <c r="AK902" i="3"/>
  <c r="AK1209" i="3"/>
  <c r="AK751" i="3"/>
  <c r="AK823" i="3"/>
  <c r="AK962" i="3"/>
  <c r="AH990" i="3"/>
  <c r="AI1101" i="3"/>
  <c r="AI1161" i="3"/>
  <c r="AH1182" i="3"/>
  <c r="AH1273" i="3"/>
  <c r="AH598" i="3"/>
  <c r="AH605" i="3"/>
  <c r="AH620" i="3"/>
  <c r="AH626" i="3"/>
  <c r="AH645" i="3"/>
  <c r="AO673" i="3"/>
  <c r="AH682" i="3"/>
  <c r="AH783" i="3"/>
  <c r="AO807" i="3"/>
  <c r="AH846" i="3"/>
  <c r="AI877" i="3"/>
  <c r="AN912" i="3"/>
  <c r="AN1043" i="3"/>
  <c r="AH1050" i="3"/>
  <c r="AI1053" i="3"/>
  <c r="AI1081" i="3"/>
  <c r="AN1090" i="3"/>
  <c r="AK1179" i="3"/>
  <c r="AI595" i="3"/>
  <c r="AK608" i="3"/>
  <c r="AN639" i="3"/>
  <c r="AN676" i="3"/>
  <c r="AN679" i="3"/>
  <c r="AJ682" i="3"/>
  <c r="AH710" i="3"/>
  <c r="AH722" i="3"/>
  <c r="AK725" i="3"/>
  <c r="AI751" i="3"/>
  <c r="AH777" i="3"/>
  <c r="AO846" i="3"/>
  <c r="AJ877" i="3"/>
  <c r="AH906" i="3"/>
  <c r="AO912" i="3"/>
  <c r="AO935" i="3"/>
  <c r="AK952" i="3"/>
  <c r="AI963" i="3"/>
  <c r="AK1010" i="3"/>
  <c r="J10" i="5"/>
  <c r="AH892" i="3"/>
  <c r="AK1054" i="3"/>
  <c r="AH1143" i="3"/>
  <c r="AK1173" i="3"/>
  <c r="AH1235" i="3"/>
  <c r="AH361" i="3"/>
  <c r="AO701" i="3"/>
  <c r="AO722" i="3"/>
  <c r="AI726" i="3"/>
  <c r="AI762" i="3"/>
  <c r="AI872" i="3"/>
  <c r="AO877" i="3"/>
  <c r="AK933" i="3"/>
  <c r="AK1005" i="3"/>
  <c r="AN1038" i="3"/>
  <c r="AN1057" i="3"/>
  <c r="AK1067" i="3"/>
  <c r="AK1102" i="3"/>
  <c r="AH1111" i="3"/>
  <c r="AI1144" i="3"/>
  <c r="AJ1196" i="3"/>
  <c r="AH775" i="3"/>
  <c r="AH796" i="3"/>
  <c r="AK882" i="3"/>
  <c r="AK906" i="3"/>
  <c r="AK926" i="3"/>
  <c r="AO933" i="3"/>
  <c r="AK942" i="3"/>
  <c r="AK992" i="3"/>
  <c r="AN1067" i="3"/>
  <c r="AI1071" i="3"/>
  <c r="AL1082" i="3"/>
  <c r="AI1111" i="3"/>
  <c r="F12" i="6"/>
  <c r="P8" i="6" s="1"/>
  <c r="K13" i="6" s="1"/>
  <c r="AN1248" i="3"/>
  <c r="AH521" i="3"/>
  <c r="AJ565" i="3"/>
  <c r="AH650" i="3"/>
  <c r="AH772" i="3"/>
  <c r="AK821" i="3"/>
  <c r="AH854" i="3"/>
  <c r="AK907" i="3"/>
  <c r="AH963" i="3"/>
  <c r="AK1111" i="3"/>
  <c r="AI1129" i="3"/>
  <c r="AN1134" i="3"/>
  <c r="J7" i="5"/>
  <c r="AK565" i="3"/>
  <c r="AI750" i="3"/>
  <c r="AJ793" i="3"/>
  <c r="AI838" i="3"/>
  <c r="AI841" i="3"/>
  <c r="AN854" i="3"/>
  <c r="AK947" i="3"/>
  <c r="AI954" i="3"/>
  <c r="AO994" i="3"/>
  <c r="AI1032" i="3"/>
  <c r="AJ1054" i="3"/>
  <c r="AN1068" i="3"/>
  <c r="AN1160" i="3"/>
  <c r="AJ259" i="3"/>
  <c r="AI259" i="3"/>
  <c r="AI395" i="3"/>
  <c r="AH395" i="3"/>
  <c r="AJ641" i="3"/>
  <c r="AH641" i="3"/>
  <c r="AN324" i="3"/>
  <c r="AK324" i="3"/>
  <c r="AN362" i="3"/>
  <c r="AJ362" i="3"/>
  <c r="AK137" i="3"/>
  <c r="AO179" i="3"/>
  <c r="AI185" i="3"/>
  <c r="AO185" i="3"/>
  <c r="AO186" i="3"/>
  <c r="AI214" i="3"/>
  <c r="AK220" i="3"/>
  <c r="AI331" i="3"/>
  <c r="AN346" i="3"/>
  <c r="AI356" i="3"/>
  <c r="AK374" i="3"/>
  <c r="AN391" i="3"/>
  <c r="AJ422" i="3"/>
  <c r="AO436" i="3"/>
  <c r="AK436" i="3"/>
  <c r="AO439" i="3"/>
  <c r="AH439" i="3"/>
  <c r="AO474" i="3"/>
  <c r="AK55" i="3"/>
  <c r="AM65" i="3"/>
  <c r="AH73" i="3"/>
  <c r="AO131" i="3"/>
  <c r="AN137" i="3"/>
  <c r="AM154" i="3"/>
  <c r="AH180" i="3"/>
  <c r="AN180" i="3"/>
  <c r="AN220" i="3"/>
  <c r="AO233" i="3"/>
  <c r="AN254" i="3"/>
  <c r="AN301" i="3"/>
  <c r="AK301" i="3"/>
  <c r="AN303" i="3"/>
  <c r="AH308" i="3"/>
  <c r="AH337" i="3"/>
  <c r="AH349" i="3"/>
  <c r="AN367" i="3"/>
  <c r="AN374" i="3"/>
  <c r="AO391" i="3"/>
  <c r="AK422" i="3"/>
  <c r="AO453" i="3"/>
  <c r="AK453" i="3"/>
  <c r="AJ453" i="3"/>
  <c r="AI453" i="3"/>
  <c r="AO472" i="3"/>
  <c r="AN472" i="3"/>
  <c r="AI472" i="3"/>
  <c r="AN65" i="3"/>
  <c r="AO137" i="3"/>
  <c r="AO175" i="3"/>
  <c r="AM214" i="3"/>
  <c r="AO220" i="3"/>
  <c r="AK226" i="3"/>
  <c r="AO250" i="3"/>
  <c r="AI308" i="3"/>
  <c r="AK356" i="3"/>
  <c r="AO374" i="3"/>
  <c r="AN422" i="3"/>
  <c r="AJ40" i="3"/>
  <c r="AJ73" i="3"/>
  <c r="AJ109" i="3"/>
  <c r="AO114" i="3"/>
  <c r="AH153" i="3"/>
  <c r="AH190" i="3"/>
  <c r="AN226" i="3"/>
  <c r="AH259" i="3"/>
  <c r="AH324" i="3"/>
  <c r="AK337" i="3"/>
  <c r="AO344" i="3"/>
  <c r="AJ349" i="3"/>
  <c r="AN356" i="3"/>
  <c r="AO375" i="3"/>
  <c r="AH390" i="3"/>
  <c r="AK395" i="3"/>
  <c r="AH421" i="3"/>
  <c r="AK421" i="3"/>
  <c r="AL541" i="3"/>
  <c r="AJ227" i="3"/>
  <c r="AM355" i="3"/>
  <c r="AK355" i="3"/>
  <c r="AO429" i="3"/>
  <c r="AN429" i="3"/>
  <c r="AJ526" i="3"/>
  <c r="AH526" i="3"/>
  <c r="AI324" i="3"/>
  <c r="AN73" i="3"/>
  <c r="AK91" i="3"/>
  <c r="AN106" i="3"/>
  <c r="AO109" i="3"/>
  <c r="AK153" i="3"/>
  <c r="AN178" i="3"/>
  <c r="AH252" i="3"/>
  <c r="AO259" i="3"/>
  <c r="AK276" i="3"/>
  <c r="AJ276" i="3"/>
  <c r="AI276" i="3"/>
  <c r="AI301" i="3"/>
  <c r="AJ320" i="3"/>
  <c r="AI320" i="3"/>
  <c r="AH320" i="3"/>
  <c r="AJ324" i="3"/>
  <c r="AN327" i="3"/>
  <c r="AL349" i="3"/>
  <c r="AH453" i="3"/>
  <c r="AO467" i="3"/>
  <c r="AN467" i="3"/>
  <c r="AH472" i="3"/>
  <c r="AL153" i="3"/>
  <c r="AO324" i="3"/>
  <c r="AK338" i="3"/>
  <c r="AO338" i="3"/>
  <c r="AN451" i="3"/>
  <c r="AH451" i="3"/>
  <c r="AM40" i="3"/>
  <c r="AN295" i="3"/>
  <c r="AH295" i="3"/>
  <c r="AN349" i="3"/>
  <c r="AJ378" i="3"/>
  <c r="AK553" i="3"/>
  <c r="AO553" i="3"/>
  <c r="AH553" i="3"/>
  <c r="AO568" i="3"/>
  <c r="AK568" i="3"/>
  <c r="AN568" i="3"/>
  <c r="AN577" i="3"/>
  <c r="AI577" i="3"/>
  <c r="AK81" i="3"/>
  <c r="AJ145" i="3"/>
  <c r="AN153" i="3"/>
  <c r="AN168" i="3"/>
  <c r="AI262" i="3"/>
  <c r="AJ292" i="3"/>
  <c r="AI309" i="3"/>
  <c r="AH317" i="3"/>
  <c r="AO317" i="3"/>
  <c r="AN317" i="3"/>
  <c r="AK317" i="3"/>
  <c r="AH336" i="3"/>
  <c r="AK345" i="3"/>
  <c r="AH355" i="3"/>
  <c r="AN357" i="3"/>
  <c r="AN410" i="3"/>
  <c r="AJ410" i="3"/>
  <c r="AH429" i="3"/>
  <c r="AJ470" i="3"/>
  <c r="AO481" i="3"/>
  <c r="AN481" i="3"/>
  <c r="AH481" i="3"/>
  <c r="AK497" i="3"/>
  <c r="AI497" i="3"/>
  <c r="AO497" i="3"/>
  <c r="AI526" i="3"/>
  <c r="AO190" i="3"/>
  <c r="AM153" i="3"/>
  <c r="AJ218" i="3"/>
  <c r="AO268" i="3"/>
  <c r="AN268" i="3"/>
  <c r="AK268" i="3"/>
  <c r="AO153" i="3"/>
  <c r="AK169" i="3"/>
  <c r="AM243" i="3"/>
  <c r="AJ243" i="3"/>
  <c r="AJ309" i="3"/>
  <c r="AI336" i="3"/>
  <c r="AN345" i="3"/>
  <c r="AN355" i="3"/>
  <c r="AO357" i="3"/>
  <c r="AM407" i="3"/>
  <c r="AO407" i="3"/>
  <c r="AI429" i="3"/>
  <c r="AN495" i="3"/>
  <c r="AH495" i="3"/>
  <c r="AN526" i="3"/>
  <c r="AN167" i="3"/>
  <c r="AJ167" i="3"/>
  <c r="AI49" i="3"/>
  <c r="AO81" i="3"/>
  <c r="AI87" i="3"/>
  <c r="AH105" i="3"/>
  <c r="AH113" i="3"/>
  <c r="AH119" i="3"/>
  <c r="AN123" i="3"/>
  <c r="AH129" i="3"/>
  <c r="AO138" i="3"/>
  <c r="AI159" i="3"/>
  <c r="AJ162" i="3"/>
  <c r="AN174" i="3"/>
  <c r="AI194" i="3"/>
  <c r="AH201" i="3"/>
  <c r="AJ203" i="3"/>
  <c r="AH260" i="3"/>
  <c r="AI298" i="3"/>
  <c r="AK309" i="3"/>
  <c r="AH312" i="3"/>
  <c r="AJ336" i="3"/>
  <c r="AH338" i="3"/>
  <c r="AO345" i="3"/>
  <c r="AO355" i="3"/>
  <c r="AO427" i="3"/>
  <c r="AK449" i="3"/>
  <c r="AJ449" i="3"/>
  <c r="AJ467" i="3"/>
  <c r="AO513" i="3"/>
  <c r="AN513" i="3"/>
  <c r="AO526" i="3"/>
  <c r="AH49" i="3"/>
  <c r="AI105" i="3"/>
  <c r="AN145" i="3"/>
  <c r="AH167" i="3"/>
  <c r="AI260" i="3"/>
  <c r="AI266" i="3"/>
  <c r="AJ325" i="3"/>
  <c r="AI338" i="3"/>
  <c r="AN553" i="3"/>
  <c r="AL28" i="3"/>
  <c r="AN36" i="3"/>
  <c r="AJ87" i="3"/>
  <c r="AI113" i="3"/>
  <c r="AI119" i="3"/>
  <c r="AI129" i="3"/>
  <c r="AH179" i="3"/>
  <c r="AH186" i="3"/>
  <c r="AN196" i="3"/>
  <c r="AH268" i="3"/>
  <c r="AO295" i="3"/>
  <c r="AJ298" i="3"/>
  <c r="AN302" i="3"/>
  <c r="AN309" i="3"/>
  <c r="AM331" i="3"/>
  <c r="AO331" i="3"/>
  <c r="AN331" i="3"/>
  <c r="AK336" i="3"/>
  <c r="AK372" i="3"/>
  <c r="AK429" i="3"/>
  <c r="AO577" i="3"/>
  <c r="AM28" i="3"/>
  <c r="AK49" i="3"/>
  <c r="AH77" i="3"/>
  <c r="AH80" i="3"/>
  <c r="AJ105" i="3"/>
  <c r="AJ113" i="3"/>
  <c r="AK194" i="3"/>
  <c r="AO196" i="3"/>
  <c r="AH199" i="3"/>
  <c r="AJ201" i="3"/>
  <c r="AN203" i="3"/>
  <c r="AJ260" i="3"/>
  <c r="AI268" i="3"/>
  <c r="AO276" i="3"/>
  <c r="AH288" i="3"/>
  <c r="AK298" i="3"/>
  <c r="AO309" i="3"/>
  <c r="AK313" i="3"/>
  <c r="AJ313" i="3"/>
  <c r="AN348" i="3"/>
  <c r="AM369" i="3"/>
  <c r="AL369" i="3"/>
  <c r="AK369" i="3"/>
  <c r="AH430" i="3"/>
  <c r="AH497" i="3"/>
  <c r="AK308" i="3"/>
  <c r="AJ308" i="3"/>
  <c r="AN298" i="3"/>
  <c r="AN338" i="3"/>
  <c r="AO566" i="3"/>
  <c r="AK566" i="3"/>
  <c r="AH566" i="3"/>
  <c r="AN566" i="3"/>
  <c r="AJ80" i="3"/>
  <c r="AO112" i="3"/>
  <c r="AH112" i="3"/>
  <c r="AN113" i="3"/>
  <c r="AN129" i="3"/>
  <c r="AO167" i="3"/>
  <c r="AO169" i="3"/>
  <c r="AN218" i="3"/>
  <c r="AO264" i="3"/>
  <c r="AJ264" i="3"/>
  <c r="AJ391" i="3"/>
  <c r="AH400" i="3"/>
  <c r="AI400" i="3"/>
  <c r="AN407" i="3"/>
  <c r="AH422" i="3"/>
  <c r="AK427" i="3"/>
  <c r="AH449" i="3"/>
  <c r="AK488" i="3"/>
  <c r="AI488" i="3"/>
  <c r="AH488" i="3"/>
  <c r="AH513" i="3"/>
  <c r="AK466" i="3"/>
  <c r="AJ471" i="3"/>
  <c r="AJ508" i="3"/>
  <c r="AN510" i="3"/>
  <c r="AN534" i="3"/>
  <c r="AI534" i="3"/>
  <c r="AO573" i="3"/>
  <c r="AN573" i="3"/>
  <c r="AJ573" i="3"/>
  <c r="AO510" i="3"/>
  <c r="AN518" i="3"/>
  <c r="AO517" i="3"/>
  <c r="AO518" i="3"/>
  <c r="AJ546" i="3"/>
  <c r="AN519" i="3"/>
  <c r="AO519" i="3"/>
  <c r="AH478" i="3"/>
  <c r="AH490" i="3"/>
  <c r="AO504" i="3"/>
  <c r="AJ506" i="3"/>
  <c r="AJ554" i="3"/>
  <c r="AH554" i="3"/>
  <c r="AO533" i="3"/>
  <c r="AI533" i="3"/>
  <c r="AN546" i="3"/>
  <c r="AN490" i="3"/>
  <c r="AN504" i="3"/>
  <c r="AN522" i="3"/>
  <c r="AN554" i="3"/>
  <c r="AN559" i="3"/>
  <c r="AH510" i="3"/>
  <c r="AH533" i="3"/>
  <c r="AN557" i="3"/>
  <c r="AN486" i="3"/>
  <c r="AJ533" i="3"/>
  <c r="AH435" i="3"/>
  <c r="AH466" i="3"/>
  <c r="AK533" i="3"/>
  <c r="AI542" i="3"/>
  <c r="AO542" i="3"/>
  <c r="AO601" i="3"/>
  <c r="AO763" i="3"/>
  <c r="AI775" i="3"/>
  <c r="AH820" i="3"/>
  <c r="AH823" i="3"/>
  <c r="AJ843" i="3"/>
  <c r="AO1153" i="3"/>
  <c r="AH589" i="3"/>
  <c r="AJ597" i="3"/>
  <c r="AH616" i="3"/>
  <c r="AO682" i="3"/>
  <c r="AK712" i="3"/>
  <c r="AJ722" i="3"/>
  <c r="AH725" i="3"/>
  <c r="AO731" i="3"/>
  <c r="AM751" i="3"/>
  <c r="AJ775" i="3"/>
  <c r="AI820" i="3"/>
  <c r="AI823" i="3"/>
  <c r="AJ830" i="3"/>
  <c r="AH876" i="3"/>
  <c r="AH924" i="3"/>
  <c r="AO966" i="3"/>
  <c r="AI1171" i="3"/>
  <c r="AN1173" i="3"/>
  <c r="AO1197" i="3"/>
  <c r="AH1216" i="3"/>
  <c r="AH1255" i="3"/>
  <c r="J5" i="5"/>
  <c r="AL1141" i="3"/>
  <c r="AN712" i="3"/>
  <c r="AN751" i="3"/>
  <c r="AN775" i="3"/>
  <c r="AI807" i="3"/>
  <c r="AJ823" i="3"/>
  <c r="AI825" i="3"/>
  <c r="AJ838" i="3"/>
  <c r="AI876" i="3"/>
  <c r="AI887" i="3"/>
  <c r="AJ1171" i="3"/>
  <c r="AH1195" i="3"/>
  <c r="AH1222" i="3"/>
  <c r="AM1182" i="3"/>
  <c r="AJ589" i="3"/>
  <c r="AH593" i="3"/>
  <c r="AN597" i="3"/>
  <c r="AH655" i="3"/>
  <c r="AH660" i="3"/>
  <c r="AH662" i="3"/>
  <c r="AJ876" i="3"/>
  <c r="AI981" i="3"/>
  <c r="AJ1011" i="3"/>
  <c r="AI1022" i="3"/>
  <c r="AJ1037" i="3"/>
  <c r="AJ1079" i="3"/>
  <c r="AK1082" i="3"/>
  <c r="AH1102" i="3"/>
  <c r="AJ1168" i="3"/>
  <c r="F9" i="6"/>
  <c r="AK575" i="3"/>
  <c r="AK589" i="3"/>
  <c r="AH621" i="3"/>
  <c r="AH672" i="3"/>
  <c r="AJ734" i="3"/>
  <c r="AN887" i="3"/>
  <c r="AJ892" i="3"/>
  <c r="AN916" i="3"/>
  <c r="AH965" i="3"/>
  <c r="AH973" i="3"/>
  <c r="AN981" i="3"/>
  <c r="AH1028" i="3"/>
  <c r="AL1079" i="3"/>
  <c r="AI1110" i="3"/>
  <c r="AH1117" i="3"/>
  <c r="AI1142" i="3"/>
  <c r="AH585" i="3"/>
  <c r="AN589" i="3"/>
  <c r="AJ591" i="3"/>
  <c r="AK593" i="3"/>
  <c r="AH602" i="3"/>
  <c r="AK623" i="3"/>
  <c r="AN655" i="3"/>
  <c r="AJ662" i="3"/>
  <c r="AJ667" i="3"/>
  <c r="AJ672" i="3"/>
  <c r="AO678" i="3"/>
  <c r="AJ692" i="3"/>
  <c r="AJ739" i="3"/>
  <c r="AI764" i="3"/>
  <c r="AH833" i="3"/>
  <c r="AO838" i="3"/>
  <c r="AH855" i="3"/>
  <c r="AO887" i="3"/>
  <c r="AK892" i="3"/>
  <c r="AJ927" i="3"/>
  <c r="AJ951" i="3"/>
  <c r="AI965" i="3"/>
  <c r="AI973" i="3"/>
  <c r="AO975" i="3"/>
  <c r="AN1011" i="3"/>
  <c r="AJ1017" i="3"/>
  <c r="AJ1028" i="3"/>
  <c r="AL1059" i="3"/>
  <c r="AH1085" i="3"/>
  <c r="AH1094" i="3"/>
  <c r="AJ1110" i="3"/>
  <c r="AN1112" i="3"/>
  <c r="AI1117" i="3"/>
  <c r="AJ1142" i="3"/>
  <c r="AN1179" i="3"/>
  <c r="AJ1210" i="3"/>
  <c r="AH1238" i="3"/>
  <c r="AN582" i="3"/>
  <c r="AI585" i="3"/>
  <c r="AN593" i="3"/>
  <c r="AK662" i="3"/>
  <c r="AK672" i="3"/>
  <c r="AN855" i="3"/>
  <c r="AJ858" i="3"/>
  <c r="AI882" i="3"/>
  <c r="AI885" i="3"/>
  <c r="AO892" i="3"/>
  <c r="AH933" i="3"/>
  <c r="AI957" i="3"/>
  <c r="AJ965" i="3"/>
  <c r="AJ973" i="3"/>
  <c r="AJ988" i="3"/>
  <c r="AI1085" i="3"/>
  <c r="AI1094" i="3"/>
  <c r="AN1104" i="3"/>
  <c r="AJ1123" i="3"/>
  <c r="AK585" i="3"/>
  <c r="AK602" i="3"/>
  <c r="AI686" i="3"/>
  <c r="AN692" i="3"/>
  <c r="AJ697" i="3"/>
  <c r="AH721" i="3"/>
  <c r="AI732" i="3"/>
  <c r="AJ750" i="3"/>
  <c r="AO818" i="3"/>
  <c r="AI853" i="3"/>
  <c r="AH869" i="3"/>
  <c r="AH872" i="3"/>
  <c r="AJ882" i="3"/>
  <c r="AI925" i="3"/>
  <c r="AI933" i="3"/>
  <c r="AI935" i="3"/>
  <c r="AO943" i="3"/>
  <c r="AN951" i="3"/>
  <c r="AN988" i="3"/>
  <c r="AJ1000" i="3"/>
  <c r="AH1032" i="3"/>
  <c r="AH1049" i="3"/>
  <c r="AJ1051" i="3"/>
  <c r="AK1065" i="3"/>
  <c r="AK1094" i="3"/>
  <c r="AJ1115" i="3"/>
  <c r="AK1123" i="3"/>
  <c r="AJ1134" i="3"/>
  <c r="AH1145" i="3"/>
  <c r="AK1163" i="3"/>
  <c r="AO1160" i="3"/>
  <c r="AI605" i="3"/>
  <c r="AJ609" i="3"/>
  <c r="AH617" i="3"/>
  <c r="AI619" i="3"/>
  <c r="AN621" i="3"/>
  <c r="AI651" i="3"/>
  <c r="AI670" i="3"/>
  <c r="AN697" i="3"/>
  <c r="AH709" i="3"/>
  <c r="AJ711" i="3"/>
  <c r="AJ713" i="3"/>
  <c r="AJ721" i="3"/>
  <c r="AJ732" i="3"/>
  <c r="AH742" i="3"/>
  <c r="AH824" i="3"/>
  <c r="AK853" i="3"/>
  <c r="AH866" i="3"/>
  <c r="AK872" i="3"/>
  <c r="AN879" i="3"/>
  <c r="AK979" i="3"/>
  <c r="AO988" i="3"/>
  <c r="AK1000" i="3"/>
  <c r="AI1006" i="3"/>
  <c r="AK1035" i="3"/>
  <c r="AI1049" i="3"/>
  <c r="AN1051" i="3"/>
  <c r="AH1054" i="3"/>
  <c r="AN1065" i="3"/>
  <c r="AJ1071" i="3"/>
  <c r="AK1115" i="3"/>
  <c r="AN1123" i="3"/>
  <c r="AJ1126" i="3"/>
  <c r="AH1129" i="3"/>
  <c r="AJ549" i="3"/>
  <c r="AI565" i="3"/>
  <c r="AO585" i="3"/>
  <c r="AI598" i="3"/>
  <c r="AJ605" i="3"/>
  <c r="AN609" i="3"/>
  <c r="AJ651" i="3"/>
  <c r="AH675" i="3"/>
  <c r="AH677" i="3"/>
  <c r="AK686" i="3"/>
  <c r="AJ709" i="3"/>
  <c r="AN721" i="3"/>
  <c r="AJ742" i="3"/>
  <c r="AI824" i="3"/>
  <c r="AO872" i="3"/>
  <c r="AJ994" i="3"/>
  <c r="AN1000" i="3"/>
  <c r="AK1006" i="3"/>
  <c r="AI1023" i="3"/>
  <c r="AI1054" i="3"/>
  <c r="AO1071" i="3"/>
  <c r="AK1145" i="3"/>
  <c r="AH1258" i="3"/>
  <c r="AK588" i="3"/>
  <c r="AJ598" i="3"/>
  <c r="AK605" i="3"/>
  <c r="AI607" i="3"/>
  <c r="AO609" i="3"/>
  <c r="AN617" i="3"/>
  <c r="AJ629" i="3"/>
  <c r="AK632" i="3"/>
  <c r="AK651" i="3"/>
  <c r="AI677" i="3"/>
  <c r="AI716" i="3"/>
  <c r="AH738" i="3"/>
  <c r="AO750" i="3"/>
  <c r="AH755" i="3"/>
  <c r="AN757" i="3"/>
  <c r="AJ781" i="3"/>
  <c r="AH786" i="3"/>
  <c r="AI1182" i="3"/>
  <c r="AK1196" i="3"/>
  <c r="AK598" i="3"/>
  <c r="AN605" i="3"/>
  <c r="AH637" i="3"/>
  <c r="AI661" i="3"/>
  <c r="AH684" i="3"/>
  <c r="AN688" i="3"/>
  <c r="AK702" i="3"/>
  <c r="AI738" i="3"/>
  <c r="AN767" i="3"/>
  <c r="AN769" i="3"/>
  <c r="AK824" i="3"/>
  <c r="AJ947" i="3"/>
  <c r="AN960" i="3"/>
  <c r="AJ992" i="3"/>
  <c r="AN1041" i="3"/>
  <c r="AI1143" i="3"/>
  <c r="AK1161" i="3"/>
  <c r="AH1180" i="3"/>
  <c r="AN1196" i="3"/>
  <c r="AI1235" i="3"/>
  <c r="AJ558" i="3"/>
  <c r="AN565" i="3"/>
  <c r="AH601" i="3"/>
  <c r="AI637" i="3"/>
  <c r="AJ661" i="3"/>
  <c r="AH673" i="3"/>
  <c r="AK677" i="3"/>
  <c r="AO688" i="3"/>
  <c r="AN702" i="3"/>
  <c r="AK716" i="3"/>
  <c r="AJ735" i="3"/>
  <c r="AJ738" i="3"/>
  <c r="AK765" i="3"/>
  <c r="AJ786" i="3"/>
  <c r="AN824" i="3"/>
  <c r="AK845" i="3"/>
  <c r="AH851" i="3"/>
  <c r="AH859" i="3"/>
  <c r="AI893" i="3"/>
  <c r="AH966" i="3"/>
  <c r="AN1161" i="3"/>
  <c r="AI1180" i="3"/>
  <c r="AJ902" i="3"/>
  <c r="AI601" i="3"/>
  <c r="AJ637" i="3"/>
  <c r="AN661" i="3"/>
  <c r="AO702" i="3"/>
  <c r="AK738" i="3"/>
  <c r="AN740" i="3"/>
  <c r="AK755" i="3"/>
  <c r="AN765" i="3"/>
  <c r="AK786" i="3"/>
  <c r="AJ798" i="3"/>
  <c r="AK800" i="3"/>
  <c r="AH864" i="3"/>
  <c r="AJ1033" i="3"/>
  <c r="AI1153" i="3"/>
  <c r="AK1180" i="3"/>
  <c r="AJ1191" i="3"/>
  <c r="AH1224" i="3"/>
  <c r="AH1227" i="3"/>
  <c r="AK601" i="3"/>
  <c r="AK637" i="3"/>
  <c r="AN755" i="3"/>
  <c r="AK763" i="3"/>
  <c r="AJ864" i="3"/>
  <c r="AN909" i="3"/>
  <c r="AN1224" i="3"/>
  <c r="AJ1227" i="3"/>
  <c r="AK1079" i="3"/>
  <c r="AN601" i="3"/>
  <c r="AN763" i="3"/>
  <c r="F8" i="6"/>
  <c r="L8" i="6" s="1"/>
  <c r="K9" i="6" s="1"/>
  <c r="AM162" i="3"/>
  <c r="AL196" i="3"/>
  <c r="AM204" i="3"/>
  <c r="AM231" i="3"/>
  <c r="AL298" i="3"/>
  <c r="AM309" i="3"/>
  <c r="AM356" i="3"/>
  <c r="AL363" i="3"/>
  <c r="AL380" i="3"/>
  <c r="AM414" i="3"/>
  <c r="AM421" i="3"/>
  <c r="AL449" i="3"/>
  <c r="AM453" i="3"/>
  <c r="AL460" i="3"/>
  <c r="AL486" i="3"/>
  <c r="AL617" i="3"/>
  <c r="AL621" i="3"/>
  <c r="AL643" i="3"/>
  <c r="AL701" i="3"/>
  <c r="AM893" i="3"/>
  <c r="AL1099" i="3"/>
  <c r="AL291" i="3"/>
  <c r="AL781" i="3"/>
  <c r="AL336" i="3"/>
  <c r="AM382" i="3"/>
  <c r="AM449" i="3"/>
  <c r="AM486" i="3"/>
  <c r="AM518" i="3"/>
  <c r="AL525" i="3"/>
  <c r="AL591" i="3"/>
  <c r="AL595" i="3"/>
  <c r="AM617" i="3"/>
  <c r="AM636" i="3"/>
  <c r="AL673" i="3"/>
  <c r="AL692" i="3"/>
  <c r="AM701" i="3"/>
  <c r="AL726" i="3"/>
  <c r="AL826" i="3"/>
  <c r="AL933" i="3"/>
  <c r="AL212" i="3"/>
  <c r="AL339" i="3"/>
  <c r="AL901" i="3"/>
  <c r="AL67" i="3"/>
  <c r="AL309" i="3"/>
  <c r="AL356" i="3"/>
  <c r="AL361" i="3"/>
  <c r="AL395" i="3"/>
  <c r="AL414" i="3"/>
  <c r="AL1038" i="3"/>
  <c r="AM6" i="3"/>
  <c r="AL70" i="3"/>
  <c r="AM106" i="3"/>
  <c r="AM116" i="3"/>
  <c r="AL121" i="3"/>
  <c r="AM148" i="3"/>
  <c r="AL155" i="3"/>
  <c r="AM179" i="3"/>
  <c r="AM242" i="3"/>
  <c r="AL316" i="3"/>
  <c r="AL323" i="3"/>
  <c r="AL331" i="3"/>
  <c r="AM336" i="3"/>
  <c r="AL344" i="3"/>
  <c r="AL455" i="3"/>
  <c r="AL495" i="3"/>
  <c r="AL553" i="3"/>
  <c r="AM557" i="3"/>
  <c r="AM591" i="3"/>
  <c r="AL593" i="3"/>
  <c r="AM692" i="3"/>
  <c r="AM754" i="3"/>
  <c r="AL876" i="3"/>
  <c r="AM933" i="3"/>
  <c r="AM1083" i="3"/>
  <c r="AM1122" i="3"/>
  <c r="AL122" i="3"/>
  <c r="AL250" i="3"/>
  <c r="AL447" i="3"/>
  <c r="AL1274" i="3"/>
  <c r="AL1165" i="3"/>
  <c r="AL1161" i="3"/>
  <c r="AL1017" i="3"/>
  <c r="AL1235" i="3"/>
  <c r="AL1210" i="3"/>
  <c r="AL1180" i="3"/>
  <c r="AL1171" i="3"/>
  <c r="AL1166" i="3"/>
  <c r="AL1127" i="3"/>
  <c r="AL1071" i="3"/>
  <c r="AL1012" i="3"/>
  <c r="AL951" i="3"/>
  <c r="AL918" i="3"/>
  <c r="AL1216" i="3"/>
  <c r="AL1182" i="3"/>
  <c r="AL1159" i="3"/>
  <c r="AL1142" i="3"/>
  <c r="AL1118" i="3"/>
  <c r="AL1022" i="3"/>
  <c r="AL994" i="3"/>
  <c r="AL955" i="3"/>
  <c r="AL941" i="3"/>
  <c r="AL916" i="3"/>
  <c r="AL909" i="3"/>
  <c r="AL885" i="3"/>
  <c r="AL861" i="3"/>
  <c r="AL833" i="3"/>
  <c r="AL767" i="3"/>
  <c r="AL1238" i="3"/>
  <c r="AL1191" i="3"/>
  <c r="AL1120" i="3"/>
  <c r="AL1062" i="3"/>
  <c r="AL1047" i="3"/>
  <c r="AL1011" i="3"/>
  <c r="AL1006" i="3"/>
  <c r="AL957" i="3"/>
  <c r="AL947" i="3"/>
  <c r="AL891" i="3"/>
  <c r="AL887" i="3"/>
  <c r="AL827" i="3"/>
  <c r="AL825" i="3"/>
  <c r="AL819" i="3"/>
  <c r="AL1204" i="3"/>
  <c r="AL1162" i="3"/>
  <c r="AL1112" i="3"/>
  <c r="AL1100" i="3"/>
  <c r="AL1089" i="3"/>
  <c r="AL1057" i="3"/>
  <c r="AL1049" i="3"/>
  <c r="AL1036" i="3"/>
  <c r="AL975" i="3"/>
  <c r="AL934" i="3"/>
  <c r="AL917" i="3"/>
  <c r="AL865" i="3"/>
  <c r="AL859" i="3"/>
  <c r="AL841" i="3"/>
  <c r="AL810" i="3"/>
  <c r="AL1195" i="3"/>
  <c r="AL1143" i="3"/>
  <c r="AL1133" i="3"/>
  <c r="AL1068" i="3"/>
  <c r="AL992" i="3"/>
  <c r="AL944" i="3"/>
  <c r="AL772" i="3"/>
  <c r="AL760" i="3"/>
  <c r="AL1253" i="3"/>
  <c r="AL1221" i="3"/>
  <c r="AL1203" i="3"/>
  <c r="AL1158" i="3"/>
  <c r="AL1123" i="3"/>
  <c r="AL1094" i="3"/>
  <c r="AL1005" i="3"/>
  <c r="AL976" i="3"/>
  <c r="AL960" i="3"/>
  <c r="AL956" i="3"/>
  <c r="AL898" i="3"/>
  <c r="AL882" i="3"/>
  <c r="AL849" i="3"/>
  <c r="AL835" i="3"/>
  <c r="AL830" i="3"/>
  <c r="AL785" i="3"/>
  <c r="AL757" i="3"/>
  <c r="AL755" i="3"/>
  <c r="AL751" i="3"/>
  <c r="AL663" i="3"/>
  <c r="AL627" i="3"/>
  <c r="AL547" i="3"/>
  <c r="AL516" i="3"/>
  <c r="AL473" i="3"/>
  <c r="AL470" i="3"/>
  <c r="AL362" i="3"/>
  <c r="AL322" i="3"/>
  <c r="AL317" i="3"/>
  <c r="AL275" i="3"/>
  <c r="AL185" i="3"/>
  <c r="AL179" i="3"/>
  <c r="AL1223" i="3"/>
  <c r="AL1175" i="3"/>
  <c r="AL1110" i="3"/>
  <c r="AL1103" i="3"/>
  <c r="AL1084" i="3"/>
  <c r="AL1076" i="3"/>
  <c r="AL1010" i="3"/>
  <c r="AL939" i="3"/>
  <c r="AL877" i="3"/>
  <c r="AL686" i="3"/>
  <c r="AL674" i="3"/>
  <c r="AL672" i="3"/>
  <c r="AL659" i="3"/>
  <c r="AL604" i="3"/>
  <c r="AL585" i="3"/>
  <c r="AL549" i="3"/>
  <c r="AL1137" i="3"/>
  <c r="AL981" i="3"/>
  <c r="AL974" i="3"/>
  <c r="AL949" i="3"/>
  <c r="AL911" i="3"/>
  <c r="AL902" i="3"/>
  <c r="AL846" i="3"/>
  <c r="AL702" i="3"/>
  <c r="AL696" i="3"/>
  <c r="AL513" i="3"/>
  <c r="AL504" i="3"/>
  <c r="AL452" i="3"/>
  <c r="AL1185" i="3"/>
  <c r="AL1181" i="3"/>
  <c r="AL943" i="3"/>
  <c r="AL904" i="3"/>
  <c r="AL837" i="3"/>
  <c r="AL807" i="3"/>
  <c r="AL667" i="3"/>
  <c r="AL652" i="3"/>
  <c r="AL646" i="3"/>
  <c r="AL558" i="3"/>
  <c r="AL497" i="3"/>
  <c r="AL485" i="3"/>
  <c r="AL467" i="3"/>
  <c r="AL458" i="3"/>
  <c r="AL1160" i="3"/>
  <c r="AL1130" i="3"/>
  <c r="AL1046" i="3"/>
  <c r="AL1032" i="3"/>
  <c r="AL972" i="3"/>
  <c r="AL867" i="3"/>
  <c r="AL851" i="3"/>
  <c r="AL844" i="3"/>
  <c r="AL811" i="3"/>
  <c r="AL789" i="3"/>
  <c r="AL712" i="3"/>
  <c r="AL679" i="3"/>
  <c r="AL611" i="3"/>
  <c r="AL609" i="3"/>
  <c r="AL592" i="3"/>
  <c r="AL534" i="3"/>
  <c r="AL491" i="3"/>
  <c r="AL389" i="3"/>
  <c r="AL382" i="3"/>
  <c r="AL355" i="3"/>
  <c r="AL313" i="3"/>
  <c r="AL276" i="3"/>
  <c r="AL246" i="3"/>
  <c r="AL191" i="3"/>
  <c r="AL186" i="3"/>
  <c r="AL1179" i="3"/>
  <c r="AL1134" i="3"/>
  <c r="AL1132" i="3"/>
  <c r="AL1019" i="3"/>
  <c r="AL966" i="3"/>
  <c r="AL906" i="3"/>
  <c r="AL731" i="3"/>
  <c r="AL656" i="3"/>
  <c r="AL644" i="3"/>
  <c r="AL631" i="3"/>
  <c r="AL508" i="3"/>
  <c r="AL260" i="3"/>
  <c r="AL1275" i="3"/>
  <c r="AL1236" i="3"/>
  <c r="AL1037" i="3"/>
  <c r="AL952" i="3"/>
  <c r="AL872" i="3"/>
  <c r="AL823" i="3"/>
  <c r="AL813" i="3"/>
  <c r="AL721" i="3"/>
  <c r="AL716" i="3"/>
  <c r="AL706" i="3"/>
  <c r="AL683" i="3"/>
  <c r="AL677" i="3"/>
  <c r="AL654" i="3"/>
  <c r="AL637" i="3"/>
  <c r="AL616" i="3"/>
  <c r="AL601" i="3"/>
  <c r="AL599" i="3"/>
  <c r="AL582" i="3"/>
  <c r="AL556" i="3"/>
  <c r="AL550" i="3"/>
  <c r="AL510" i="3"/>
  <c r="AL502" i="3"/>
  <c r="AL1222" i="3"/>
  <c r="AL1085" i="3"/>
  <c r="AL1078" i="3"/>
  <c r="AL1055" i="3"/>
  <c r="AL993" i="3"/>
  <c r="AL853" i="3"/>
  <c r="AL799" i="3"/>
  <c r="AL786" i="3"/>
  <c r="AL769" i="3"/>
  <c r="AL752" i="3"/>
  <c r="AL725" i="3"/>
  <c r="AL691" i="3"/>
  <c r="AL687" i="3"/>
  <c r="AL633" i="3"/>
  <c r="AL628" i="3"/>
  <c r="AL626" i="3"/>
  <c r="AL590" i="3"/>
  <c r="AL566" i="3"/>
  <c r="AL521" i="3"/>
  <c r="AL517" i="3"/>
  <c r="AL471" i="3"/>
  <c r="AL1154" i="3"/>
  <c r="AL1111" i="3"/>
  <c r="AL1070" i="3"/>
  <c r="AL1065" i="3"/>
  <c r="AL1063" i="3"/>
  <c r="AL1043" i="3"/>
  <c r="AL1023" i="3"/>
  <c r="AL925" i="3"/>
  <c r="AL878" i="3"/>
  <c r="AL780" i="3"/>
  <c r="AL763" i="3"/>
  <c r="AL737" i="3"/>
  <c r="AL718" i="3"/>
  <c r="AL662" i="3"/>
  <c r="AL568" i="3"/>
  <c r="AL532" i="3"/>
  <c r="AL1138" i="3"/>
  <c r="AL1117" i="3"/>
  <c r="AL1115" i="3"/>
  <c r="AL973" i="3"/>
  <c r="AL892" i="3"/>
  <c r="AL883" i="3"/>
  <c r="AL838" i="3"/>
  <c r="AL788" i="3"/>
  <c r="AL775" i="3"/>
  <c r="AL773" i="3"/>
  <c r="AL771" i="3"/>
  <c r="AL750" i="3"/>
  <c r="AL697" i="3"/>
  <c r="AL664" i="3"/>
  <c r="AL641" i="3"/>
  <c r="AL1268" i="3"/>
  <c r="AL1213" i="3"/>
  <c r="AL1067" i="3"/>
  <c r="AL1048" i="3"/>
  <c r="AL1041" i="3"/>
  <c r="AL982" i="3"/>
  <c r="AL935" i="3"/>
  <c r="AL806" i="3"/>
  <c r="AL803" i="3"/>
  <c r="AL722" i="3"/>
  <c r="AL623" i="3"/>
  <c r="AL1129" i="3"/>
  <c r="AL1033" i="3"/>
  <c r="AL1000" i="3"/>
  <c r="AL942" i="3"/>
  <c r="AL931" i="3"/>
  <c r="AL896" i="3"/>
  <c r="AL824" i="3"/>
  <c r="AL817" i="3"/>
  <c r="AL732" i="3"/>
  <c r="AL893" i="3"/>
  <c r="AM67" i="3"/>
  <c r="AL80" i="3"/>
  <c r="AL106" i="3"/>
  <c r="AL148" i="3"/>
  <c r="AL242" i="3"/>
  <c r="AM272" i="3"/>
  <c r="AL281" i="3"/>
  <c r="AL73" i="3"/>
  <c r="AL91" i="3"/>
  <c r="AM121" i="3"/>
  <c r="AL131" i="3"/>
  <c r="AL138" i="3"/>
  <c r="AL156" i="3"/>
  <c r="AL167" i="3"/>
  <c r="AL181" i="3"/>
  <c r="AM344" i="3"/>
  <c r="AL348" i="3"/>
  <c r="AL368" i="3"/>
  <c r="AL385" i="3"/>
  <c r="AL436" i="3"/>
  <c r="AL551" i="3"/>
  <c r="AM553" i="3"/>
  <c r="AM555" i="3"/>
  <c r="AL634" i="3"/>
  <c r="AM641" i="3"/>
  <c r="AM664" i="3"/>
  <c r="AL688" i="3"/>
  <c r="AM917" i="3"/>
  <c r="AL1013" i="3"/>
  <c r="AL1054" i="3"/>
  <c r="AM207" i="3"/>
  <c r="AL220" i="3"/>
  <c r="AM275" i="3"/>
  <c r="AL308" i="3"/>
  <c r="AM368" i="3"/>
  <c r="AL374" i="3"/>
  <c r="AL391" i="3"/>
  <c r="AL400" i="3"/>
  <c r="AL496" i="3"/>
  <c r="AL588" i="3"/>
  <c r="AL608" i="3"/>
  <c r="AM684" i="3"/>
  <c r="AM697" i="3"/>
  <c r="AM750" i="3"/>
  <c r="AL800" i="3"/>
  <c r="AL1074" i="3"/>
  <c r="AL1102" i="3"/>
  <c r="AM1112" i="3"/>
  <c r="AM1153" i="3"/>
  <c r="AL1156" i="3"/>
  <c r="AL95" i="3"/>
  <c r="AL216" i="3"/>
  <c r="AL324" i="3"/>
  <c r="AL453" i="3"/>
  <c r="AL492" i="3"/>
  <c r="AM429" i="3"/>
  <c r="AM385" i="3"/>
  <c r="AM298" i="3"/>
  <c r="AM259" i="3"/>
  <c r="AM702" i="3"/>
  <c r="AM589" i="3"/>
  <c r="AM565" i="3"/>
  <c r="AM513" i="3"/>
  <c r="AM504" i="3"/>
  <c r="AM573" i="3"/>
  <c r="AM558" i="3"/>
  <c r="AM497" i="3"/>
  <c r="AM485" i="3"/>
  <c r="AM789" i="3"/>
  <c r="AM727" i="3"/>
  <c r="AM712" i="3"/>
  <c r="AM609" i="3"/>
  <c r="AM592" i="3"/>
  <c r="AM534" i="3"/>
  <c r="AM491" i="3"/>
  <c r="AM260" i="3"/>
  <c r="AM203" i="3"/>
  <c r="AM201" i="3"/>
  <c r="AM435" i="3"/>
  <c r="AM422" i="3"/>
  <c r="AM380" i="3"/>
  <c r="AM307" i="3"/>
  <c r="AM299" i="3"/>
  <c r="AM254" i="3"/>
  <c r="AM725" i="3"/>
  <c r="AM687" i="3"/>
  <c r="AM633" i="3"/>
  <c r="AM590" i="3"/>
  <c r="AM566" i="3"/>
  <c r="AM521" i="3"/>
  <c r="AM710" i="3"/>
  <c r="AM662" i="3"/>
  <c r="AM605" i="3"/>
  <c r="AM568" i="3"/>
  <c r="AM478" i="3"/>
  <c r="AM597" i="3"/>
  <c r="AM595" i="3"/>
  <c r="AM593" i="3"/>
  <c r="AM525" i="3"/>
  <c r="AM806" i="3"/>
  <c r="AM912" i="3"/>
  <c r="AM817" i="3"/>
  <c r="AM726" i="3"/>
  <c r="AM713" i="3"/>
  <c r="AM653" i="3"/>
  <c r="AM1216" i="3"/>
  <c r="AM1196" i="3"/>
  <c r="AM1119" i="3"/>
  <c r="AM1074" i="3"/>
  <c r="AM1057" i="3"/>
  <c r="AM963" i="3"/>
  <c r="AM901" i="3"/>
  <c r="AM781" i="3"/>
  <c r="AL113" i="3"/>
  <c r="AM113" i="3"/>
  <c r="AL87" i="3"/>
  <c r="AM131" i="3"/>
  <c r="AM138" i="3"/>
  <c r="AL161" i="3"/>
  <c r="AM181" i="3"/>
  <c r="AL209" i="3"/>
  <c r="AL112" i="3"/>
  <c r="AL119" i="3"/>
  <c r="AM161" i="3"/>
  <c r="AL193" i="3"/>
  <c r="AL252" i="3"/>
  <c r="AL270" i="3"/>
  <c r="AL290" i="3"/>
  <c r="AL300" i="3"/>
  <c r="AM308" i="3"/>
  <c r="AM374" i="3"/>
  <c r="AM391" i="3"/>
  <c r="AM394" i="3"/>
  <c r="AL398" i="3"/>
  <c r="AM410" i="3"/>
  <c r="AL423" i="3"/>
  <c r="AM547" i="3"/>
  <c r="AM608" i="3"/>
  <c r="AL720" i="3"/>
  <c r="AL764" i="3"/>
  <c r="AL768" i="3"/>
  <c r="AM775" i="3"/>
  <c r="AL965" i="3"/>
  <c r="AL168" i="3"/>
  <c r="AL375" i="3"/>
  <c r="AL169" i="3"/>
  <c r="AL178" i="3"/>
  <c r="AL203" i="3"/>
  <c r="AM252" i="3"/>
  <c r="AL259" i="3"/>
  <c r="AM300" i="3"/>
  <c r="AL302" i="3"/>
  <c r="AL330" i="3"/>
  <c r="AL338" i="3"/>
  <c r="AL343" i="3"/>
  <c r="AM381" i="3"/>
  <c r="AM398" i="3"/>
  <c r="AM423" i="3"/>
  <c r="AM481" i="3"/>
  <c r="AL577" i="3"/>
  <c r="AM579" i="3"/>
  <c r="AL682" i="3"/>
  <c r="AL738" i="3"/>
  <c r="AM764" i="3"/>
  <c r="AM773" i="3"/>
  <c r="AM892" i="3"/>
  <c r="AM1089" i="3"/>
  <c r="AM1117" i="3"/>
  <c r="AL429" i="3"/>
  <c r="AL204" i="3"/>
  <c r="AL421" i="3"/>
  <c r="AL442" i="3"/>
  <c r="AL174" i="3"/>
  <c r="AL56" i="3"/>
  <c r="AL137" i="3"/>
  <c r="AL159" i="3"/>
  <c r="AM169" i="3"/>
  <c r="AM174" i="3"/>
  <c r="AM178" i="3"/>
  <c r="AL184" i="3"/>
  <c r="AM199" i="3"/>
  <c r="AL201" i="3"/>
  <c r="AL226" i="3"/>
  <c r="AM302" i="3"/>
  <c r="AL310" i="3"/>
  <c r="AM330" i="3"/>
  <c r="AM338" i="3"/>
  <c r="AM343" i="3"/>
  <c r="AL357" i="3"/>
  <c r="AM362" i="3"/>
  <c r="AL367" i="3"/>
  <c r="AL430" i="3"/>
  <c r="AL472" i="3"/>
  <c r="AM508" i="3"/>
  <c r="AL512" i="3"/>
  <c r="AL542" i="3"/>
  <c r="AL740" i="3"/>
  <c r="AM885" i="3"/>
  <c r="AL907" i="3"/>
  <c r="AL926" i="3"/>
  <c r="AM973" i="3"/>
  <c r="AM1151" i="3"/>
  <c r="AL1196" i="3"/>
  <c r="AL105" i="3"/>
  <c r="AM137" i="3"/>
  <c r="AM184" i="3"/>
  <c r="AM210" i="3"/>
  <c r="AL219" i="3"/>
  <c r="AM226" i="3"/>
  <c r="AL268" i="3"/>
  <c r="AM310" i="3"/>
  <c r="AM367" i="3"/>
  <c r="AL373" i="3"/>
  <c r="AM430" i="3"/>
  <c r="AL435" i="3"/>
  <c r="AM456" i="3"/>
  <c r="AM460" i="3"/>
  <c r="AM472" i="3"/>
  <c r="AL478" i="3"/>
  <c r="AM542" i="3"/>
  <c r="AL600" i="3"/>
  <c r="AL678" i="3"/>
  <c r="AL988" i="3"/>
  <c r="AL1173" i="3"/>
  <c r="AL194" i="3"/>
  <c r="AL162" i="3"/>
  <c r="AL55" i="3"/>
  <c r="AL116" i="3"/>
  <c r="AM56" i="3"/>
  <c r="AM32" i="3"/>
  <c r="AL49" i="3"/>
  <c r="AL60" i="3"/>
  <c r="AL65" i="3"/>
  <c r="AL130" i="3"/>
  <c r="AL145" i="3"/>
  <c r="AL154" i="3"/>
  <c r="AM219" i="3"/>
  <c r="AL251" i="3"/>
  <c r="AM268" i="3"/>
  <c r="AL307" i="3"/>
  <c r="AM373" i="3"/>
  <c r="AL466" i="3"/>
  <c r="AL474" i="3"/>
  <c r="AL533" i="3"/>
  <c r="AM678" i="3"/>
  <c r="AL736" i="3"/>
  <c r="AL814" i="3"/>
  <c r="AL1050" i="3"/>
  <c r="AL1108" i="3"/>
  <c r="AM533" i="3"/>
  <c r="AL569" i="3"/>
  <c r="AL598" i="3"/>
  <c r="AL649" i="3"/>
  <c r="AL651" i="3"/>
  <c r="AL711" i="3"/>
  <c r="AL820" i="3"/>
  <c r="AL854" i="3"/>
  <c r="AL1028" i="3"/>
  <c r="AL299" i="3"/>
  <c r="AL332" i="3"/>
  <c r="AM466" i="3"/>
  <c r="AM186" i="3"/>
  <c r="AM280" i="3"/>
  <c r="AM292" i="3"/>
  <c r="AM295" i="3"/>
  <c r="AM317" i="3"/>
  <c r="AL337" i="3"/>
  <c r="AL345" i="3"/>
  <c r="AL354" i="3"/>
  <c r="AL422" i="3"/>
  <c r="AL464" i="3"/>
  <c r="AL526" i="3"/>
  <c r="AM569" i="3"/>
  <c r="AL572" i="3"/>
  <c r="AM598" i="3"/>
  <c r="AM649" i="3"/>
  <c r="AM711" i="3"/>
  <c r="AL734" i="3"/>
  <c r="AM755" i="3"/>
  <c r="AM767" i="3"/>
  <c r="AL793" i="3"/>
  <c r="AM854" i="3"/>
  <c r="AL958" i="3"/>
  <c r="AL1192" i="3"/>
  <c r="AL292" i="3"/>
  <c r="AL390" i="3"/>
  <c r="AL406" i="3"/>
  <c r="AL454" i="3"/>
  <c r="AM20" i="3"/>
  <c r="AL52" i="3"/>
  <c r="AL81" i="3"/>
  <c r="AL92" i="3"/>
  <c r="AL180" i="3"/>
  <c r="AL214" i="3"/>
  <c r="AM239" i="3"/>
  <c r="AL243" i="3"/>
  <c r="AL262" i="3"/>
  <c r="AL305" i="3"/>
  <c r="AM386" i="3"/>
  <c r="AL404" i="3"/>
  <c r="AM496" i="3"/>
  <c r="AM526" i="3"/>
  <c r="AL670" i="3"/>
  <c r="AM883" i="3"/>
  <c r="AM956" i="3"/>
  <c r="AM994" i="3"/>
  <c r="AM1262" i="3"/>
  <c r="AM1143" i="3"/>
  <c r="AM1210" i="3"/>
  <c r="AM1180" i="3"/>
  <c r="AM1127" i="3"/>
  <c r="AM1012" i="3"/>
  <c r="AM951" i="3"/>
  <c r="AM1129" i="3"/>
  <c r="AM1110" i="3"/>
  <c r="AM1058" i="3"/>
  <c r="AM957" i="3"/>
  <c r="AM955" i="3"/>
  <c r="AM943" i="3"/>
  <c r="AM1191" i="3"/>
  <c r="AM1047" i="3"/>
  <c r="AM1011" i="3"/>
  <c r="AM947" i="3"/>
  <c r="AM891" i="3"/>
  <c r="AM887" i="3"/>
  <c r="AM825" i="3"/>
  <c r="AM777" i="3"/>
  <c r="AM763" i="3"/>
  <c r="AM1154" i="3"/>
  <c r="AM1116" i="3"/>
  <c r="AM1078" i="3"/>
  <c r="AM911" i="3"/>
  <c r="AM907" i="3"/>
  <c r="AM878" i="3"/>
  <c r="AM785" i="3"/>
  <c r="AM1176" i="3"/>
  <c r="AM1133" i="3"/>
  <c r="AM1068" i="3"/>
  <c r="AM992" i="3"/>
  <c r="AM944" i="3"/>
  <c r="AM1156" i="3"/>
  <c r="AM1091" i="3"/>
  <c r="AM1040" i="3"/>
  <c r="AM1033" i="3"/>
  <c r="AM965" i="3"/>
  <c r="AM952" i="3"/>
  <c r="AM942" i="3"/>
  <c r="AM876" i="3"/>
  <c r="AM872" i="3"/>
  <c r="AM837" i="3"/>
  <c r="AM823" i="3"/>
  <c r="AM931" i="3"/>
  <c r="AM1000" i="3"/>
  <c r="AN1258" i="3"/>
  <c r="AN1209" i="3"/>
  <c r="AN1145" i="3"/>
  <c r="AN1129" i="3"/>
  <c r="AN1110" i="3"/>
  <c r="AN1094" i="3"/>
  <c r="AN1075" i="3"/>
  <c r="AN957" i="3"/>
  <c r="AN943" i="3"/>
  <c r="AN1269" i="3"/>
  <c r="AN1185" i="3"/>
  <c r="AN1108" i="3"/>
  <c r="AN1102" i="3"/>
  <c r="AN1100" i="3"/>
  <c r="AN1085" i="3"/>
  <c r="AN1079" i="3"/>
  <c r="AN1060" i="3"/>
  <c r="AN1050" i="3"/>
  <c r="AN1032" i="3"/>
  <c r="AN976" i="3"/>
  <c r="AN973" i="3"/>
  <c r="AN926" i="3"/>
  <c r="AN1218" i="3"/>
  <c r="AN1154" i="3"/>
  <c r="AN1116" i="3"/>
  <c r="AN1078" i="3"/>
  <c r="AN1071" i="3"/>
  <c r="AN1055" i="3"/>
  <c r="AN997" i="3"/>
  <c r="AN907" i="3"/>
  <c r="AN903" i="3"/>
  <c r="AN878" i="3"/>
  <c r="AN819" i="3"/>
  <c r="AN785" i="3"/>
  <c r="AN1253" i="3"/>
  <c r="AN1213" i="3"/>
  <c r="AN1210" i="3"/>
  <c r="AN1083" i="3"/>
  <c r="AN1059" i="3"/>
  <c r="AN999" i="3"/>
  <c r="AN982" i="3"/>
  <c r="AN949" i="3"/>
  <c r="AN936" i="3"/>
  <c r="AN928" i="3"/>
  <c r="AN913" i="3"/>
  <c r="AN839" i="3"/>
  <c r="AN814" i="3"/>
  <c r="AN806" i="3"/>
  <c r="AN799" i="3"/>
  <c r="AN789" i="3"/>
  <c r="AN1240" i="3"/>
  <c r="AN1156" i="3"/>
  <c r="AN1143" i="3"/>
  <c r="AN1033" i="3"/>
  <c r="AN1028" i="3"/>
  <c r="AN965" i="3"/>
  <c r="AN952" i="3"/>
  <c r="AN942" i="3"/>
  <c r="AN872" i="3"/>
  <c r="AN837" i="3"/>
  <c r="AN823" i="3"/>
  <c r="AN1262" i="3"/>
  <c r="AN1227" i="3"/>
  <c r="AN1222" i="3"/>
  <c r="AN1188" i="3"/>
  <c r="AN1137" i="3"/>
  <c r="AN1023" i="3"/>
  <c r="AN969" i="3"/>
  <c r="AN958" i="3"/>
  <c r="AN901" i="3"/>
  <c r="AN892" i="3"/>
  <c r="AN867" i="3"/>
  <c r="AN830" i="3"/>
  <c r="AN793" i="3"/>
  <c r="AN786" i="3"/>
  <c r="AN764" i="3"/>
  <c r="AM861" i="3"/>
  <c r="AM982" i="3"/>
  <c r="AM1041" i="3"/>
  <c r="AM1067" i="3"/>
  <c r="AM1106" i="3"/>
  <c r="AM1145" i="3"/>
  <c r="AM1161" i="3"/>
  <c r="AN1268" i="3"/>
  <c r="AN1272" i="3"/>
  <c r="AM672" i="3"/>
  <c r="AM732" i="3"/>
  <c r="AM793" i="3"/>
  <c r="AN820" i="3"/>
  <c r="AM831" i="3"/>
  <c r="AN838" i="3"/>
  <c r="AM869" i="3"/>
  <c r="AJ872" i="3"/>
  <c r="AN883" i="3"/>
  <c r="AM908" i="3"/>
  <c r="AH910" i="3"/>
  <c r="AN917" i="3"/>
  <c r="AH920" i="3"/>
  <c r="AK957" i="3"/>
  <c r="AM988" i="3"/>
  <c r="AM1005" i="3"/>
  <c r="AH1017" i="3"/>
  <c r="AJ1021" i="3"/>
  <c r="AH1046" i="3"/>
  <c r="AM1050" i="3"/>
  <c r="AK1055" i="3"/>
  <c r="AK1078" i="3"/>
  <c r="AK1085" i="3"/>
  <c r="AM1090" i="3"/>
  <c r="AJ1104" i="3"/>
  <c r="AN1117" i="3"/>
  <c r="AN1122" i="3"/>
  <c r="AN1141" i="3"/>
  <c r="AK1143" i="3"/>
  <c r="AN1182" i="3"/>
  <c r="AM1192" i="3"/>
  <c r="AK1222" i="3"/>
  <c r="AK1230" i="3"/>
  <c r="AH1233" i="3"/>
  <c r="AM780" i="3"/>
  <c r="AM897" i="3"/>
  <c r="AM925" i="3"/>
  <c r="AM1043" i="3"/>
  <c r="AM1063" i="3"/>
  <c r="AM1065" i="3"/>
  <c r="AM1070" i="3"/>
  <c r="AM1084" i="3"/>
  <c r="AM1111" i="3"/>
  <c r="AN1192" i="3"/>
  <c r="AN1230" i="3"/>
  <c r="AK1258" i="3"/>
  <c r="AM768" i="3"/>
  <c r="AM769" i="3"/>
  <c r="AM993" i="3"/>
  <c r="AM1085" i="3"/>
  <c r="AM1200" i="3"/>
  <c r="AN1249" i="3"/>
  <c r="AJ1255" i="3"/>
  <c r="AH1262" i="3"/>
  <c r="AH1232" i="3"/>
  <c r="AH1160" i="3"/>
  <c r="AH1188" i="3"/>
  <c r="AH1173" i="3"/>
  <c r="AH1139" i="3"/>
  <c r="AH1137" i="3"/>
  <c r="AH1119" i="3"/>
  <c r="AH1065" i="3"/>
  <c r="AH979" i="3"/>
  <c r="AH921" i="3"/>
  <c r="AH1213" i="3"/>
  <c r="AH1196" i="3"/>
  <c r="AH1179" i="3"/>
  <c r="AH1159" i="3"/>
  <c r="AH1082" i="3"/>
  <c r="AH1078" i="3"/>
  <c r="AH1041" i="3"/>
  <c r="AH1037" i="3"/>
  <c r="AH972" i="3"/>
  <c r="AH942" i="3"/>
  <c r="AH1236" i="3"/>
  <c r="AH1223" i="3"/>
  <c r="AH1161" i="3"/>
  <c r="AH1115" i="3"/>
  <c r="AH1103" i="3"/>
  <c r="AH978" i="3"/>
  <c r="AH925" i="3"/>
  <c r="AH877" i="3"/>
  <c r="AH759" i="3"/>
  <c r="AH751" i="3"/>
  <c r="AH817" i="3"/>
  <c r="AH1230" i="3"/>
  <c r="AH1149" i="3"/>
  <c r="AH1142" i="3"/>
  <c r="AH1140" i="3"/>
  <c r="AH1106" i="3"/>
  <c r="AH1053" i="3"/>
  <c r="AH1022" i="3"/>
  <c r="AH955" i="3"/>
  <c r="AH941" i="3"/>
  <c r="AH1240" i="3"/>
  <c r="AH1220" i="3"/>
  <c r="AH957" i="3"/>
  <c r="AH947" i="3"/>
  <c r="AH905" i="3"/>
  <c r="AH835" i="3"/>
  <c r="AM484" i="3"/>
  <c r="AM502" i="3"/>
  <c r="AM510" i="3"/>
  <c r="AM550" i="3"/>
  <c r="AM582" i="3"/>
  <c r="AM599" i="3"/>
  <c r="AM601" i="3"/>
  <c r="AM654" i="3"/>
  <c r="AM677" i="3"/>
  <c r="AM716" i="3"/>
  <c r="AM721" i="3"/>
  <c r="AM813" i="3"/>
  <c r="AM818" i="3"/>
  <c r="AK867" i="3"/>
  <c r="AM941" i="3"/>
  <c r="AJ943" i="3"/>
  <c r="AJ955" i="3"/>
  <c r="AK978" i="3"/>
  <c r="AN993" i="3"/>
  <c r="AM1017" i="3"/>
  <c r="AN1037" i="3"/>
  <c r="AK1046" i="3"/>
  <c r="AH1079" i="3"/>
  <c r="AJ1107" i="3"/>
  <c r="AJ1120" i="3"/>
  <c r="AJ1130" i="3"/>
  <c r="AK1160" i="3"/>
  <c r="AJ1185" i="3"/>
  <c r="AN1197" i="3"/>
  <c r="AN1200" i="3"/>
  <c r="AN1236" i="3"/>
  <c r="AH1246" i="3"/>
  <c r="AM631" i="3"/>
  <c r="AM644" i="3"/>
  <c r="AM731" i="3"/>
  <c r="AM746" i="3"/>
  <c r="AN759" i="3"/>
  <c r="AN813" i="3"/>
  <c r="AM824" i="3"/>
  <c r="AK825" i="3"/>
  <c r="AN841" i="3"/>
  <c r="AN858" i="3"/>
  <c r="AH882" i="3"/>
  <c r="AJ891" i="3"/>
  <c r="AH913" i="3"/>
  <c r="AM934" i="3"/>
  <c r="AN941" i="3"/>
  <c r="AH962" i="3"/>
  <c r="AM966" i="3"/>
  <c r="AH974" i="3"/>
  <c r="AH981" i="3"/>
  <c r="AH992" i="3"/>
  <c r="AH1005" i="3"/>
  <c r="AH1010" i="3"/>
  <c r="AN1017" i="3"/>
  <c r="AM1019" i="3"/>
  <c r="AM1049" i="3"/>
  <c r="AM1081" i="3"/>
  <c r="AH1116" i="3"/>
  <c r="AM1134" i="3"/>
  <c r="AM1179" i="3"/>
  <c r="AM811" i="3"/>
  <c r="AM867" i="3"/>
  <c r="AM913" i="3"/>
  <c r="AM916" i="3"/>
  <c r="AM936" i="3"/>
  <c r="AM1032" i="3"/>
  <c r="AM1130" i="3"/>
  <c r="AM1160" i="3"/>
  <c r="AM1162" i="3"/>
  <c r="AJ1271" i="3"/>
  <c r="AJ1181" i="3"/>
  <c r="AJ986" i="3"/>
  <c r="AJ981" i="3"/>
  <c r="AJ938" i="3"/>
  <c r="AJ1248" i="3"/>
  <c r="AJ1179" i="3"/>
  <c r="AJ1111" i="3"/>
  <c r="AJ1085" i="3"/>
  <c r="AJ1041" i="3"/>
  <c r="AJ1032" i="3"/>
  <c r="AJ1020" i="3"/>
  <c r="AJ939" i="3"/>
  <c r="AJ933" i="3"/>
  <c r="AJ868" i="3"/>
  <c r="AJ817" i="3"/>
  <c r="AJ1216" i="3"/>
  <c r="AJ1159" i="3"/>
  <c r="AJ974" i="3"/>
  <c r="AJ900" i="3"/>
  <c r="AJ855" i="3"/>
  <c r="AJ851" i="3"/>
  <c r="AJ846" i="3"/>
  <c r="AJ833" i="3"/>
  <c r="AJ1220" i="3"/>
  <c r="AJ1116" i="3"/>
  <c r="AJ1094" i="3"/>
  <c r="AJ1078" i="3"/>
  <c r="AJ1064" i="3"/>
  <c r="AJ1055" i="3"/>
  <c r="AJ1042" i="3"/>
  <c r="AJ907" i="3"/>
  <c r="AJ878" i="3"/>
  <c r="AJ1176" i="3"/>
  <c r="AJ1129" i="3"/>
  <c r="AJ1122" i="3"/>
  <c r="AJ1114" i="3"/>
  <c r="AJ1038" i="3"/>
  <c r="AJ982" i="3"/>
  <c r="AJ972" i="3"/>
  <c r="AJ949" i="3"/>
  <c r="AJ930" i="3"/>
  <c r="AJ874" i="3"/>
  <c r="AJ865" i="3"/>
  <c r="AJ756" i="3"/>
  <c r="AM436" i="3"/>
  <c r="AM807" i="3"/>
  <c r="AM918" i="3"/>
  <c r="AM1051" i="3"/>
  <c r="AM1181" i="3"/>
  <c r="AJ1192" i="3"/>
  <c r="AM839" i="3"/>
  <c r="AM846" i="3"/>
  <c r="AM902" i="3"/>
  <c r="AM921" i="3"/>
  <c r="AM949" i="3"/>
  <c r="AM974" i="3"/>
  <c r="AM1137" i="3"/>
  <c r="AM1142" i="3"/>
  <c r="AM1165" i="3"/>
  <c r="AM549" i="3"/>
  <c r="AM585" i="3"/>
  <c r="AM629" i="3"/>
  <c r="AN772" i="3"/>
  <c r="AN828" i="3"/>
  <c r="AN846" i="3"/>
  <c r="AK854" i="3"/>
  <c r="AM877" i="3"/>
  <c r="AK887" i="3"/>
  <c r="AK893" i="3"/>
  <c r="AN902" i="3"/>
  <c r="AJ909" i="3"/>
  <c r="AN921" i="3"/>
  <c r="AH926" i="3"/>
  <c r="AJ958" i="3"/>
  <c r="AK965" i="3"/>
  <c r="AN974" i="3"/>
  <c r="AJ979" i="3"/>
  <c r="AN992" i="3"/>
  <c r="AN1022" i="3"/>
  <c r="AN1024" i="3"/>
  <c r="AK1027" i="3"/>
  <c r="AN1084" i="3"/>
  <c r="AH1099" i="3"/>
  <c r="AM1103" i="3"/>
  <c r="AJ1112" i="3"/>
  <c r="AH1133" i="3"/>
  <c r="AN1142" i="3"/>
  <c r="AN1148" i="3"/>
  <c r="AH1151" i="3"/>
  <c r="AN1165" i="3"/>
  <c r="AJ1173" i="3"/>
  <c r="AN1175" i="3"/>
  <c r="AH1191" i="3"/>
  <c r="AN1223" i="3"/>
  <c r="AN1237" i="3"/>
  <c r="AN1270" i="3"/>
  <c r="AK1275" i="3"/>
  <c r="AK1236" i="3"/>
  <c r="AK1234" i="3"/>
  <c r="AK1220" i="3"/>
  <c r="AK1191" i="3"/>
  <c r="AK1249" i="3"/>
  <c r="AK1233" i="3"/>
  <c r="AK1141" i="3"/>
  <c r="AK1133" i="3"/>
  <c r="AK1117" i="3"/>
  <c r="AK1049" i="3"/>
  <c r="AK1008" i="3"/>
  <c r="AK981" i="3"/>
  <c r="AK928" i="3"/>
  <c r="AK925" i="3"/>
  <c r="AK1243" i="3"/>
  <c r="AK1219" i="3"/>
  <c r="AK1017" i="3"/>
  <c r="AK990" i="3"/>
  <c r="AK1096" i="3"/>
  <c r="AK974" i="3"/>
  <c r="AK970" i="3"/>
  <c r="AK851" i="3"/>
  <c r="AK846" i="3"/>
  <c r="AK1142" i="3"/>
  <c r="AK1140" i="3"/>
  <c r="AK1118" i="3"/>
  <c r="AK1071" i="3"/>
  <c r="AK1022" i="3"/>
  <c r="AK1018" i="3"/>
  <c r="AK955" i="3"/>
  <c r="AK941" i="3"/>
  <c r="AK920" i="3"/>
  <c r="AK1197" i="3"/>
  <c r="AK1129" i="3"/>
  <c r="AK1059" i="3"/>
  <c r="AK1038" i="3"/>
  <c r="AK1026" i="3"/>
  <c r="AK1013" i="3"/>
  <c r="AK982" i="3"/>
  <c r="AK972" i="3"/>
  <c r="AK1162" i="3"/>
  <c r="AK1112" i="3"/>
  <c r="AK1089" i="3"/>
  <c r="AK1057" i="3"/>
  <c r="AK975" i="3"/>
  <c r="AK917" i="3"/>
  <c r="AK859" i="3"/>
  <c r="AK810" i="3"/>
  <c r="AK803" i="3"/>
  <c r="AK758" i="3"/>
  <c r="AK775" i="3"/>
  <c r="AL1024" i="3"/>
  <c r="AO1254" i="3"/>
  <c r="AO1216" i="3"/>
  <c r="AO1182" i="3"/>
  <c r="AO1173" i="3"/>
  <c r="AO1185" i="3"/>
  <c r="AO1131" i="3"/>
  <c r="AO1102" i="3"/>
  <c r="AO1079" i="3"/>
  <c r="AO1060" i="3"/>
  <c r="AO1050" i="3"/>
  <c r="AO1032" i="3"/>
  <c r="AO976" i="3"/>
  <c r="AO973" i="3"/>
  <c r="AO926" i="3"/>
  <c r="AO1168" i="3"/>
  <c r="AO1154" i="3"/>
  <c r="AO1134" i="3"/>
  <c r="AO1000" i="3"/>
  <c r="AO992" i="3"/>
  <c r="AO969" i="3"/>
  <c r="AJ813" i="3"/>
  <c r="AH845" i="3"/>
  <c r="AN1153" i="3"/>
  <c r="AO1230" i="3"/>
  <c r="AM757" i="3"/>
  <c r="AJ854" i="3"/>
  <c r="AL912" i="3"/>
  <c r="AH935" i="3"/>
  <c r="AM1123" i="3"/>
  <c r="AO1213" i="3"/>
  <c r="AI1213" i="3"/>
  <c r="AI1196" i="3"/>
  <c r="AI1179" i="3"/>
  <c r="AI1159" i="3"/>
  <c r="AI1123" i="3"/>
  <c r="AI1078" i="3"/>
  <c r="AI1041" i="3"/>
  <c r="AI1037" i="3"/>
  <c r="AI988" i="3"/>
  <c r="AI972" i="3"/>
  <c r="AI942" i="3"/>
  <c r="AI1162" i="3"/>
  <c r="AI1075" i="3"/>
  <c r="AI1063" i="3"/>
  <c r="AI986" i="3"/>
  <c r="AJ1049" i="3"/>
  <c r="AJ1117" i="3"/>
  <c r="AJ1125" i="3"/>
  <c r="AJ1133" i="3"/>
  <c r="AJ1141" i="3"/>
  <c r="AJ1194" i="3"/>
  <c r="AN1238" i="3"/>
  <c r="AJ1063" i="3"/>
  <c r="AJ1067" i="3"/>
  <c r="AJ1082" i="3"/>
  <c r="AJ1084" i="3"/>
  <c r="AJ1090" i="3"/>
  <c r="AJ1121" i="3"/>
  <c r="AJ1162" i="3"/>
  <c r="AN1195" i="3"/>
  <c r="AN1217" i="3"/>
  <c r="AN1219" i="3"/>
  <c r="AN1235" i="3"/>
  <c r="AN1243" i="3"/>
  <c r="AN1246" i="3"/>
  <c r="AN1254" i="3"/>
  <c r="AO1180" i="3"/>
  <c r="AI1223" i="3"/>
  <c r="AJ1262" i="3"/>
  <c r="AM1223" i="3"/>
  <c r="AK1227" i="3"/>
  <c r="AJ1229" i="3"/>
  <c r="AO1258" i="3"/>
  <c r="AO1262" i="3"/>
  <c r="AK1269" i="3"/>
  <c r="AL1218" i="3"/>
  <c r="AL1227" i="3"/>
  <c r="AO1223" i="3"/>
  <c r="AM1227" i="3"/>
  <c r="AL1229" i="3"/>
  <c r="AJ1238" i="3"/>
  <c r="AJ1249" i="3"/>
  <c r="AJ1260" i="3"/>
  <c r="AO1269" i="3"/>
  <c r="AJ1274" i="3"/>
  <c r="AJ1276" i="3"/>
  <c r="AO1231" i="3"/>
  <c r="AM1236" i="3"/>
  <c r="AM1238" i="3"/>
  <c r="AO1247" i="3"/>
  <c r="AM1253" i="3"/>
  <c r="AM1255" i="3"/>
  <c r="AM1274" i="3"/>
  <c r="AM1276" i="3"/>
  <c r="AJ1217" i="3"/>
  <c r="AO1220" i="3"/>
  <c r="AM1222" i="3"/>
  <c r="AO1238" i="3"/>
  <c r="AL1240" i="3"/>
  <c r="AH1245" i="3"/>
  <c r="AO1248" i="3"/>
  <c r="AO1249" i="3"/>
  <c r="AO1255" i="3"/>
  <c r="AJ1258" i="3"/>
  <c r="AJ1272" i="3"/>
  <c r="AO1276" i="3"/>
  <c r="AJ1235" i="3"/>
  <c r="AM1240" i="3"/>
  <c r="AO1253" i="3"/>
  <c r="AL1272" i="3"/>
  <c r="AO1222" i="3"/>
  <c r="AK1235" i="3"/>
  <c r="AJ1243" i="3"/>
  <c r="AL1254" i="3"/>
  <c r="AL1258" i="3"/>
  <c r="AL1262" i="3"/>
  <c r="AM1224" i="3"/>
  <c r="AO1240" i="3"/>
  <c r="AM1258" i="3"/>
  <c r="AJ1270" i="3"/>
  <c r="AM1235" i="3"/>
  <c r="AM1243" i="3"/>
  <c r="AM1268" i="3"/>
  <c r="AL1219" i="3"/>
  <c r="AJ1230" i="3"/>
  <c r="AJ1232" i="3"/>
  <c r="AO1235" i="3"/>
  <c r="AO1237" i="3"/>
  <c r="AO1243" i="3"/>
  <c r="AJ1246" i="3"/>
  <c r="AL1248" i="3"/>
  <c r="AM1254" i="3"/>
  <c r="AK1266" i="3"/>
  <c r="AO1268" i="3"/>
  <c r="AM1232" i="3"/>
  <c r="AJ1236" i="3"/>
  <c r="AM1248" i="3"/>
  <c r="AJ1269" i="3"/>
  <c r="AO1219" i="3"/>
  <c r="AL1230" i="3"/>
  <c r="AO1241" i="3"/>
  <c r="AL1246" i="3"/>
  <c r="AO1274" i="3"/>
  <c r="AL1276" i="3"/>
  <c r="AM1246" i="3"/>
  <c r="AJ1253" i="3"/>
  <c r="AM39" i="3"/>
  <c r="AM101" i="3"/>
  <c r="AL101" i="3"/>
  <c r="AK101" i="3"/>
  <c r="AI101" i="3"/>
  <c r="AH188" i="3"/>
  <c r="AO188" i="3"/>
  <c r="AN188" i="3"/>
  <c r="AM188" i="3"/>
  <c r="AL188" i="3"/>
  <c r="AK188" i="3"/>
  <c r="AO371" i="3"/>
  <c r="AN371" i="3"/>
  <c r="AL371" i="3"/>
  <c r="AK371" i="3"/>
  <c r="AI371" i="3"/>
  <c r="AH371" i="3"/>
  <c r="AM47" i="3"/>
  <c r="AJ76" i="3"/>
  <c r="AI83" i="3"/>
  <c r="AH83" i="3"/>
  <c r="AJ108" i="3"/>
  <c r="AI108" i="3"/>
  <c r="AI115" i="3"/>
  <c r="AO160" i="3"/>
  <c r="AN160" i="3"/>
  <c r="AM160" i="3"/>
  <c r="AO202" i="3"/>
  <c r="AN202" i="3"/>
  <c r="AL202" i="3"/>
  <c r="AN217" i="3"/>
  <c r="AM217" i="3"/>
  <c r="AI217" i="3"/>
  <c r="AO217" i="3"/>
  <c r="AL217" i="3"/>
  <c r="AK217" i="3"/>
  <c r="AJ217" i="3"/>
  <c r="AH217" i="3"/>
  <c r="AN224" i="3"/>
  <c r="AK224" i="3"/>
  <c r="AM224" i="3"/>
  <c r="AL224" i="3"/>
  <c r="AJ224" i="3"/>
  <c r="AI224" i="3"/>
  <c r="AH224" i="3"/>
  <c r="AO350" i="3"/>
  <c r="AN350" i="3"/>
  <c r="AL350" i="3"/>
  <c r="AH62" i="3"/>
  <c r="AH72" i="3"/>
  <c r="AO86" i="3"/>
  <c r="AN86" i="3"/>
  <c r="AM86" i="3"/>
  <c r="AK86" i="3"/>
  <c r="AH94" i="3"/>
  <c r="AO106" i="3"/>
  <c r="AO120" i="3"/>
  <c r="AM120" i="3"/>
  <c r="AH150" i="3"/>
  <c r="AH152" i="3"/>
  <c r="AI155" i="3"/>
  <c r="AH155" i="3"/>
  <c r="AH171" i="3"/>
  <c r="AH183" i="3"/>
  <c r="AJ271" i="3"/>
  <c r="AK271" i="3"/>
  <c r="AK156" i="3"/>
  <c r="AJ156" i="3"/>
  <c r="AI156" i="3"/>
  <c r="AH156" i="3"/>
  <c r="AI72" i="3"/>
  <c r="AI94" i="3"/>
  <c r="AO143" i="3"/>
  <c r="AN143" i="3"/>
  <c r="AM143" i="3"/>
  <c r="AK143" i="3"/>
  <c r="AJ147" i="3"/>
  <c r="AJ150" i="3"/>
  <c r="AI152" i="3"/>
  <c r="AM156" i="3"/>
  <c r="AI183" i="3"/>
  <c r="AO192" i="3"/>
  <c r="AN192" i="3"/>
  <c r="AM192" i="3"/>
  <c r="AL192" i="3"/>
  <c r="AK192" i="3"/>
  <c r="AJ192" i="3"/>
  <c r="AI192" i="3"/>
  <c r="AH210" i="3"/>
  <c r="AM249" i="3"/>
  <c r="AO249" i="3"/>
  <c r="AK249" i="3"/>
  <c r="AN249" i="3"/>
  <c r="AL249" i="3"/>
  <c r="AJ249" i="3"/>
  <c r="AI249" i="3"/>
  <c r="AH249" i="3"/>
  <c r="AL287" i="3"/>
  <c r="AJ287" i="3"/>
  <c r="AO287" i="3"/>
  <c r="AN287" i="3"/>
  <c r="AM287" i="3"/>
  <c r="AH287" i="3"/>
  <c r="AK405" i="3"/>
  <c r="AJ405" i="3"/>
  <c r="AM30" i="3"/>
  <c r="AH58" i="3"/>
  <c r="AL44" i="3"/>
  <c r="AO71" i="3"/>
  <c r="AM71" i="3"/>
  <c r="AJ72" i="3"/>
  <c r="AH79" i="3"/>
  <c r="AI90" i="3"/>
  <c r="AM93" i="3"/>
  <c r="AL93" i="3"/>
  <c r="AJ94" i="3"/>
  <c r="AH101" i="3"/>
  <c r="AO103" i="3"/>
  <c r="AM103" i="3"/>
  <c r="AJ104" i="3"/>
  <c r="AH111" i="3"/>
  <c r="AH118" i="3"/>
  <c r="AK147" i="3"/>
  <c r="AJ152" i="3"/>
  <c r="AN156" i="3"/>
  <c r="AJ177" i="3"/>
  <c r="AI188" i="3"/>
  <c r="AJ197" i="3"/>
  <c r="AI197" i="3"/>
  <c r="AO197" i="3"/>
  <c r="AN197" i="3"/>
  <c r="AM197" i="3"/>
  <c r="AL197" i="3"/>
  <c r="AK197" i="3"/>
  <c r="AH197" i="3"/>
  <c r="AI210" i="3"/>
  <c r="AO321" i="3"/>
  <c r="AN321" i="3"/>
  <c r="AM321" i="3"/>
  <c r="AL321" i="3"/>
  <c r="AJ321" i="3"/>
  <c r="AJ371" i="3"/>
  <c r="AO383" i="3"/>
  <c r="AN383" i="3"/>
  <c r="AM383" i="3"/>
  <c r="AL383" i="3"/>
  <c r="AN403" i="3"/>
  <c r="AM403" i="3"/>
  <c r="AO403" i="3"/>
  <c r="AK403" i="3"/>
  <c r="AL403" i="3"/>
  <c r="AJ403" i="3"/>
  <c r="AI403" i="3"/>
  <c r="AH403" i="3"/>
  <c r="AO150" i="3"/>
  <c r="AN150" i="3"/>
  <c r="AM150" i="3"/>
  <c r="AL150" i="3"/>
  <c r="AK150" i="3"/>
  <c r="AI150" i="3"/>
  <c r="AL69" i="3"/>
  <c r="AJ35" i="3"/>
  <c r="AM46" i="3"/>
  <c r="AK46" i="3"/>
  <c r="AI47" i="3"/>
  <c r="AJ51" i="3"/>
  <c r="AJ58" i="3"/>
  <c r="AL62" i="3"/>
  <c r="AJ68" i="3"/>
  <c r="AJ69" i="3"/>
  <c r="AK72" i="3"/>
  <c r="AI75" i="3"/>
  <c r="AH75" i="3"/>
  <c r="AI79" i="3"/>
  <c r="AJ83" i="3"/>
  <c r="AJ90" i="3"/>
  <c r="AL94" i="3"/>
  <c r="AJ101" i="3"/>
  <c r="AH108" i="3"/>
  <c r="AJ115" i="3"/>
  <c r="AI118" i="3"/>
  <c r="AO128" i="3"/>
  <c r="AM128" i="3"/>
  <c r="AJ132" i="3"/>
  <c r="AL147" i="3"/>
  <c r="AM149" i="3"/>
  <c r="AL149" i="3"/>
  <c r="AJ149" i="3"/>
  <c r="AI149" i="3"/>
  <c r="AK152" i="3"/>
  <c r="AO156" i="3"/>
  <c r="AH160" i="3"/>
  <c r="AO172" i="3"/>
  <c r="AN172" i="3"/>
  <c r="AM172" i="3"/>
  <c r="AL172" i="3"/>
  <c r="AK172" i="3"/>
  <c r="AJ188" i="3"/>
  <c r="AH202" i="3"/>
  <c r="AJ210" i="3"/>
  <c r="AO224" i="3"/>
  <c r="AL228" i="3"/>
  <c r="AK228" i="3"/>
  <c r="AN228" i="3"/>
  <c r="AM228" i="3"/>
  <c r="AJ228" i="3"/>
  <c r="AI228" i="3"/>
  <c r="AH228" i="3"/>
  <c r="AO234" i="3"/>
  <c r="AK234" i="3"/>
  <c r="AN234" i="3"/>
  <c r="AM234" i="3"/>
  <c r="AL234" i="3"/>
  <c r="AJ234" i="3"/>
  <c r="AI234" i="3"/>
  <c r="AH234" i="3"/>
  <c r="AJ350" i="3"/>
  <c r="AO171" i="3"/>
  <c r="AN171" i="3"/>
  <c r="AM171" i="3"/>
  <c r="AL171" i="3"/>
  <c r="AK171" i="3"/>
  <c r="AJ171" i="3"/>
  <c r="AI171" i="3"/>
  <c r="AK459" i="3"/>
  <c r="AL459" i="3"/>
  <c r="AJ459" i="3"/>
  <c r="AI459" i="3"/>
  <c r="AH459" i="3"/>
  <c r="AO459" i="3"/>
  <c r="AN459" i="3"/>
  <c r="AM459" i="3"/>
  <c r="AK133" i="3"/>
  <c r="AJ133" i="3"/>
  <c r="AM38" i="3"/>
  <c r="AI39" i="3"/>
  <c r="AJ62" i="3"/>
  <c r="AJ22" i="3"/>
  <c r="AK31" i="3"/>
  <c r="AJ39" i="3"/>
  <c r="AM44" i="3"/>
  <c r="AK35" i="3"/>
  <c r="AK39" i="3"/>
  <c r="AJ43" i="3"/>
  <c r="AN44" i="3"/>
  <c r="AJ47" i="3"/>
  <c r="AN69" i="3"/>
  <c r="AL72" i="3"/>
  <c r="AL76" i="3"/>
  <c r="AO78" i="3"/>
  <c r="AN78" i="3"/>
  <c r="AM78" i="3"/>
  <c r="AJ79" i="3"/>
  <c r="AK83" i="3"/>
  <c r="AK90" i="3"/>
  <c r="AH96" i="3"/>
  <c r="AN101" i="3"/>
  <c r="AL108" i="3"/>
  <c r="AO110" i="3"/>
  <c r="AN110" i="3"/>
  <c r="AM110" i="3"/>
  <c r="AK110" i="3"/>
  <c r="AJ118" i="3"/>
  <c r="AI123" i="3"/>
  <c r="AH123" i="3"/>
  <c r="AM147" i="3"/>
  <c r="AO151" i="3"/>
  <c r="AN151" i="3"/>
  <c r="AM151" i="3"/>
  <c r="AL152" i="3"/>
  <c r="AJ155" i="3"/>
  <c r="AI160" i="3"/>
  <c r="AK170" i="3"/>
  <c r="AJ170" i="3"/>
  <c r="AI202" i="3"/>
  <c r="AN225" i="3"/>
  <c r="AO225" i="3"/>
  <c r="AM225" i="3"/>
  <c r="AL225" i="3"/>
  <c r="AK225" i="3"/>
  <c r="AN240" i="3"/>
  <c r="AK240" i="3"/>
  <c r="AO240" i="3"/>
  <c r="AM240" i="3"/>
  <c r="AL240" i="3"/>
  <c r="AJ240" i="3"/>
  <c r="AI240" i="3"/>
  <c r="AH240" i="3"/>
  <c r="AH293" i="3"/>
  <c r="AN293" i="3"/>
  <c r="AM293" i="3"/>
  <c r="AL293" i="3"/>
  <c r="AK293" i="3"/>
  <c r="AI293" i="3"/>
  <c r="AM350" i="3"/>
  <c r="AN419" i="3"/>
  <c r="AM419" i="3"/>
  <c r="AH419" i="3"/>
  <c r="AJ419" i="3"/>
  <c r="AI419" i="3"/>
  <c r="AO419" i="3"/>
  <c r="AM31" i="3"/>
  <c r="AO111" i="3"/>
  <c r="AM111" i="3"/>
  <c r="AJ27" i="3"/>
  <c r="AM76" i="3"/>
  <c r="AK79" i="3"/>
  <c r="AH82" i="3"/>
  <c r="AL83" i="3"/>
  <c r="AO101" i="3"/>
  <c r="AM108" i="3"/>
  <c r="AK111" i="3"/>
  <c r="AH114" i="3"/>
  <c r="AL115" i="3"/>
  <c r="AM117" i="3"/>
  <c r="AL117" i="3"/>
  <c r="AK117" i="3"/>
  <c r="AJ117" i="3"/>
  <c r="AI117" i="3"/>
  <c r="AH143" i="3"/>
  <c r="AN147" i="3"/>
  <c r="AJ160" i="3"/>
  <c r="AI165" i="3"/>
  <c r="AO165" i="3"/>
  <c r="AN165" i="3"/>
  <c r="AM165" i="3"/>
  <c r="AL165" i="3"/>
  <c r="AK165" i="3"/>
  <c r="AJ165" i="3"/>
  <c r="AH165" i="3"/>
  <c r="AH192" i="3"/>
  <c r="AJ202" i="3"/>
  <c r="AN232" i="3"/>
  <c r="AO232" i="3"/>
  <c r="AM232" i="3"/>
  <c r="AL232" i="3"/>
  <c r="AK342" i="3"/>
  <c r="AI5" i="3"/>
  <c r="AN31" i="3"/>
  <c r="AK47" i="3"/>
  <c r="AH71" i="3"/>
  <c r="AM83" i="3"/>
  <c r="AI143" i="3"/>
  <c r="AO147" i="3"/>
  <c r="AK160" i="3"/>
  <c r="AO193" i="3"/>
  <c r="AN193" i="3"/>
  <c r="AM193" i="3"/>
  <c r="AK202" i="3"/>
  <c r="AL269" i="3"/>
  <c r="AJ269" i="3"/>
  <c r="AO269" i="3"/>
  <c r="AN269" i="3"/>
  <c r="AM269" i="3"/>
  <c r="AN183" i="3"/>
  <c r="AM183" i="3"/>
  <c r="AO183" i="3"/>
  <c r="AL183" i="3"/>
  <c r="AK183" i="3"/>
  <c r="AN411" i="3"/>
  <c r="AM411" i="3"/>
  <c r="AJ411" i="3"/>
  <c r="AO411" i="3"/>
  <c r="AL411" i="3"/>
  <c r="AL210" i="3"/>
  <c r="AK210" i="3"/>
  <c r="AO210" i="3"/>
  <c r="AN210" i="3"/>
  <c r="AL402" i="3"/>
  <c r="AN402" i="3"/>
  <c r="AM402" i="3"/>
  <c r="AJ402" i="3"/>
  <c r="AI402" i="3"/>
  <c r="AO402" i="3"/>
  <c r="AH39" i="3"/>
  <c r="AJ31" i="3"/>
  <c r="AK43" i="3"/>
  <c r="AL90" i="3"/>
  <c r="AN7" i="3"/>
  <c r="AK29" i="3"/>
  <c r="AN39" i="3"/>
  <c r="AM51" i="3"/>
  <c r="AM58" i="3"/>
  <c r="AM90" i="3"/>
  <c r="AK134" i="3"/>
  <c r="AL182" i="3"/>
  <c r="AK182" i="3"/>
  <c r="AO182" i="3"/>
  <c r="AN182" i="3"/>
  <c r="AM182" i="3"/>
  <c r="AJ182" i="3"/>
  <c r="AI182" i="3"/>
  <c r="AH182" i="3"/>
  <c r="AJ206" i="3"/>
  <c r="AL206" i="3"/>
  <c r="AO206" i="3"/>
  <c r="AN206" i="3"/>
  <c r="AM206" i="3"/>
  <c r="AK206" i="3"/>
  <c r="AN2" i="3"/>
  <c r="AJ6" i="3"/>
  <c r="AJ30" i="3"/>
  <c r="AN35" i="3"/>
  <c r="AM37" i="3"/>
  <c r="AJ42" i="3"/>
  <c r="AM43" i="3"/>
  <c r="AN47" i="3"/>
  <c r="AN51" i="3"/>
  <c r="AN58" i="3"/>
  <c r="AK60" i="3"/>
  <c r="AJ60" i="3"/>
  <c r="AI60" i="3"/>
  <c r="AI67" i="3"/>
  <c r="AH67" i="3"/>
  <c r="AI71" i="3"/>
  <c r="AJ75" i="3"/>
  <c r="AO76" i="3"/>
  <c r="AJ82" i="3"/>
  <c r="AN83" i="3"/>
  <c r="AL86" i="3"/>
  <c r="AN90" i="3"/>
  <c r="AK92" i="3"/>
  <c r="AJ92" i="3"/>
  <c r="AJ93" i="3"/>
  <c r="AK96" i="3"/>
  <c r="AO108" i="3"/>
  <c r="AN111" i="3"/>
  <c r="AJ114" i="3"/>
  <c r="AN115" i="3"/>
  <c r="AO119" i="3"/>
  <c r="AN119" i="3"/>
  <c r="AM119" i="3"/>
  <c r="AH128" i="3"/>
  <c r="AI131" i="3"/>
  <c r="AH131" i="3"/>
  <c r="AJ143" i="3"/>
  <c r="AM155" i="3"/>
  <c r="AO159" i="3"/>
  <c r="AN159" i="3"/>
  <c r="AM159" i="3"/>
  <c r="AK159" i="3"/>
  <c r="AL160" i="3"/>
  <c r="AH172" i="3"/>
  <c r="AN187" i="3"/>
  <c r="AM187" i="3"/>
  <c r="AL187" i="3"/>
  <c r="AK187" i="3"/>
  <c r="AJ187" i="3"/>
  <c r="AI187" i="3"/>
  <c r="AH187" i="3"/>
  <c r="AO228" i="3"/>
  <c r="AK263" i="3"/>
  <c r="AL266" i="3"/>
  <c r="AK266" i="3"/>
  <c r="AO118" i="3"/>
  <c r="AN118" i="3"/>
  <c r="AM118" i="3"/>
  <c r="AL118" i="3"/>
  <c r="AK118" i="3"/>
  <c r="AI21" i="3"/>
  <c r="AJ16" i="3"/>
  <c r="AL58" i="3"/>
  <c r="AM35" i="3"/>
  <c r="AJ140" i="3"/>
  <c r="AH140" i="3"/>
  <c r="AK42" i="3"/>
  <c r="AI46" i="3"/>
  <c r="AO58" i="3"/>
  <c r="AL68" i="3"/>
  <c r="AK82" i="3"/>
  <c r="AO83" i="3"/>
  <c r="AO90" i="3"/>
  <c r="AN93" i="3"/>
  <c r="AL96" i="3"/>
  <c r="AK102" i="3"/>
  <c r="AJ103" i="3"/>
  <c r="AH110" i="3"/>
  <c r="AK114" i="3"/>
  <c r="AO115" i="3"/>
  <c r="AL120" i="3"/>
  <c r="AJ123" i="3"/>
  <c r="AI128" i="3"/>
  <c r="AL143" i="3"/>
  <c r="AN149" i="3"/>
  <c r="AH151" i="3"/>
  <c r="AN155" i="3"/>
  <c r="AI172" i="3"/>
  <c r="AL198" i="3"/>
  <c r="AK198" i="3"/>
  <c r="AO198" i="3"/>
  <c r="AN198" i="3"/>
  <c r="AM198" i="3"/>
  <c r="AH225" i="3"/>
  <c r="AJ238" i="3"/>
  <c r="AM238" i="3"/>
  <c r="AL238" i="3"/>
  <c r="AO238" i="3"/>
  <c r="AN238" i="3"/>
  <c r="AI238" i="3"/>
  <c r="AJ293" i="3"/>
  <c r="AO364" i="3"/>
  <c r="AL364" i="3"/>
  <c r="AJ364" i="3"/>
  <c r="AN364" i="3"/>
  <c r="AM364" i="3"/>
  <c r="AK419" i="3"/>
  <c r="AI147" i="3"/>
  <c r="AH147" i="3"/>
  <c r="AJ409" i="3"/>
  <c r="AI409" i="3"/>
  <c r="AO409" i="3"/>
  <c r="AK409" i="3"/>
  <c r="AH409" i="3"/>
  <c r="AN409" i="3"/>
  <c r="AM409" i="3"/>
  <c r="AL409" i="3"/>
  <c r="AO79" i="3"/>
  <c r="AM79" i="3"/>
  <c r="AI17" i="3"/>
  <c r="AO44" i="3"/>
  <c r="AM72" i="3"/>
  <c r="AK53" i="3"/>
  <c r="AO95" i="3"/>
  <c r="AM95" i="3"/>
  <c r="AM115" i="3"/>
  <c r="AO136" i="3"/>
  <c r="AM136" i="3"/>
  <c r="AJ25" i="3"/>
  <c r="AJ38" i="3"/>
  <c r="AN43" i="3"/>
  <c r="AO51" i="3"/>
  <c r="AO70" i="3"/>
  <c r="AN70" i="3"/>
  <c r="AM70" i="3"/>
  <c r="AK70" i="3"/>
  <c r="AJ71" i="3"/>
  <c r="AK75" i="3"/>
  <c r="AN21" i="3"/>
  <c r="AN30" i="3"/>
  <c r="AJ33" i="3"/>
  <c r="AM34" i="3"/>
  <c r="AJ46" i="3"/>
  <c r="AM68" i="3"/>
  <c r="AK71" i="3"/>
  <c r="AL75" i="3"/>
  <c r="AI78" i="3"/>
  <c r="AL82" i="3"/>
  <c r="AO93" i="3"/>
  <c r="AM96" i="3"/>
  <c r="AH106" i="3"/>
  <c r="AI110" i="3"/>
  <c r="AL114" i="3"/>
  <c r="AH117" i="3"/>
  <c r="AN120" i="3"/>
  <c r="AK123" i="3"/>
  <c r="AJ128" i="3"/>
  <c r="AO142" i="3"/>
  <c r="AN142" i="3"/>
  <c r="AM142" i="3"/>
  <c r="AL142" i="3"/>
  <c r="AK142" i="3"/>
  <c r="AK148" i="3"/>
  <c r="AJ148" i="3"/>
  <c r="AI148" i="3"/>
  <c r="AH148" i="3"/>
  <c r="AO149" i="3"/>
  <c r="AO155" i="3"/>
  <c r="AJ172" i="3"/>
  <c r="AK189" i="3"/>
  <c r="AN191" i="3"/>
  <c r="AM191" i="3"/>
  <c r="AK191" i="3"/>
  <c r="AJ191" i="3"/>
  <c r="AI191" i="3"/>
  <c r="AH191" i="3"/>
  <c r="AH221" i="3"/>
  <c r="AO221" i="3"/>
  <c r="AN221" i="3"/>
  <c r="AM221" i="3"/>
  <c r="AL221" i="3"/>
  <c r="AK221" i="3"/>
  <c r="AJ221" i="3"/>
  <c r="AI221" i="3"/>
  <c r="AI225" i="3"/>
  <c r="AJ232" i="3"/>
  <c r="AO293" i="3"/>
  <c r="AL419" i="3"/>
  <c r="AO94" i="3"/>
  <c r="AN94" i="3"/>
  <c r="AM94" i="3"/>
  <c r="AK94" i="3"/>
  <c r="AO152" i="3"/>
  <c r="AM152" i="3"/>
  <c r="AH261" i="3"/>
  <c r="AM261" i="3"/>
  <c r="AL261" i="3"/>
  <c r="AK261" i="3"/>
  <c r="AJ261" i="3"/>
  <c r="AO261" i="3"/>
  <c r="AN261" i="3"/>
  <c r="AI261" i="3"/>
  <c r="AK6" i="3"/>
  <c r="AI31" i="3"/>
  <c r="AI6" i="3"/>
  <c r="AN72" i="3"/>
  <c r="AN76" i="3"/>
  <c r="AL79" i="3"/>
  <c r="AI82" i="3"/>
  <c r="AJ86" i="3"/>
  <c r="AJ96" i="3"/>
  <c r="AL111" i="3"/>
  <c r="AJ120" i="3"/>
  <c r="AJ5" i="3"/>
  <c r="AI24" i="3"/>
  <c r="AK28" i="3"/>
  <c r="AI28" i="3"/>
  <c r="AN34" i="3"/>
  <c r="AN38" i="3"/>
  <c r="AM42" i="3"/>
  <c r="AO55" i="3"/>
  <c r="AM55" i="3"/>
  <c r="AJ56" i="3"/>
  <c r="AN68" i="3"/>
  <c r="AL71" i="3"/>
  <c r="AM75" i="3"/>
  <c r="AM77" i="3"/>
  <c r="AL77" i="3"/>
  <c r="AK77" i="3"/>
  <c r="AI77" i="3"/>
  <c r="AJ78" i="3"/>
  <c r="AM82" i="3"/>
  <c r="AO87" i="3"/>
  <c r="AM87" i="3"/>
  <c r="AH95" i="3"/>
  <c r="AN96" i="3"/>
  <c r="AL103" i="3"/>
  <c r="AI106" i="3"/>
  <c r="AM109" i="3"/>
  <c r="AL109" i="3"/>
  <c r="AK109" i="3"/>
  <c r="AI109" i="3"/>
  <c r="AJ110" i="3"/>
  <c r="AM114" i="3"/>
  <c r="AN117" i="3"/>
  <c r="AL123" i="3"/>
  <c r="AM125" i="3"/>
  <c r="AL125" i="3"/>
  <c r="AK125" i="3"/>
  <c r="AJ125" i="3"/>
  <c r="AI125" i="3"/>
  <c r="AK128" i="3"/>
  <c r="AI139" i="3"/>
  <c r="AH139" i="3"/>
  <c r="AL140" i="3"/>
  <c r="AJ151" i="3"/>
  <c r="AO173" i="3"/>
  <c r="AN173" i="3"/>
  <c r="AK176" i="3"/>
  <c r="AH193" i="3"/>
  <c r="AH206" i="3"/>
  <c r="AJ225" i="3"/>
  <c r="AH253" i="3"/>
  <c r="AN253" i="3"/>
  <c r="AM253" i="3"/>
  <c r="AL253" i="3"/>
  <c r="AK253" i="3"/>
  <c r="AO253" i="3"/>
  <c r="AJ253" i="3"/>
  <c r="AI253" i="3"/>
  <c r="AJ278" i="3"/>
  <c r="AH278" i="3"/>
  <c r="AO278" i="3"/>
  <c r="AN278" i="3"/>
  <c r="AM278" i="3"/>
  <c r="AL278" i="3"/>
  <c r="AI278" i="3"/>
  <c r="AO297" i="3"/>
  <c r="AN297" i="3"/>
  <c r="AM297" i="3"/>
  <c r="AL297" i="3"/>
  <c r="AK297" i="3"/>
  <c r="AH297" i="3"/>
  <c r="AN312" i="3"/>
  <c r="AM312" i="3"/>
  <c r="AL312" i="3"/>
  <c r="AK312" i="3"/>
  <c r="AO312" i="3"/>
  <c r="AJ312" i="3"/>
  <c r="AJ342" i="3"/>
  <c r="AO62" i="3"/>
  <c r="AN62" i="3"/>
  <c r="AM62" i="3"/>
  <c r="AK62" i="3"/>
  <c r="AJ44" i="3"/>
  <c r="AI62" i="3"/>
  <c r="AM22" i="3"/>
  <c r="AL51" i="3"/>
  <c r="AO69" i="3"/>
  <c r="AN22" i="3"/>
  <c r="AI30" i="3"/>
  <c r="AM85" i="3"/>
  <c r="AL85" i="3"/>
  <c r="AH93" i="3"/>
  <c r="AN108" i="3"/>
  <c r="AI114" i="3"/>
  <c r="AK10" i="3"/>
  <c r="AJ24" i="3"/>
  <c r="AJ29" i="3"/>
  <c r="AK36" i="3"/>
  <c r="AI36" i="3"/>
  <c r="AN46" i="3"/>
  <c r="AJ52" i="3"/>
  <c r="AO68" i="3"/>
  <c r="AN71" i="3"/>
  <c r="AN75" i="3"/>
  <c r="AL78" i="3"/>
  <c r="AK84" i="3"/>
  <c r="AJ84" i="3"/>
  <c r="AJ85" i="3"/>
  <c r="AI91" i="3"/>
  <c r="AH91" i="3"/>
  <c r="AI95" i="3"/>
  <c r="AN103" i="3"/>
  <c r="AL110" i="3"/>
  <c r="AK116" i="3"/>
  <c r="AJ116" i="3"/>
  <c r="AI116" i="3"/>
  <c r="AH116" i="3"/>
  <c r="AO117" i="3"/>
  <c r="AM123" i="3"/>
  <c r="AO127" i="3"/>
  <c r="AN127" i="3"/>
  <c r="AM127" i="3"/>
  <c r="AL128" i="3"/>
  <c r="AJ134" i="3"/>
  <c r="AM140" i="3"/>
  <c r="AL151" i="3"/>
  <c r="AK166" i="3"/>
  <c r="AO166" i="3"/>
  <c r="AN166" i="3"/>
  <c r="AM166" i="3"/>
  <c r="AL166" i="3"/>
  <c r="AI193" i="3"/>
  <c r="AI206" i="3"/>
  <c r="AH213" i="3"/>
  <c r="AN213" i="3"/>
  <c r="AO213" i="3"/>
  <c r="AM213" i="3"/>
  <c r="AL213" i="3"/>
  <c r="AK213" i="3"/>
  <c r="AJ213" i="3"/>
  <c r="AI213" i="3"/>
  <c r="AO244" i="3"/>
  <c r="AN244" i="3"/>
  <c r="AK244" i="3"/>
  <c r="AM244" i="3"/>
  <c r="AL244" i="3"/>
  <c r="AJ244" i="3"/>
  <c r="AI244" i="3"/>
  <c r="AH244" i="3"/>
  <c r="AO258" i="3"/>
  <c r="AM258" i="3"/>
  <c r="AN258" i="3"/>
  <c r="AL258" i="3"/>
  <c r="AN264" i="3"/>
  <c r="AL264" i="3"/>
  <c r="AK537" i="3"/>
  <c r="AJ537" i="3"/>
  <c r="AN537" i="3"/>
  <c r="AI537" i="3"/>
  <c r="AH537" i="3"/>
  <c r="AO537" i="3"/>
  <c r="AM537" i="3"/>
  <c r="AL537" i="3"/>
  <c r="AL804" i="3"/>
  <c r="AJ804" i="3"/>
  <c r="AI804" i="3"/>
  <c r="AH804" i="3"/>
  <c r="AN804" i="3"/>
  <c r="AM804" i="3"/>
  <c r="AO804" i="3"/>
  <c r="AK804" i="3"/>
  <c r="AJ310" i="3"/>
  <c r="AI310" i="3"/>
  <c r="AH310" i="3"/>
  <c r="AK310" i="3"/>
  <c r="AO314" i="3"/>
  <c r="AN314" i="3"/>
  <c r="AM314" i="3"/>
  <c r="AL314" i="3"/>
  <c r="AJ314" i="3"/>
  <c r="AI314" i="3"/>
  <c r="AO378" i="3"/>
  <c r="AN378" i="3"/>
  <c r="AL378" i="3"/>
  <c r="AO413" i="3"/>
  <c r="AM413" i="3"/>
  <c r="AI413" i="3"/>
  <c r="AH413" i="3"/>
  <c r="AN413" i="3"/>
  <c r="AL413" i="3"/>
  <c r="AK413" i="3"/>
  <c r="AM444" i="3"/>
  <c r="AL444" i="3"/>
  <c r="AJ444" i="3"/>
  <c r="AI444" i="3"/>
  <c r="AH444" i="3"/>
  <c r="AO444" i="3"/>
  <c r="AN444" i="3"/>
  <c r="AK444" i="3"/>
  <c r="AO447" i="3"/>
  <c r="AN447" i="3"/>
  <c r="AM447" i="3"/>
  <c r="AK447" i="3"/>
  <c r="AJ447" i="3"/>
  <c r="AH447" i="3"/>
  <c r="AO282" i="3"/>
  <c r="AN282" i="3"/>
  <c r="AM282" i="3"/>
  <c r="AK282" i="3"/>
  <c r="AJ282" i="3"/>
  <c r="AO335" i="3"/>
  <c r="AN335" i="3"/>
  <c r="AM335" i="3"/>
  <c r="AJ335" i="3"/>
  <c r="AH392" i="3"/>
  <c r="AL392" i="3"/>
  <c r="AK392" i="3"/>
  <c r="AJ392" i="3"/>
  <c r="AI392" i="3"/>
  <c r="AN392" i="3"/>
  <c r="AM392" i="3"/>
  <c r="AL247" i="3"/>
  <c r="AI247" i="3"/>
  <c r="AJ247" i="3"/>
  <c r="AH247" i="3"/>
  <c r="AL319" i="3"/>
  <c r="AJ319" i="3"/>
  <c r="AO319" i="3"/>
  <c r="AK333" i="3"/>
  <c r="AJ333" i="3"/>
  <c r="AI333" i="3"/>
  <c r="AH333" i="3"/>
  <c r="AL333" i="3"/>
  <c r="AO340" i="3"/>
  <c r="AM340" i="3"/>
  <c r="AL340" i="3"/>
  <c r="AK340" i="3"/>
  <c r="AJ340" i="3"/>
  <c r="AI351" i="3"/>
  <c r="AH351" i="3"/>
  <c r="AK247" i="3"/>
  <c r="AL279" i="3"/>
  <c r="AJ279" i="3"/>
  <c r="AI279" i="3"/>
  <c r="AN279" i="3"/>
  <c r="AI282" i="3"/>
  <c r="AO289" i="3"/>
  <c r="AN289" i="3"/>
  <c r="AM289" i="3"/>
  <c r="AL289" i="3"/>
  <c r="AK289" i="3"/>
  <c r="AJ289" i="3"/>
  <c r="AH289" i="3"/>
  <c r="AN304" i="3"/>
  <c r="AM304" i="3"/>
  <c r="AL304" i="3"/>
  <c r="AJ304" i="3"/>
  <c r="AO306" i="3"/>
  <c r="AK306" i="3"/>
  <c r="AJ306" i="3"/>
  <c r="AI306" i="3"/>
  <c r="AH306" i="3"/>
  <c r="AN310" i="3"/>
  <c r="AH319" i="3"/>
  <c r="AN328" i="3"/>
  <c r="AM328" i="3"/>
  <c r="AL328" i="3"/>
  <c r="AO328" i="3"/>
  <c r="AJ328" i="3"/>
  <c r="AH328" i="3"/>
  <c r="AM333" i="3"/>
  <c r="AN340" i="3"/>
  <c r="AK360" i="3"/>
  <c r="AM378" i="3"/>
  <c r="AH384" i="3"/>
  <c r="AO384" i="3"/>
  <c r="AM384" i="3"/>
  <c r="AK384" i="3"/>
  <c r="AI384" i="3"/>
  <c r="AO388" i="3"/>
  <c r="AN388" i="3"/>
  <c r="AM388" i="3"/>
  <c r="AL388" i="3"/>
  <c r="AN399" i="3"/>
  <c r="AJ399" i="3"/>
  <c r="AI399" i="3"/>
  <c r="AO399" i="3"/>
  <c r="AM399" i="3"/>
  <c r="AM514" i="3"/>
  <c r="AL514" i="3"/>
  <c r="AI514" i="3"/>
  <c r="AJ514" i="3"/>
  <c r="AH514" i="3"/>
  <c r="AO514" i="3"/>
  <c r="AN514" i="3"/>
  <c r="AN200" i="3"/>
  <c r="AL200" i="3"/>
  <c r="AH205" i="3"/>
  <c r="AN205" i="3"/>
  <c r="AM205" i="3"/>
  <c r="AI205" i="3"/>
  <c r="AM247" i="3"/>
  <c r="AL282" i="3"/>
  <c r="AJ294" i="3"/>
  <c r="AN294" i="3"/>
  <c r="AM294" i="3"/>
  <c r="AO310" i="3"/>
  <c r="AM319" i="3"/>
  <c r="AN333" i="3"/>
  <c r="AL335" i="3"/>
  <c r="AK431" i="3"/>
  <c r="AI431" i="3"/>
  <c r="AO431" i="3"/>
  <c r="AN431" i="3"/>
  <c r="AM431" i="3"/>
  <c r="AL431" i="3"/>
  <c r="AJ181" i="3"/>
  <c r="AI181" i="3"/>
  <c r="AN216" i="3"/>
  <c r="AK216" i="3"/>
  <c r="AJ216" i="3"/>
  <c r="AN247" i="3"/>
  <c r="AN257" i="3"/>
  <c r="AM257" i="3"/>
  <c r="AO257" i="3"/>
  <c r="AL257" i="3"/>
  <c r="AK257" i="3"/>
  <c r="AH257" i="3"/>
  <c r="AJ265" i="3"/>
  <c r="AN273" i="3"/>
  <c r="AM273" i="3"/>
  <c r="AL273" i="3"/>
  <c r="AK273" i="3"/>
  <c r="AJ273" i="3"/>
  <c r="AI273" i="3"/>
  <c r="AN319" i="3"/>
  <c r="AO333" i="3"/>
  <c r="AO603" i="3"/>
  <c r="AN603" i="3"/>
  <c r="AM603" i="3"/>
  <c r="AL603" i="3"/>
  <c r="AJ603" i="3"/>
  <c r="AI603" i="3"/>
  <c r="AO212" i="3"/>
  <c r="AK212" i="3"/>
  <c r="AO247" i="3"/>
  <c r="AO322" i="3"/>
  <c r="AN322" i="3"/>
  <c r="AM322" i="3"/>
  <c r="AO341" i="3"/>
  <c r="AN341" i="3"/>
  <c r="AM341" i="3"/>
  <c r="AK341" i="3"/>
  <c r="AL341" i="3"/>
  <c r="AJ341" i="3"/>
  <c r="AO359" i="3"/>
  <c r="AN359" i="3"/>
  <c r="AM359" i="3"/>
  <c r="AL359" i="3"/>
  <c r="AJ359" i="3"/>
  <c r="AO365" i="3"/>
  <c r="AN365" i="3"/>
  <c r="AM365" i="3"/>
  <c r="AL365" i="3"/>
  <c r="AJ365" i="3"/>
  <c r="AJ401" i="3"/>
  <c r="AI401" i="3"/>
  <c r="AH401" i="3"/>
  <c r="AO401" i="3"/>
  <c r="AN401" i="3"/>
  <c r="AM401" i="3"/>
  <c r="AL401" i="3"/>
  <c r="AO437" i="3"/>
  <c r="AJ437" i="3"/>
  <c r="AH437" i="3"/>
  <c r="AL437" i="3"/>
  <c r="AK437" i="3"/>
  <c r="AI437" i="3"/>
  <c r="AN437" i="3"/>
  <c r="AM437" i="3"/>
  <c r="AH560" i="3"/>
  <c r="AO560" i="3"/>
  <c r="AN560" i="3"/>
  <c r="AL560" i="3"/>
  <c r="AM560" i="3"/>
  <c r="AK560" i="3"/>
  <c r="AJ560" i="3"/>
  <c r="AL190" i="3"/>
  <c r="AK190" i="3"/>
  <c r="AH279" i="3"/>
  <c r="AN281" i="3"/>
  <c r="AM281" i="3"/>
  <c r="AK281" i="3"/>
  <c r="AJ281" i="3"/>
  <c r="AI281" i="3"/>
  <c r="AH281" i="3"/>
  <c r="AI289" i="3"/>
  <c r="AL306" i="3"/>
  <c r="AL311" i="3"/>
  <c r="AJ311" i="3"/>
  <c r="AI311" i="3"/>
  <c r="AO311" i="3"/>
  <c r="AN311" i="3"/>
  <c r="AK370" i="3"/>
  <c r="AK377" i="3"/>
  <c r="AJ384" i="3"/>
  <c r="AH399" i="3"/>
  <c r="AK514" i="3"/>
  <c r="AH169" i="3"/>
  <c r="AI196" i="3"/>
  <c r="AH200" i="3"/>
  <c r="AK204" i="3"/>
  <c r="AJ204" i="3"/>
  <c r="AJ205" i="3"/>
  <c r="AL207" i="3"/>
  <c r="AO207" i="3"/>
  <c r="AH208" i="3"/>
  <c r="AJ230" i="3"/>
  <c r="AM233" i="3"/>
  <c r="AN233" i="3"/>
  <c r="AL233" i="3"/>
  <c r="AK279" i="3"/>
  <c r="AO290" i="3"/>
  <c r="AN290" i="3"/>
  <c r="AM290" i="3"/>
  <c r="AK294" i="3"/>
  <c r="AO304" i="3"/>
  <c r="AM306" i="3"/>
  <c r="AJ318" i="3"/>
  <c r="AI318" i="3"/>
  <c r="AH318" i="3"/>
  <c r="AO318" i="3"/>
  <c r="AN318" i="3"/>
  <c r="AM318" i="3"/>
  <c r="AL318" i="3"/>
  <c r="AM339" i="3"/>
  <c r="AJ339" i="3"/>
  <c r="AI339" i="3"/>
  <c r="AH339" i="3"/>
  <c r="AK339" i="3"/>
  <c r="AH379" i="3"/>
  <c r="AL384" i="3"/>
  <c r="AK399" i="3"/>
  <c r="AK418" i="3"/>
  <c r="AJ418" i="3"/>
  <c r="AH418" i="3"/>
  <c r="AJ431" i="3"/>
  <c r="AO440" i="3"/>
  <c r="AN440" i="3"/>
  <c r="AL440" i="3"/>
  <c r="AK440" i="3"/>
  <c r="AJ440" i="3"/>
  <c r="AI440" i="3"/>
  <c r="AM440" i="3"/>
  <c r="AH440" i="3"/>
  <c r="AI169" i="3"/>
  <c r="AH181" i="3"/>
  <c r="AO184" i="3"/>
  <c r="AH185" i="3"/>
  <c r="AJ196" i="3"/>
  <c r="AL199" i="3"/>
  <c r="AO199" i="3"/>
  <c r="AN199" i="3"/>
  <c r="AI200" i="3"/>
  <c r="AK205" i="3"/>
  <c r="AI208" i="3"/>
  <c r="AH216" i="3"/>
  <c r="AK237" i="3"/>
  <c r="AO242" i="3"/>
  <c r="AK242" i="3"/>
  <c r="AJ242" i="3"/>
  <c r="AN248" i="3"/>
  <c r="AK248" i="3"/>
  <c r="AO248" i="3"/>
  <c r="AM248" i="3"/>
  <c r="AL248" i="3"/>
  <c r="AJ248" i="3"/>
  <c r="AI257" i="3"/>
  <c r="AH265" i="3"/>
  <c r="AJ270" i="3"/>
  <c r="AH270" i="3"/>
  <c r="AO270" i="3"/>
  <c r="AN270" i="3"/>
  <c r="AM270" i="3"/>
  <c r="AI270" i="3"/>
  <c r="AH273" i="3"/>
  <c r="AM279" i="3"/>
  <c r="AL294" i="3"/>
  <c r="AH301" i="3"/>
  <c r="AO301" i="3"/>
  <c r="AM301" i="3"/>
  <c r="AL301" i="3"/>
  <c r="AN306" i="3"/>
  <c r="AO329" i="3"/>
  <c r="AN329" i="3"/>
  <c r="AM329" i="3"/>
  <c r="AL329" i="3"/>
  <c r="AK329" i="3"/>
  <c r="AL352" i="3"/>
  <c r="AK352" i="3"/>
  <c r="AJ352" i="3"/>
  <c r="AI352" i="3"/>
  <c r="AH352" i="3"/>
  <c r="AI379" i="3"/>
  <c r="AN384" i="3"/>
  <c r="AJ388" i="3"/>
  <c r="AL394" i="3"/>
  <c r="AO394" i="3"/>
  <c r="AI394" i="3"/>
  <c r="AJ394" i="3"/>
  <c r="AL399" i="3"/>
  <c r="AK181" i="3"/>
  <c r="AK196" i="3"/>
  <c r="AJ200" i="3"/>
  <c r="AL205" i="3"/>
  <c r="AJ208" i="3"/>
  <c r="AH212" i="3"/>
  <c r="AI216" i="3"/>
  <c r="AL218" i="3"/>
  <c r="AL239" i="3"/>
  <c r="AO239" i="3"/>
  <c r="AJ239" i="3"/>
  <c r="AJ254" i="3"/>
  <c r="AO254" i="3"/>
  <c r="AL254" i="3"/>
  <c r="AJ257" i="3"/>
  <c r="AJ262" i="3"/>
  <c r="AH262" i="3"/>
  <c r="AO262" i="3"/>
  <c r="AN262" i="3"/>
  <c r="AK262" i="3"/>
  <c r="AO273" i="3"/>
  <c r="AO279" i="3"/>
  <c r="AJ286" i="3"/>
  <c r="AI286" i="3"/>
  <c r="AH286" i="3"/>
  <c r="AO286" i="3"/>
  <c r="AN286" i="3"/>
  <c r="AM286" i="3"/>
  <c r="AL286" i="3"/>
  <c r="AO294" i="3"/>
  <c r="AH322" i="3"/>
  <c r="AH325" i="3"/>
  <c r="AN325" i="3"/>
  <c r="AM325" i="3"/>
  <c r="AL325" i="3"/>
  <c r="AK325" i="3"/>
  <c r="AI325" i="3"/>
  <c r="AH341" i="3"/>
  <c r="AH359" i="3"/>
  <c r="AL379" i="3"/>
  <c r="AK401" i="3"/>
  <c r="AH408" i="3"/>
  <c r="AO408" i="3"/>
  <c r="AN408" i="3"/>
  <c r="AM408" i="3"/>
  <c r="AK408" i="3"/>
  <c r="AL408" i="3"/>
  <c r="AI408" i="3"/>
  <c r="AM438" i="3"/>
  <c r="AK438" i="3"/>
  <c r="AJ438" i="3"/>
  <c r="AI438" i="3"/>
  <c r="AN438" i="3"/>
  <c r="AL438" i="3"/>
  <c r="AI450" i="3"/>
  <c r="AL450" i="3"/>
  <c r="AJ450" i="3"/>
  <c r="AH450" i="3"/>
  <c r="AK450" i="3"/>
  <c r="AO450" i="3"/>
  <c r="AM450" i="3"/>
  <c r="AO332" i="3"/>
  <c r="AH332" i="3"/>
  <c r="AI361" i="3"/>
  <c r="AO361" i="3"/>
  <c r="AN426" i="3"/>
  <c r="AL426" i="3"/>
  <c r="AK426" i="3"/>
  <c r="AJ426" i="3"/>
  <c r="AM426" i="3"/>
  <c r="AI426" i="3"/>
  <c r="AM428" i="3"/>
  <c r="AO428" i="3"/>
  <c r="AN428" i="3"/>
  <c r="AL428" i="3"/>
  <c r="AJ428" i="3"/>
  <c r="AO446" i="3"/>
  <c r="AN446" i="3"/>
  <c r="AJ446" i="3"/>
  <c r="AI446" i="3"/>
  <c r="AH446" i="3"/>
  <c r="AI479" i="3"/>
  <c r="AH479" i="3"/>
  <c r="AM479" i="3"/>
  <c r="AL479" i="3"/>
  <c r="AK479" i="3"/>
  <c r="AJ479" i="3"/>
  <c r="AJ498" i="3"/>
  <c r="AM347" i="3"/>
  <c r="AO347" i="3"/>
  <c r="AN347" i="3"/>
  <c r="AL347" i="3"/>
  <c r="AJ347" i="3"/>
  <c r="AI353" i="3"/>
  <c r="AO353" i="3"/>
  <c r="AN353" i="3"/>
  <c r="AM353" i="3"/>
  <c r="AL353" i="3"/>
  <c r="AJ353" i="3"/>
  <c r="AJ396" i="3"/>
  <c r="AK501" i="3"/>
  <c r="AJ501" i="3"/>
  <c r="AI528" i="3"/>
  <c r="AH528" i="3"/>
  <c r="AO528" i="3"/>
  <c r="AN528" i="3"/>
  <c r="AM528" i="3"/>
  <c r="AK528" i="3"/>
  <c r="AL528" i="3"/>
  <c r="AJ543" i="3"/>
  <c r="AJ332" i="3"/>
  <c r="AN334" i="3"/>
  <c r="AM334" i="3"/>
  <c r="AL334" i="3"/>
  <c r="AK334" i="3"/>
  <c r="AH347" i="3"/>
  <c r="AH353" i="3"/>
  <c r="AM358" i="3"/>
  <c r="AL358" i="3"/>
  <c r="AJ358" i="3"/>
  <c r="AJ361" i="3"/>
  <c r="AO372" i="3"/>
  <c r="AN372" i="3"/>
  <c r="AL372" i="3"/>
  <c r="AK376" i="3"/>
  <c r="AJ376" i="3"/>
  <c r="AJ393" i="3"/>
  <c r="AI393" i="3"/>
  <c r="AO393" i="3"/>
  <c r="AN393" i="3"/>
  <c r="AM393" i="3"/>
  <c r="AK393" i="3"/>
  <c r="AK396" i="3"/>
  <c r="AJ416" i="3"/>
  <c r="AH416" i="3"/>
  <c r="AL416" i="3"/>
  <c r="AK416" i="3"/>
  <c r="AI416" i="3"/>
  <c r="AO426" i="3"/>
  <c r="AI428" i="3"/>
  <c r="AM432" i="3"/>
  <c r="AJ432" i="3"/>
  <c r="AL446" i="3"/>
  <c r="AO479" i="3"/>
  <c r="AJ528" i="3"/>
  <c r="AL303" i="3"/>
  <c r="AK303" i="3"/>
  <c r="AJ303" i="3"/>
  <c r="AI303" i="3"/>
  <c r="AO313" i="3"/>
  <c r="AN313" i="3"/>
  <c r="AM313" i="3"/>
  <c r="AK332" i="3"/>
  <c r="AI347" i="3"/>
  <c r="AK353" i="3"/>
  <c r="AK361" i="3"/>
  <c r="AJ381" i="3"/>
  <c r="AI381" i="3"/>
  <c r="AH381" i="3"/>
  <c r="AN387" i="3"/>
  <c r="AM387" i="3"/>
  <c r="AL387" i="3"/>
  <c r="AK387" i="3"/>
  <c r="AJ387" i="3"/>
  <c r="AI387" i="3"/>
  <c r="AK428" i="3"/>
  <c r="AM446" i="3"/>
  <c r="AO509" i="3"/>
  <c r="AI509" i="3"/>
  <c r="AN509" i="3"/>
  <c r="AL509" i="3"/>
  <c r="AK509" i="3"/>
  <c r="AO531" i="3"/>
  <c r="AN531" i="3"/>
  <c r="AK531" i="3"/>
  <c r="AM531" i="3"/>
  <c r="AL531" i="3"/>
  <c r="AJ531" i="3"/>
  <c r="AI531" i="3"/>
  <c r="AH531" i="3"/>
  <c r="AL535" i="3"/>
  <c r="AK535" i="3"/>
  <c r="AJ535" i="3"/>
  <c r="AI535" i="3"/>
  <c r="AO535" i="3"/>
  <c r="AN535" i="3"/>
  <c r="AN272" i="3"/>
  <c r="AL272" i="3"/>
  <c r="AK272" i="3"/>
  <c r="AN288" i="3"/>
  <c r="AM288" i="3"/>
  <c r="AL288" i="3"/>
  <c r="AK288" i="3"/>
  <c r="AO298" i="3"/>
  <c r="AN320" i="3"/>
  <c r="AM320" i="3"/>
  <c r="AL320" i="3"/>
  <c r="AK320" i="3"/>
  <c r="AK330" i="3"/>
  <c r="AM332" i="3"/>
  <c r="AK346" i="3"/>
  <c r="AM346" i="3"/>
  <c r="AL346" i="3"/>
  <c r="AJ346" i="3"/>
  <c r="AI346" i="3"/>
  <c r="AM361" i="3"/>
  <c r="AI369" i="3"/>
  <c r="AH369" i="3"/>
  <c r="AK457" i="3"/>
  <c r="AM540" i="3"/>
  <c r="AO540" i="3"/>
  <c r="AN540" i="3"/>
  <c r="AL540" i="3"/>
  <c r="AJ540" i="3"/>
  <c r="AK540" i="3"/>
  <c r="AI540" i="3"/>
  <c r="AH540" i="3"/>
  <c r="AH209" i="3"/>
  <c r="AN280" i="3"/>
  <c r="AL280" i="3"/>
  <c r="AK280" i="3"/>
  <c r="AN332" i="3"/>
  <c r="AH334" i="3"/>
  <c r="AO336" i="3"/>
  <c r="AO348" i="3"/>
  <c r="AM348" i="3"/>
  <c r="AK354" i="3"/>
  <c r="AO354" i="3"/>
  <c r="AM354" i="3"/>
  <c r="AI358" i="3"/>
  <c r="AN361" i="3"/>
  <c r="AH372" i="3"/>
  <c r="AH393" i="3"/>
  <c r="AM416" i="3"/>
  <c r="AL432" i="3"/>
  <c r="AO445" i="3"/>
  <c r="AM445" i="3"/>
  <c r="AL445" i="3"/>
  <c r="AJ445" i="3"/>
  <c r="AI445" i="3"/>
  <c r="AJ455" i="3"/>
  <c r="AH455" i="3"/>
  <c r="AO455" i="3"/>
  <c r="AN455" i="3"/>
  <c r="AK455" i="3"/>
  <c r="AI455" i="3"/>
  <c r="AI209" i="3"/>
  <c r="AL231" i="3"/>
  <c r="AI231" i="3"/>
  <c r="AJ277" i="3"/>
  <c r="AL295" i="3"/>
  <c r="AK295" i="3"/>
  <c r="AJ295" i="3"/>
  <c r="AI295" i="3"/>
  <c r="AH303" i="3"/>
  <c r="AO305" i="3"/>
  <c r="AN305" i="3"/>
  <c r="AM305" i="3"/>
  <c r="AH313" i="3"/>
  <c r="AI317" i="3"/>
  <c r="AL327" i="3"/>
  <c r="AJ327" i="3"/>
  <c r="AI334" i="3"/>
  <c r="AN358" i="3"/>
  <c r="AI372" i="3"/>
  <c r="AK381" i="3"/>
  <c r="AH387" i="3"/>
  <c r="AL393" i="3"/>
  <c r="AN416" i="3"/>
  <c r="AN432" i="3"/>
  <c r="AJ509" i="3"/>
  <c r="AL255" i="3"/>
  <c r="AJ255" i="3"/>
  <c r="AI255" i="3"/>
  <c r="AJ302" i="3"/>
  <c r="AM303" i="3"/>
  <c r="AI313" i="3"/>
  <c r="AJ317" i="3"/>
  <c r="AJ334" i="3"/>
  <c r="AJ357" i="3"/>
  <c r="AI357" i="3"/>
  <c r="AH357" i="3"/>
  <c r="AO358" i="3"/>
  <c r="AL381" i="3"/>
  <c r="AL386" i="3"/>
  <c r="AK386" i="3"/>
  <c r="AH386" i="3"/>
  <c r="AO387" i="3"/>
  <c r="AK443" i="3"/>
  <c r="AL462" i="3"/>
  <c r="AK462" i="3"/>
  <c r="AJ462" i="3"/>
  <c r="AM462" i="3"/>
  <c r="AM509" i="3"/>
  <c r="AM532" i="3"/>
  <c r="AO532" i="3"/>
  <c r="AN532" i="3"/>
  <c r="AK532" i="3"/>
  <c r="AH532" i="3"/>
  <c r="AJ532" i="3"/>
  <c r="AI532" i="3"/>
  <c r="AM535" i="3"/>
  <c r="AM500" i="3"/>
  <c r="AO500" i="3"/>
  <c r="AN500" i="3"/>
  <c r="AL500" i="3"/>
  <c r="AK500" i="3"/>
  <c r="AI500" i="3"/>
  <c r="AJ500" i="3"/>
  <c r="AH500" i="3"/>
  <c r="AI458" i="3"/>
  <c r="AO458" i="3"/>
  <c r="AN458" i="3"/>
  <c r="AM458" i="3"/>
  <c r="AK458" i="3"/>
  <c r="AJ458" i="3"/>
  <c r="AO494" i="3"/>
  <c r="AN494" i="3"/>
  <c r="AM494" i="3"/>
  <c r="AL494" i="3"/>
  <c r="AJ494" i="3"/>
  <c r="AK494" i="3"/>
  <c r="AI494" i="3"/>
  <c r="AH494" i="3"/>
  <c r="AM524" i="3"/>
  <c r="AO524" i="3"/>
  <c r="AL524" i="3"/>
  <c r="AI524" i="3"/>
  <c r="AH524" i="3"/>
  <c r="AJ524" i="3"/>
  <c r="AO469" i="3"/>
  <c r="AN469" i="3"/>
  <c r="AM469" i="3"/>
  <c r="AL469" i="3"/>
  <c r="AK469" i="3"/>
  <c r="AJ469" i="3"/>
  <c r="AL505" i="3"/>
  <c r="AK505" i="3"/>
  <c r="AJ505" i="3"/>
  <c r="AH505" i="3"/>
  <c r="AO507" i="3"/>
  <c r="AK507" i="3"/>
  <c r="AN507" i="3"/>
  <c r="AL507" i="3"/>
  <c r="AH507" i="3"/>
  <c r="AI512" i="3"/>
  <c r="AH512" i="3"/>
  <c r="AO512" i="3"/>
  <c r="AM512" i="3"/>
  <c r="AJ512" i="3"/>
  <c r="AM516" i="3"/>
  <c r="AN516" i="3"/>
  <c r="AJ516" i="3"/>
  <c r="AI516" i="3"/>
  <c r="AM548" i="3"/>
  <c r="AO548" i="3"/>
  <c r="AN548" i="3"/>
  <c r="AL548" i="3"/>
  <c r="AK548" i="3"/>
  <c r="AI548" i="3"/>
  <c r="AN802" i="3"/>
  <c r="AL802" i="3"/>
  <c r="AK802" i="3"/>
  <c r="AO802" i="3"/>
  <c r="AJ802" i="3"/>
  <c r="AH802" i="3"/>
  <c r="AM802" i="3"/>
  <c r="AI802" i="3"/>
  <c r="AO463" i="3"/>
  <c r="AN463" i="3"/>
  <c r="AM463" i="3"/>
  <c r="AL463" i="3"/>
  <c r="AK463" i="3"/>
  <c r="AJ477" i="3"/>
  <c r="AK480" i="3"/>
  <c r="AI480" i="3"/>
  <c r="AH567" i="3"/>
  <c r="AO567" i="3"/>
  <c r="AN567" i="3"/>
  <c r="AM567" i="3"/>
  <c r="AK567" i="3"/>
  <c r="AM564" i="3"/>
  <c r="AJ564" i="3"/>
  <c r="AO564" i="3"/>
  <c r="AK564" i="3"/>
  <c r="AI564" i="3"/>
  <c r="AO571" i="3"/>
  <c r="AN571" i="3"/>
  <c r="AK571" i="3"/>
  <c r="AH571" i="3"/>
  <c r="AL571" i="3"/>
  <c r="AJ571" i="3"/>
  <c r="AJ576" i="3"/>
  <c r="AH576" i="3"/>
  <c r="AN576" i="3"/>
  <c r="AM576" i="3"/>
  <c r="AL576" i="3"/>
  <c r="AK576" i="3"/>
  <c r="AO412" i="3"/>
  <c r="AK451" i="3"/>
  <c r="AO451" i="3"/>
  <c r="AM451" i="3"/>
  <c r="AL451" i="3"/>
  <c r="AJ451" i="3"/>
  <c r="AN487" i="3"/>
  <c r="AM487" i="3"/>
  <c r="AL487" i="3"/>
  <c r="AK487" i="3"/>
  <c r="AJ487" i="3"/>
  <c r="AH487" i="3"/>
  <c r="AO489" i="3"/>
  <c r="AN489" i="3"/>
  <c r="AL489" i="3"/>
  <c r="AI489" i="3"/>
  <c r="AM580" i="3"/>
  <c r="AJ580" i="3"/>
  <c r="AO580" i="3"/>
  <c r="AL580" i="3"/>
  <c r="AH580" i="3"/>
  <c r="AO587" i="3"/>
  <c r="AN587" i="3"/>
  <c r="AK587" i="3"/>
  <c r="AH587" i="3"/>
  <c r="AM587" i="3"/>
  <c r="AL587" i="3"/>
  <c r="AN748" i="3"/>
  <c r="AL748" i="3"/>
  <c r="AJ748" i="3"/>
  <c r="AI748" i="3"/>
  <c r="AH748" i="3"/>
  <c r="AO748" i="3"/>
  <c r="AM748" i="3"/>
  <c r="AK748" i="3"/>
  <c r="AL425" i="3"/>
  <c r="AJ425" i="3"/>
  <c r="AH425" i="3"/>
  <c r="AI434" i="3"/>
  <c r="AO434" i="3"/>
  <c r="AN434" i="3"/>
  <c r="AH469" i="3"/>
  <c r="AI482" i="3"/>
  <c r="AO482" i="3"/>
  <c r="AN482" i="3"/>
  <c r="AM482" i="3"/>
  <c r="AL482" i="3"/>
  <c r="AJ482" i="3"/>
  <c r="AM505" i="3"/>
  <c r="AI507" i="3"/>
  <c r="AK512" i="3"/>
  <c r="AH516" i="3"/>
  <c r="AH548" i="3"/>
  <c r="AO612" i="3"/>
  <c r="AL612" i="3"/>
  <c r="AM612" i="3"/>
  <c r="AK612" i="3"/>
  <c r="AJ612" i="3"/>
  <c r="AI612" i="3"/>
  <c r="AH612" i="3"/>
  <c r="AL630" i="3"/>
  <c r="AM630" i="3"/>
  <c r="AN630" i="3"/>
  <c r="AK630" i="3"/>
  <c r="AJ630" i="3"/>
  <c r="AJ638" i="3"/>
  <c r="AI638" i="3"/>
  <c r="AH638" i="3"/>
  <c r="AO638" i="3"/>
  <c r="AN638" i="3"/>
  <c r="AM638" i="3"/>
  <c r="AI640" i="3"/>
  <c r="AL640" i="3"/>
  <c r="AK640" i="3"/>
  <c r="AJ640" i="3"/>
  <c r="AO640" i="3"/>
  <c r="AH640" i="3"/>
  <c r="AN640" i="3"/>
  <c r="AM640" i="3"/>
  <c r="AK545" i="3"/>
  <c r="AJ545" i="3"/>
  <c r="AO545" i="3"/>
  <c r="AM545" i="3"/>
  <c r="AH545" i="3"/>
  <c r="AH564" i="3"/>
  <c r="AI571" i="3"/>
  <c r="AO576" i="3"/>
  <c r="AJ463" i="3"/>
  <c r="AM468" i="3"/>
  <c r="AK468" i="3"/>
  <c r="AJ468" i="3"/>
  <c r="AH468" i="3"/>
  <c r="AK477" i="3"/>
  <c r="AK499" i="3"/>
  <c r="AM499" i="3"/>
  <c r="AL499" i="3"/>
  <c r="AJ499" i="3"/>
  <c r="AI499" i="3"/>
  <c r="AH499" i="3"/>
  <c r="AL564" i="3"/>
  <c r="AL567" i="3"/>
  <c r="AM571" i="3"/>
  <c r="AK705" i="3"/>
  <c r="AI705" i="3"/>
  <c r="AO705" i="3"/>
  <c r="AN705" i="3"/>
  <c r="AM705" i="3"/>
  <c r="AJ705" i="3"/>
  <c r="AL705" i="3"/>
  <c r="AH407" i="3"/>
  <c r="AI412" i="3"/>
  <c r="AH420" i="3"/>
  <c r="AJ424" i="3"/>
  <c r="AH424" i="3"/>
  <c r="AK425" i="3"/>
  <c r="AN427" i="3"/>
  <c r="AM427" i="3"/>
  <c r="AL427" i="3"/>
  <c r="AI451" i="3"/>
  <c r="AO470" i="3"/>
  <c r="AN470" i="3"/>
  <c r="AM470" i="3"/>
  <c r="AH482" i="3"/>
  <c r="AO487" i="3"/>
  <c r="AJ489" i="3"/>
  <c r="AO511" i="3"/>
  <c r="AN511" i="3"/>
  <c r="AM511" i="3"/>
  <c r="AL511" i="3"/>
  <c r="AK511" i="3"/>
  <c r="AI511" i="3"/>
  <c r="AL520" i="3"/>
  <c r="AK529" i="3"/>
  <c r="AJ529" i="3"/>
  <c r="AO529" i="3"/>
  <c r="AL529" i="3"/>
  <c r="AI529" i="3"/>
  <c r="AN564" i="3"/>
  <c r="AK580" i="3"/>
  <c r="AJ584" i="3"/>
  <c r="AI584" i="3"/>
  <c r="AH584" i="3"/>
  <c r="AO584" i="3"/>
  <c r="AL584" i="3"/>
  <c r="AK584" i="3"/>
  <c r="AJ587" i="3"/>
  <c r="AI624" i="3"/>
  <c r="AO624" i="3"/>
  <c r="AN624" i="3"/>
  <c r="AM624" i="3"/>
  <c r="AJ624" i="3"/>
  <c r="AK624" i="3"/>
  <c r="AH624" i="3"/>
  <c r="AK728" i="3"/>
  <c r="AI728" i="3"/>
  <c r="AJ728" i="3"/>
  <c r="AH728" i="3"/>
  <c r="AJ407" i="3"/>
  <c r="AK412" i="3"/>
  <c r="AJ420" i="3"/>
  <c r="AN425" i="3"/>
  <c r="AO433" i="3"/>
  <c r="AM433" i="3"/>
  <c r="AL433" i="3"/>
  <c r="AK433" i="3"/>
  <c r="AK434" i="3"/>
  <c r="AO464" i="3"/>
  <c r="AN464" i="3"/>
  <c r="AM464" i="3"/>
  <c r="AK465" i="3"/>
  <c r="AM476" i="3"/>
  <c r="AO476" i="3"/>
  <c r="AN476" i="3"/>
  <c r="AL476" i="3"/>
  <c r="AJ476" i="3"/>
  <c r="AK486" i="3"/>
  <c r="AJ486" i="3"/>
  <c r="AH486" i="3"/>
  <c r="AM489" i="3"/>
  <c r="AI545" i="3"/>
  <c r="AK613" i="3"/>
  <c r="AJ613" i="3"/>
  <c r="AI613" i="3"/>
  <c r="AO613" i="3"/>
  <c r="AL613" i="3"/>
  <c r="AH613" i="3"/>
  <c r="AL638" i="3"/>
  <c r="AO647" i="3"/>
  <c r="AL647" i="3"/>
  <c r="AM647" i="3"/>
  <c r="AK647" i="3"/>
  <c r="AJ647" i="3"/>
  <c r="AH647" i="3"/>
  <c r="AN663" i="3"/>
  <c r="AK663" i="3"/>
  <c r="AH663" i="3"/>
  <c r="AO663" i="3"/>
  <c r="AM663" i="3"/>
  <c r="AJ663" i="3"/>
  <c r="AM808" i="3"/>
  <c r="AN808" i="3"/>
  <c r="AK808" i="3"/>
  <c r="AJ808" i="3"/>
  <c r="AL808" i="3"/>
  <c r="AI808" i="3"/>
  <c r="AH808" i="3"/>
  <c r="AO808" i="3"/>
  <c r="AO380" i="3"/>
  <c r="AN395" i="3"/>
  <c r="AM395" i="3"/>
  <c r="AK407" i="3"/>
  <c r="AL410" i="3"/>
  <c r="AK410" i="3"/>
  <c r="AL412" i="3"/>
  <c r="AO425" i="3"/>
  <c r="AL434" i="3"/>
  <c r="AN439" i="3"/>
  <c r="AM439" i="3"/>
  <c r="AL439" i="3"/>
  <c r="AL456" i="3"/>
  <c r="AJ456" i="3"/>
  <c r="AI456" i="3"/>
  <c r="AH456" i="3"/>
  <c r="AL468" i="3"/>
  <c r="AK483" i="3"/>
  <c r="AO488" i="3"/>
  <c r="AN488" i="3"/>
  <c r="AM488" i="3"/>
  <c r="AL488" i="3"/>
  <c r="AJ488" i="3"/>
  <c r="AN499" i="3"/>
  <c r="AL545" i="3"/>
  <c r="AM556" i="3"/>
  <c r="AJ556" i="3"/>
  <c r="AO556" i="3"/>
  <c r="AN556" i="3"/>
  <c r="AK556" i="3"/>
  <c r="AN631" i="3"/>
  <c r="AJ631" i="3"/>
  <c r="AI631" i="3"/>
  <c r="AH631" i="3"/>
  <c r="AO631" i="3"/>
  <c r="AK631" i="3"/>
  <c r="AH345" i="3"/>
  <c r="AH363" i="3"/>
  <c r="AH391" i="3"/>
  <c r="AL407" i="3"/>
  <c r="AM412" i="3"/>
  <c r="AI424" i="3"/>
  <c r="AH427" i="3"/>
  <c r="AM434" i="3"/>
  <c r="AM452" i="3"/>
  <c r="AO452" i="3"/>
  <c r="AN452" i="3"/>
  <c r="AN468" i="3"/>
  <c r="AH470" i="3"/>
  <c r="AO499" i="3"/>
  <c r="AH511" i="3"/>
  <c r="AJ520" i="3"/>
  <c r="AN545" i="3"/>
  <c r="AI594" i="3"/>
  <c r="AK594" i="3"/>
  <c r="AH607" i="3"/>
  <c r="AO607" i="3"/>
  <c r="AN607" i="3"/>
  <c r="AM607" i="3"/>
  <c r="AL607" i="3"/>
  <c r="AK607" i="3"/>
  <c r="AL624" i="3"/>
  <c r="AO635" i="3"/>
  <c r="AM635" i="3"/>
  <c r="AL635" i="3"/>
  <c r="AK635" i="3"/>
  <c r="AJ635" i="3"/>
  <c r="AN635" i="3"/>
  <c r="AI635" i="3"/>
  <c r="AH635" i="3"/>
  <c r="AH653" i="3"/>
  <c r="AO653" i="3"/>
  <c r="AL653" i="3"/>
  <c r="AI653" i="3"/>
  <c r="AN653" i="3"/>
  <c r="AJ653" i="3"/>
  <c r="AJ345" i="3"/>
  <c r="AI363" i="3"/>
  <c r="AJ385" i="3"/>
  <c r="AI385" i="3"/>
  <c r="AO404" i="3"/>
  <c r="AN412" i="3"/>
  <c r="AK424" i="3"/>
  <c r="AI427" i="3"/>
  <c r="AO468" i="3"/>
  <c r="AI470" i="3"/>
  <c r="AO495" i="3"/>
  <c r="AM495" i="3"/>
  <c r="AJ495" i="3"/>
  <c r="AJ511" i="3"/>
  <c r="AK520" i="3"/>
  <c r="AM529" i="3"/>
  <c r="AN584" i="3"/>
  <c r="AM604" i="3"/>
  <c r="AJ604" i="3"/>
  <c r="AO604" i="3"/>
  <c r="AK604" i="3"/>
  <c r="AI604" i="3"/>
  <c r="AK681" i="3"/>
  <c r="AI681" i="3"/>
  <c r="AM681" i="3"/>
  <c r="AO681" i="3"/>
  <c r="AM690" i="3"/>
  <c r="AO690" i="3"/>
  <c r="AN690" i="3"/>
  <c r="AL690" i="3"/>
  <c r="AI690" i="3"/>
  <c r="AJ690" i="3"/>
  <c r="AJ733" i="3"/>
  <c r="AK733" i="3"/>
  <c r="AI733" i="3"/>
  <c r="AK746" i="3"/>
  <c r="AI746" i="3"/>
  <c r="AN746" i="3"/>
  <c r="AL746" i="3"/>
  <c r="AO746" i="3"/>
  <c r="AJ746" i="3"/>
  <c r="AH746" i="3"/>
  <c r="AO850" i="3"/>
  <c r="AM850" i="3"/>
  <c r="AL850" i="3"/>
  <c r="AJ850" i="3"/>
  <c r="AN850" i="3"/>
  <c r="AI850" i="3"/>
  <c r="AK850" i="3"/>
  <c r="AH850" i="3"/>
  <c r="AK615" i="3"/>
  <c r="AO700" i="3"/>
  <c r="AN700" i="3"/>
  <c r="AM700" i="3"/>
  <c r="AK700" i="3"/>
  <c r="AL700" i="3"/>
  <c r="AH700" i="3"/>
  <c r="AO923" i="3"/>
  <c r="AL923" i="3"/>
  <c r="AK923" i="3"/>
  <c r="AJ923" i="3"/>
  <c r="AI923" i="3"/>
  <c r="AH923" i="3"/>
  <c r="AN923" i="3"/>
  <c r="AM923" i="3"/>
  <c r="AO515" i="3"/>
  <c r="AN515" i="3"/>
  <c r="AK515" i="3"/>
  <c r="AI536" i="3"/>
  <c r="AH536" i="3"/>
  <c r="AH583" i="3"/>
  <c r="AJ600" i="3"/>
  <c r="AI600" i="3"/>
  <c r="AH600" i="3"/>
  <c r="AO620" i="3"/>
  <c r="AK620" i="3"/>
  <c r="AM620" i="3"/>
  <c r="AI620" i="3"/>
  <c r="AM650" i="3"/>
  <c r="AK650" i="3"/>
  <c r="AN650" i="3"/>
  <c r="AL650" i="3"/>
  <c r="AJ650" i="3"/>
  <c r="AO650" i="3"/>
  <c r="AL669" i="3"/>
  <c r="AK669" i="3"/>
  <c r="AJ669" i="3"/>
  <c r="AM669" i="3"/>
  <c r="AO671" i="3"/>
  <c r="AL671" i="3"/>
  <c r="AN671" i="3"/>
  <c r="AM671" i="3"/>
  <c r="AI671" i="3"/>
  <c r="AO683" i="3"/>
  <c r="AM683" i="3"/>
  <c r="AJ683" i="3"/>
  <c r="AH683" i="3"/>
  <c r="AN683" i="3"/>
  <c r="AK685" i="3"/>
  <c r="AM698" i="3"/>
  <c r="AK698" i="3"/>
  <c r="AJ698" i="3"/>
  <c r="AH698" i="3"/>
  <c r="AL698" i="3"/>
  <c r="AO523" i="3"/>
  <c r="AN523" i="3"/>
  <c r="AK523" i="3"/>
  <c r="AI544" i="3"/>
  <c r="AH544" i="3"/>
  <c r="AO563" i="3"/>
  <c r="AN563" i="3"/>
  <c r="AK563" i="3"/>
  <c r="AN570" i="3"/>
  <c r="AM570" i="3"/>
  <c r="AL570" i="3"/>
  <c r="AI570" i="3"/>
  <c r="AM596" i="3"/>
  <c r="AJ596" i="3"/>
  <c r="AM610" i="3"/>
  <c r="AK610" i="3"/>
  <c r="AO610" i="3"/>
  <c r="AJ610" i="3"/>
  <c r="AN665" i="3"/>
  <c r="AM665" i="3"/>
  <c r="AL665" i="3"/>
  <c r="AO665" i="3"/>
  <c r="AJ665" i="3"/>
  <c r="AH665" i="3"/>
  <c r="AO715" i="3"/>
  <c r="AM715" i="3"/>
  <c r="AN715" i="3"/>
  <c r="AK715" i="3"/>
  <c r="AI715" i="3"/>
  <c r="AJ715" i="3"/>
  <c r="AK657" i="3"/>
  <c r="AI657" i="3"/>
  <c r="AN657" i="3"/>
  <c r="AO719" i="3"/>
  <c r="AM719" i="3"/>
  <c r="AL719" i="3"/>
  <c r="AK719" i="3"/>
  <c r="AJ719" i="3"/>
  <c r="AI719" i="3"/>
  <c r="AM792" i="3"/>
  <c r="AO792" i="3"/>
  <c r="AL792" i="3"/>
  <c r="AK792" i="3"/>
  <c r="AI822" i="3"/>
  <c r="AO822" i="3"/>
  <c r="AL822" i="3"/>
  <c r="AN822" i="3"/>
  <c r="AK822" i="3"/>
  <c r="AH822" i="3"/>
  <c r="AM822" i="3"/>
  <c r="AJ822" i="3"/>
  <c r="AJ723" i="3"/>
  <c r="AK723" i="3"/>
  <c r="AM776" i="3"/>
  <c r="AI776" i="3"/>
  <c r="AN776" i="3"/>
  <c r="AK776" i="3"/>
  <c r="AJ776" i="3"/>
  <c r="AH776" i="3"/>
  <c r="AH506" i="3"/>
  <c r="AH515" i="3"/>
  <c r="AH519" i="3"/>
  <c r="AO547" i="3"/>
  <c r="AN547" i="3"/>
  <c r="AK547" i="3"/>
  <c r="AO555" i="3"/>
  <c r="AN555" i="3"/>
  <c r="AM572" i="3"/>
  <c r="AJ572" i="3"/>
  <c r="AO579" i="3"/>
  <c r="AN579" i="3"/>
  <c r="AK579" i="3"/>
  <c r="AH579" i="3"/>
  <c r="AI583" i="3"/>
  <c r="AI586" i="3"/>
  <c r="AH599" i="3"/>
  <c r="AK600" i="3"/>
  <c r="AJ615" i="3"/>
  <c r="AM642" i="3"/>
  <c r="AK642" i="3"/>
  <c r="AO642" i="3"/>
  <c r="AN642" i="3"/>
  <c r="AL642" i="3"/>
  <c r="AH642" i="3"/>
  <c r="AL681" i="3"/>
  <c r="AJ700" i="3"/>
  <c r="AK815" i="3"/>
  <c r="AN815" i="3"/>
  <c r="AM815" i="3"/>
  <c r="AI815" i="3"/>
  <c r="AO815" i="3"/>
  <c r="AL815" i="3"/>
  <c r="AJ815" i="3"/>
  <c r="AH815" i="3"/>
  <c r="AO836" i="3"/>
  <c r="AN836" i="3"/>
  <c r="AK836" i="3"/>
  <c r="AM836" i="3"/>
  <c r="AL836" i="3"/>
  <c r="AJ836" i="3"/>
  <c r="AI836" i="3"/>
  <c r="AH836" i="3"/>
  <c r="AI614" i="3"/>
  <c r="AJ622" i="3"/>
  <c r="AI622" i="3"/>
  <c r="AH622" i="3"/>
  <c r="AO622" i="3"/>
  <c r="AK625" i="3"/>
  <c r="AJ625" i="3"/>
  <c r="AN681" i="3"/>
  <c r="AO753" i="3"/>
  <c r="AM753" i="3"/>
  <c r="AK753" i="3"/>
  <c r="AN753" i="3"/>
  <c r="AL753" i="3"/>
  <c r="AJ753" i="3"/>
  <c r="AI753" i="3"/>
  <c r="AH753" i="3"/>
  <c r="AI794" i="3"/>
  <c r="AM794" i="3"/>
  <c r="AK794" i="3"/>
  <c r="AJ794" i="3"/>
  <c r="AH794" i="3"/>
  <c r="AN794" i="3"/>
  <c r="AL794" i="3"/>
  <c r="AI475" i="3"/>
  <c r="AI481" i="3"/>
  <c r="AI493" i="3"/>
  <c r="AK506" i="3"/>
  <c r="AJ515" i="3"/>
  <c r="AJ519" i="3"/>
  <c r="AM522" i="3"/>
  <c r="AL522" i="3"/>
  <c r="AI522" i="3"/>
  <c r="AI523" i="3"/>
  <c r="AI527" i="3"/>
  <c r="AL536" i="3"/>
  <c r="AK544" i="3"/>
  <c r="AK552" i="3"/>
  <c r="AI559" i="3"/>
  <c r="AM562" i="3"/>
  <c r="AL562" i="3"/>
  <c r="AI562" i="3"/>
  <c r="AJ563" i="3"/>
  <c r="AJ570" i="3"/>
  <c r="AK583" i="3"/>
  <c r="AJ592" i="3"/>
  <c r="AI592" i="3"/>
  <c r="AH592" i="3"/>
  <c r="AM600" i="3"/>
  <c r="AL620" i="3"/>
  <c r="AI632" i="3"/>
  <c r="AN632" i="3"/>
  <c r="AM632" i="3"/>
  <c r="AL632" i="3"/>
  <c r="AH632" i="3"/>
  <c r="AK654" i="3"/>
  <c r="AJ654" i="3"/>
  <c r="AI654" i="3"/>
  <c r="AO654" i="3"/>
  <c r="AH657" i="3"/>
  <c r="AN669" i="3"/>
  <c r="AK671" i="3"/>
  <c r="AO695" i="3"/>
  <c r="AN695" i="3"/>
  <c r="AM695" i="3"/>
  <c r="AL695" i="3"/>
  <c r="AJ695" i="3"/>
  <c r="AH695" i="3"/>
  <c r="AO698" i="3"/>
  <c r="AI704" i="3"/>
  <c r="AN704" i="3"/>
  <c r="AL704" i="3"/>
  <c r="AK704" i="3"/>
  <c r="AJ704" i="3"/>
  <c r="AH704" i="3"/>
  <c r="AM704" i="3"/>
  <c r="AO708" i="3"/>
  <c r="AL708" i="3"/>
  <c r="AJ708" i="3"/>
  <c r="AI708" i="3"/>
  <c r="AH708" i="3"/>
  <c r="AM708" i="3"/>
  <c r="AL715" i="3"/>
  <c r="AN719" i="3"/>
  <c r="AH792" i="3"/>
  <c r="AN797" i="3"/>
  <c r="AM797" i="3"/>
  <c r="AJ797" i="3"/>
  <c r="AH797" i="3"/>
  <c r="AO797" i="3"/>
  <c r="AK797" i="3"/>
  <c r="AI797" i="3"/>
  <c r="AJ475" i="3"/>
  <c r="AJ481" i="3"/>
  <c r="AJ493" i="3"/>
  <c r="AL506" i="3"/>
  <c r="AL515" i="3"/>
  <c r="AK519" i="3"/>
  <c r="AJ523" i="3"/>
  <c r="AJ527" i="3"/>
  <c r="AM530" i="3"/>
  <c r="AL530" i="3"/>
  <c r="AI530" i="3"/>
  <c r="AM536" i="3"/>
  <c r="AL544" i="3"/>
  <c r="AL552" i="3"/>
  <c r="AJ559" i="3"/>
  <c r="AL563" i="3"/>
  <c r="AK570" i="3"/>
  <c r="AL583" i="3"/>
  <c r="AM588" i="3"/>
  <c r="AJ588" i="3"/>
  <c r="AK596" i="3"/>
  <c r="AN600" i="3"/>
  <c r="AL610" i="3"/>
  <c r="AN620" i="3"/>
  <c r="AJ657" i="3"/>
  <c r="AM666" i="3"/>
  <c r="AK666" i="3"/>
  <c r="AL666" i="3"/>
  <c r="AO666" i="3"/>
  <c r="AI666" i="3"/>
  <c r="AO669" i="3"/>
  <c r="AN686" i="3"/>
  <c r="AH686" i="3"/>
  <c r="AM686" i="3"/>
  <c r="AL776" i="3"/>
  <c r="AI792" i="3"/>
  <c r="AN871" i="3"/>
  <c r="AM871" i="3"/>
  <c r="AL871" i="3"/>
  <c r="AK871" i="3"/>
  <c r="AJ871" i="3"/>
  <c r="AI871" i="3"/>
  <c r="AH871" i="3"/>
  <c r="AH474" i="3"/>
  <c r="AL475" i="3"/>
  <c r="AK481" i="3"/>
  <c r="AH492" i="3"/>
  <c r="AK493" i="3"/>
  <c r="AH504" i="3"/>
  <c r="AM506" i="3"/>
  <c r="AM515" i="3"/>
  <c r="AL519" i="3"/>
  <c r="AL523" i="3"/>
  <c r="AK527" i="3"/>
  <c r="AN536" i="3"/>
  <c r="AM544" i="3"/>
  <c r="AH547" i="3"/>
  <c r="AH551" i="3"/>
  <c r="AM552" i="3"/>
  <c r="AI555" i="3"/>
  <c r="AO557" i="3"/>
  <c r="AL557" i="3"/>
  <c r="AK559" i="3"/>
  <c r="AM563" i="3"/>
  <c r="AO570" i="3"/>
  <c r="AH572" i="3"/>
  <c r="AI579" i="3"/>
  <c r="AM583" i="3"/>
  <c r="AO595" i="3"/>
  <c r="AN595" i="3"/>
  <c r="AK595" i="3"/>
  <c r="AH595" i="3"/>
  <c r="AL596" i="3"/>
  <c r="AI599" i="3"/>
  <c r="AO600" i="3"/>
  <c r="AN602" i="3"/>
  <c r="AM602" i="3"/>
  <c r="AL602" i="3"/>
  <c r="AI602" i="3"/>
  <c r="AN610" i="3"/>
  <c r="AI616" i="3"/>
  <c r="AN616" i="3"/>
  <c r="AK616" i="3"/>
  <c r="AO619" i="3"/>
  <c r="AM619" i="3"/>
  <c r="AN619" i="3"/>
  <c r="AL619" i="3"/>
  <c r="AK619" i="3"/>
  <c r="AH619" i="3"/>
  <c r="AO627" i="3"/>
  <c r="AM627" i="3"/>
  <c r="AK627" i="3"/>
  <c r="AJ627" i="3"/>
  <c r="AI627" i="3"/>
  <c r="AI642" i="3"/>
  <c r="AL657" i="3"/>
  <c r="AO670" i="3"/>
  <c r="AN670" i="3"/>
  <c r="AM670" i="3"/>
  <c r="AJ670" i="3"/>
  <c r="AH670" i="3"/>
  <c r="AK689" i="3"/>
  <c r="AI689" i="3"/>
  <c r="AJ689" i="3"/>
  <c r="AH689" i="3"/>
  <c r="AO699" i="3"/>
  <c r="AM699" i="3"/>
  <c r="AL699" i="3"/>
  <c r="AK699" i="3"/>
  <c r="AJ699" i="3"/>
  <c r="AI699" i="3"/>
  <c r="AO737" i="3"/>
  <c r="AN737" i="3"/>
  <c r="AM737" i="3"/>
  <c r="AK737" i="3"/>
  <c r="AI737" i="3"/>
  <c r="AJ737" i="3"/>
  <c r="AH737" i="3"/>
  <c r="AO776" i="3"/>
  <c r="AJ792" i="3"/>
  <c r="AJ474" i="3"/>
  <c r="AM475" i="3"/>
  <c r="AL481" i="3"/>
  <c r="AI492" i="3"/>
  <c r="AL493" i="3"/>
  <c r="AI504" i="3"/>
  <c r="AN506" i="3"/>
  <c r="AK513" i="3"/>
  <c r="AJ513" i="3"/>
  <c r="AM519" i="3"/>
  <c r="AM523" i="3"/>
  <c r="AL527" i="3"/>
  <c r="AO536" i="3"/>
  <c r="AN544" i="3"/>
  <c r="AM546" i="3"/>
  <c r="AL546" i="3"/>
  <c r="AI546" i="3"/>
  <c r="AI547" i="3"/>
  <c r="AI551" i="3"/>
  <c r="AN552" i="3"/>
  <c r="AM554" i="3"/>
  <c r="AL554" i="3"/>
  <c r="AI554" i="3"/>
  <c r="AJ555" i="3"/>
  <c r="AL559" i="3"/>
  <c r="AI572" i="3"/>
  <c r="AJ579" i="3"/>
  <c r="AN583" i="3"/>
  <c r="AJ586" i="3"/>
  <c r="AJ599" i="3"/>
  <c r="AO611" i="3"/>
  <c r="AM611" i="3"/>
  <c r="AK611" i="3"/>
  <c r="AH611" i="3"/>
  <c r="AH614" i="3"/>
  <c r="AK622" i="3"/>
  <c r="AI629" i="3"/>
  <c r="AO629" i="3"/>
  <c r="AL629" i="3"/>
  <c r="AH629" i="3"/>
  <c r="AO636" i="3"/>
  <c r="AN636" i="3"/>
  <c r="AL636" i="3"/>
  <c r="AI636" i="3"/>
  <c r="AJ642" i="3"/>
  <c r="AO646" i="3"/>
  <c r="AM646" i="3"/>
  <c r="AJ646" i="3"/>
  <c r="AK649" i="3"/>
  <c r="AI649" i="3"/>
  <c r="AH649" i="3"/>
  <c r="AO649" i="3"/>
  <c r="AN649" i="3"/>
  <c r="AJ649" i="3"/>
  <c r="AM657" i="3"/>
  <c r="AM661" i="3"/>
  <c r="AL661" i="3"/>
  <c r="AK661" i="3"/>
  <c r="AH661" i="3"/>
  <c r="AO668" i="3"/>
  <c r="AH668" i="3"/>
  <c r="AN668" i="3"/>
  <c r="AM668" i="3"/>
  <c r="AL668" i="3"/>
  <c r="AI668" i="3"/>
  <c r="AI720" i="3"/>
  <c r="AO720" i="3"/>
  <c r="AN720" i="3"/>
  <c r="AM720" i="3"/>
  <c r="AK720" i="3"/>
  <c r="AH720" i="3"/>
  <c r="AJ720" i="3"/>
  <c r="AO724" i="3"/>
  <c r="AN724" i="3"/>
  <c r="AM724" i="3"/>
  <c r="AL724" i="3"/>
  <c r="AK724" i="3"/>
  <c r="AI724" i="3"/>
  <c r="AJ724" i="3"/>
  <c r="AO779" i="3"/>
  <c r="AN779" i="3"/>
  <c r="AL779" i="3"/>
  <c r="AJ779" i="3"/>
  <c r="AM779" i="3"/>
  <c r="AI779" i="3"/>
  <c r="AH779" i="3"/>
  <c r="AN792" i="3"/>
  <c r="AO794" i="3"/>
  <c r="AH467" i="3"/>
  <c r="AK474" i="3"/>
  <c r="AN475" i="3"/>
  <c r="AH485" i="3"/>
  <c r="AJ492" i="3"/>
  <c r="AM493" i="3"/>
  <c r="AO506" i="3"/>
  <c r="AH517" i="3"/>
  <c r="AK521" i="3"/>
  <c r="AJ521" i="3"/>
  <c r="AH522" i="3"/>
  <c r="AO544" i="3"/>
  <c r="AJ547" i="3"/>
  <c r="AJ551" i="3"/>
  <c r="AO552" i="3"/>
  <c r="AL555" i="3"/>
  <c r="AM559" i="3"/>
  <c r="AH562" i="3"/>
  <c r="AJ568" i="3"/>
  <c r="AI568" i="3"/>
  <c r="AH568" i="3"/>
  <c r="AK572" i="3"/>
  <c r="AN578" i="3"/>
  <c r="AM578" i="3"/>
  <c r="AL578" i="3"/>
  <c r="AI578" i="3"/>
  <c r="AL579" i="3"/>
  <c r="AO583" i="3"/>
  <c r="AK586" i="3"/>
  <c r="AH591" i="3"/>
  <c r="AK592" i="3"/>
  <c r="AO596" i="3"/>
  <c r="AK599" i="3"/>
  <c r="AJ608" i="3"/>
  <c r="AI608" i="3"/>
  <c r="AH608" i="3"/>
  <c r="AJ614" i="3"/>
  <c r="AL622" i="3"/>
  <c r="AJ632" i="3"/>
  <c r="AH654" i="3"/>
  <c r="AI656" i="3"/>
  <c r="AO656" i="3"/>
  <c r="AN656" i="3"/>
  <c r="AM656" i="3"/>
  <c r="AJ656" i="3"/>
  <c r="AO657" i="3"/>
  <c r="AI695" i="3"/>
  <c r="AO704" i="3"/>
  <c r="AK708" i="3"/>
  <c r="AO745" i="3"/>
  <c r="AH745" i="3"/>
  <c r="AN745" i="3"/>
  <c r="AM745" i="3"/>
  <c r="AL745" i="3"/>
  <c r="AK745" i="3"/>
  <c r="AI745" i="3"/>
  <c r="AJ745" i="3"/>
  <c r="AL797" i="3"/>
  <c r="AN848" i="3"/>
  <c r="AM848" i="3"/>
  <c r="AK848" i="3"/>
  <c r="AI848" i="3"/>
  <c r="AH848" i="3"/>
  <c r="AL848" i="3"/>
  <c r="AO659" i="3"/>
  <c r="AM659" i="3"/>
  <c r="AJ659" i="3"/>
  <c r="AI659" i="3"/>
  <c r="AH659" i="3"/>
  <c r="AI680" i="3"/>
  <c r="AN680" i="3"/>
  <c r="AM680" i="3"/>
  <c r="AL680" i="3"/>
  <c r="AH680" i="3"/>
  <c r="AO710" i="3"/>
  <c r="AN710" i="3"/>
  <c r="AL710" i="3"/>
  <c r="AK713" i="3"/>
  <c r="AI713" i="3"/>
  <c r="AL713" i="3"/>
  <c r="AH713" i="3"/>
  <c r="AI742" i="3"/>
  <c r="AN742" i="3"/>
  <c r="AM742" i="3"/>
  <c r="AK742" i="3"/>
  <c r="AO834" i="3"/>
  <c r="AM834" i="3"/>
  <c r="AH834" i="3"/>
  <c r="AN834" i="3"/>
  <c r="AL834" i="3"/>
  <c r="AK834" i="3"/>
  <c r="AI834" i="3"/>
  <c r="AJ770" i="3"/>
  <c r="AH770" i="3"/>
  <c r="AN770" i="3"/>
  <c r="AM770" i="3"/>
  <c r="AL770" i="3"/>
  <c r="AK770" i="3"/>
  <c r="AI782" i="3"/>
  <c r="AH782" i="3"/>
  <c r="AL782" i="3"/>
  <c r="AJ782" i="3"/>
  <c r="AM784" i="3"/>
  <c r="AO784" i="3"/>
  <c r="AL784" i="3"/>
  <c r="AN784" i="3"/>
  <c r="AJ784" i="3"/>
  <c r="AO787" i="3"/>
  <c r="AM787" i="3"/>
  <c r="AL787" i="3"/>
  <c r="AK787" i="3"/>
  <c r="AJ787" i="3"/>
  <c r="AH787" i="3"/>
  <c r="AM832" i="3"/>
  <c r="AK832" i="3"/>
  <c r="AI832" i="3"/>
  <c r="AO832" i="3"/>
  <c r="AN832" i="3"/>
  <c r="AH832" i="3"/>
  <c r="AL832" i="3"/>
  <c r="AL565" i="3"/>
  <c r="AL573" i="3"/>
  <c r="AL589" i="3"/>
  <c r="AL597" i="3"/>
  <c r="AL605" i="3"/>
  <c r="AI639" i="3"/>
  <c r="AH639" i="3"/>
  <c r="AN645" i="3"/>
  <c r="AM645" i="3"/>
  <c r="AL645" i="3"/>
  <c r="AM655" i="3"/>
  <c r="AL655" i="3"/>
  <c r="AK655" i="3"/>
  <c r="AM674" i="3"/>
  <c r="AK674" i="3"/>
  <c r="AN674" i="3"/>
  <c r="AJ674" i="3"/>
  <c r="AI674" i="3"/>
  <c r="AH674" i="3"/>
  <c r="AJ717" i="3"/>
  <c r="AK727" i="3"/>
  <c r="AH727" i="3"/>
  <c r="AL727" i="3"/>
  <c r="AI727" i="3"/>
  <c r="AJ729" i="3"/>
  <c r="AM744" i="3"/>
  <c r="AL744" i="3"/>
  <c r="AJ744" i="3"/>
  <c r="AI744" i="3"/>
  <c r="AH744" i="3"/>
  <c r="AI774" i="3"/>
  <c r="AN774" i="3"/>
  <c r="AM774" i="3"/>
  <c r="AL774" i="3"/>
  <c r="AK774" i="3"/>
  <c r="AH774" i="3"/>
  <c r="AK791" i="3"/>
  <c r="AO791" i="3"/>
  <c r="AN791" i="3"/>
  <c r="AM791" i="3"/>
  <c r="AL791" i="3"/>
  <c r="AJ791" i="3"/>
  <c r="AH791" i="3"/>
  <c r="AJ816" i="3"/>
  <c r="AJ848" i="3"/>
  <c r="AI758" i="3"/>
  <c r="AJ758" i="3"/>
  <c r="AO758" i="3"/>
  <c r="AN758" i="3"/>
  <c r="AM758" i="3"/>
  <c r="AL758" i="3"/>
  <c r="AH758" i="3"/>
  <c r="AO762" i="3"/>
  <c r="AN762" i="3"/>
  <c r="AM762" i="3"/>
  <c r="AL762" i="3"/>
  <c r="AJ762" i="3"/>
  <c r="AH762" i="3"/>
  <c r="AL795" i="3"/>
  <c r="AJ795" i="3"/>
  <c r="AI795" i="3"/>
  <c r="AO795" i="3"/>
  <c r="AN795" i="3"/>
  <c r="AK795" i="3"/>
  <c r="AO848" i="3"/>
  <c r="AO857" i="3"/>
  <c r="AM857" i="3"/>
  <c r="AK857" i="3"/>
  <c r="AJ857" i="3"/>
  <c r="AN857" i="3"/>
  <c r="AL857" i="3"/>
  <c r="AH857" i="3"/>
  <c r="AK618" i="3"/>
  <c r="AJ628" i="3"/>
  <c r="AO651" i="3"/>
  <c r="AM651" i="3"/>
  <c r="AN659" i="3"/>
  <c r="AM679" i="3"/>
  <c r="AK679" i="3"/>
  <c r="AJ679" i="3"/>
  <c r="AO680" i="3"/>
  <c r="AO684" i="3"/>
  <c r="AN684" i="3"/>
  <c r="AL684" i="3"/>
  <c r="AK684" i="3"/>
  <c r="AJ684" i="3"/>
  <c r="AJ710" i="3"/>
  <c r="AN713" i="3"/>
  <c r="AL742" i="3"/>
  <c r="AO770" i="3"/>
  <c r="AM782" i="3"/>
  <c r="AI784" i="3"/>
  <c r="AN787" i="3"/>
  <c r="AO805" i="3"/>
  <c r="AN805" i="3"/>
  <c r="AM805" i="3"/>
  <c r="AL805" i="3"/>
  <c r="AK805" i="3"/>
  <c r="AI805" i="3"/>
  <c r="AO1009" i="3"/>
  <c r="AN1009" i="3"/>
  <c r="AL1009" i="3"/>
  <c r="AK1009" i="3"/>
  <c r="AH1009" i="3"/>
  <c r="AM1009" i="3"/>
  <c r="AJ1009" i="3"/>
  <c r="AI1009" i="3"/>
  <c r="AM771" i="3"/>
  <c r="AK771" i="3"/>
  <c r="AN771" i="3"/>
  <c r="AJ771" i="3"/>
  <c r="AN782" i="3"/>
  <c r="AH812" i="3"/>
  <c r="AO812" i="3"/>
  <c r="AN812" i="3"/>
  <c r="AM812" i="3"/>
  <c r="AL812" i="3"/>
  <c r="AK812" i="3"/>
  <c r="AI812" i="3"/>
  <c r="AN863" i="3"/>
  <c r="AM863" i="3"/>
  <c r="AK863" i="3"/>
  <c r="AI863" i="3"/>
  <c r="AH863" i="3"/>
  <c r="AO863" i="3"/>
  <c r="AL863" i="3"/>
  <c r="AL914" i="3"/>
  <c r="AK914" i="3"/>
  <c r="AJ914" i="3"/>
  <c r="AJ553" i="3"/>
  <c r="AJ561" i="3"/>
  <c r="AJ569" i="3"/>
  <c r="AJ577" i="3"/>
  <c r="AK609" i="3"/>
  <c r="AM626" i="3"/>
  <c r="AK626" i="3"/>
  <c r="AO626" i="3"/>
  <c r="AM628" i="3"/>
  <c r="AL639" i="3"/>
  <c r="AK641" i="3"/>
  <c r="AI641" i="3"/>
  <c r="AO641" i="3"/>
  <c r="AN641" i="3"/>
  <c r="AJ645" i="3"/>
  <c r="AJ655" i="3"/>
  <c r="AO660" i="3"/>
  <c r="AN660" i="3"/>
  <c r="AM660" i="3"/>
  <c r="AL660" i="3"/>
  <c r="AN709" i="3"/>
  <c r="AM709" i="3"/>
  <c r="AL709" i="3"/>
  <c r="AK709" i="3"/>
  <c r="AI709" i="3"/>
  <c r="AN711" i="3"/>
  <c r="AL717" i="3"/>
  <c r="AN727" i="3"/>
  <c r="AK729" i="3"/>
  <c r="AI734" i="3"/>
  <c r="AK734" i="3"/>
  <c r="AH734" i="3"/>
  <c r="AO734" i="3"/>
  <c r="AM734" i="3"/>
  <c r="AO744" i="3"/>
  <c r="AK762" i="3"/>
  <c r="AO778" i="3"/>
  <c r="AM778" i="3"/>
  <c r="AL778" i="3"/>
  <c r="AK778" i="3"/>
  <c r="AJ778" i="3"/>
  <c r="AI778" i="3"/>
  <c r="AI788" i="3"/>
  <c r="AO788" i="3"/>
  <c r="AN788" i="3"/>
  <c r="AM788" i="3"/>
  <c r="AK788" i="3"/>
  <c r="AH788" i="3"/>
  <c r="AM795" i="3"/>
  <c r="AO809" i="3"/>
  <c r="AN809" i="3"/>
  <c r="AM809" i="3"/>
  <c r="AJ809" i="3"/>
  <c r="AL809" i="3"/>
  <c r="AI809" i="3"/>
  <c r="AJ880" i="3"/>
  <c r="AI880" i="3"/>
  <c r="AO880" i="3"/>
  <c r="AM880" i="3"/>
  <c r="AL880" i="3"/>
  <c r="AK880" i="3"/>
  <c r="AH880" i="3"/>
  <c r="AN880" i="3"/>
  <c r="AK617" i="3"/>
  <c r="AI617" i="3"/>
  <c r="AN628" i="3"/>
  <c r="AK634" i="3"/>
  <c r="AO644" i="3"/>
  <c r="AJ644" i="3"/>
  <c r="AI644" i="3"/>
  <c r="AH644" i="3"/>
  <c r="AJ664" i="3"/>
  <c r="AH664" i="3"/>
  <c r="AO694" i="3"/>
  <c r="AM694" i="3"/>
  <c r="AL694" i="3"/>
  <c r="AK694" i="3"/>
  <c r="AJ694" i="3"/>
  <c r="AH694" i="3"/>
  <c r="AI696" i="3"/>
  <c r="AO696" i="3"/>
  <c r="AM696" i="3"/>
  <c r="AM714" i="3"/>
  <c r="AK714" i="3"/>
  <c r="AI714" i="3"/>
  <c r="AO727" i="3"/>
  <c r="AM741" i="3"/>
  <c r="AK741" i="3"/>
  <c r="AO741" i="3"/>
  <c r="AN741" i="3"/>
  <c r="AL741" i="3"/>
  <c r="AJ741" i="3"/>
  <c r="AH741" i="3"/>
  <c r="AK759" i="3"/>
  <c r="AM759" i="3"/>
  <c r="AJ759" i="3"/>
  <c r="AO759" i="3"/>
  <c r="AL759" i="3"/>
  <c r="AI766" i="3"/>
  <c r="AO766" i="3"/>
  <c r="AM766" i="3"/>
  <c r="AN766" i="3"/>
  <c r="AL766" i="3"/>
  <c r="AK766" i="3"/>
  <c r="AH766" i="3"/>
  <c r="AN796" i="3"/>
  <c r="AL796" i="3"/>
  <c r="AK796" i="3"/>
  <c r="AO796" i="3"/>
  <c r="AM796" i="3"/>
  <c r="AH805" i="3"/>
  <c r="AM826" i="3"/>
  <c r="AK826" i="3"/>
  <c r="AJ826" i="3"/>
  <c r="AN826" i="3"/>
  <c r="AI826" i="3"/>
  <c r="AH826" i="3"/>
  <c r="AN910" i="3"/>
  <c r="AM910" i="3"/>
  <c r="AL910" i="3"/>
  <c r="AK910" i="3"/>
  <c r="AO910" i="3"/>
  <c r="AJ910" i="3"/>
  <c r="AI910" i="3"/>
  <c r="AI672" i="3"/>
  <c r="AO672" i="3"/>
  <c r="AO675" i="3"/>
  <c r="AM675" i="3"/>
  <c r="AN675" i="3"/>
  <c r="AL675" i="3"/>
  <c r="AN754" i="3"/>
  <c r="AO754" i="3"/>
  <c r="AL754" i="3"/>
  <c r="AJ754" i="3"/>
  <c r="AH771" i="3"/>
  <c r="AK783" i="3"/>
  <c r="AL783" i="3"/>
  <c r="AI783" i="3"/>
  <c r="AO783" i="3"/>
  <c r="AN783" i="3"/>
  <c r="AM783" i="3"/>
  <c r="AJ783" i="3"/>
  <c r="AI798" i="3"/>
  <c r="AN798" i="3"/>
  <c r="AM798" i="3"/>
  <c r="AL798" i="3"/>
  <c r="AK798" i="3"/>
  <c r="AH798" i="3"/>
  <c r="AJ805" i="3"/>
  <c r="AJ812" i="3"/>
  <c r="AK819" i="3"/>
  <c r="AI819" i="3"/>
  <c r="AH819" i="3"/>
  <c r="AO819" i="3"/>
  <c r="AM819" i="3"/>
  <c r="AJ819" i="3"/>
  <c r="AM940" i="3"/>
  <c r="AL940" i="3"/>
  <c r="AK940" i="3"/>
  <c r="AJ940" i="3"/>
  <c r="AI940" i="3"/>
  <c r="AH940" i="3"/>
  <c r="AO940" i="3"/>
  <c r="AN940" i="3"/>
  <c r="AM1045" i="3"/>
  <c r="AL1045" i="3"/>
  <c r="AK1045" i="3"/>
  <c r="AO1045" i="3"/>
  <c r="AN1045" i="3"/>
  <c r="AH1045" i="3"/>
  <c r="AJ1045" i="3"/>
  <c r="AI1045" i="3"/>
  <c r="AO828" i="3"/>
  <c r="AL828" i="3"/>
  <c r="AN835" i="3"/>
  <c r="AM840" i="3"/>
  <c r="AI840" i="3"/>
  <c r="AN840" i="3"/>
  <c r="AL840" i="3"/>
  <c r="AM866" i="3"/>
  <c r="AO866" i="3"/>
  <c r="AO875" i="3"/>
  <c r="AM875" i="3"/>
  <c r="AL875" i="3"/>
  <c r="AK875" i="3"/>
  <c r="AJ875" i="3"/>
  <c r="AI875" i="3"/>
  <c r="AL889" i="3"/>
  <c r="AK889" i="3"/>
  <c r="AN889" i="3"/>
  <c r="AM889" i="3"/>
  <c r="AI889" i="3"/>
  <c r="AH889" i="3"/>
  <c r="AJ889" i="3"/>
  <c r="AM736" i="3"/>
  <c r="AO736" i="3"/>
  <c r="AO842" i="3"/>
  <c r="AM842" i="3"/>
  <c r="AL842" i="3"/>
  <c r="AH842" i="3"/>
  <c r="AM844" i="3"/>
  <c r="AK852" i="3"/>
  <c r="AI852" i="3"/>
  <c r="AH852" i="3"/>
  <c r="AN884" i="3"/>
  <c r="AM884" i="3"/>
  <c r="AJ884" i="3"/>
  <c r="AI884" i="3"/>
  <c r="AH884" i="3"/>
  <c r="AO915" i="3"/>
  <c r="AN915" i="3"/>
  <c r="AM915" i="3"/>
  <c r="AL915" i="3"/>
  <c r="AH915" i="3"/>
  <c r="AL948" i="3"/>
  <c r="AK948" i="3"/>
  <c r="AJ948" i="3"/>
  <c r="AI948" i="3"/>
  <c r="AH948" i="3"/>
  <c r="AM948" i="3"/>
  <c r="AK996" i="3"/>
  <c r="AJ996" i="3"/>
  <c r="AL929" i="3"/>
  <c r="AK929" i="3"/>
  <c r="AJ929" i="3"/>
  <c r="AO929" i="3"/>
  <c r="AN929" i="3"/>
  <c r="AM929" i="3"/>
  <c r="AI929" i="3"/>
  <c r="AN946" i="3"/>
  <c r="AM946" i="3"/>
  <c r="AL946" i="3"/>
  <c r="AO946" i="3"/>
  <c r="AI946" i="3"/>
  <c r="AH946" i="3"/>
  <c r="AJ946" i="3"/>
  <c r="AM676" i="3"/>
  <c r="AK740" i="3"/>
  <c r="AI740" i="3"/>
  <c r="AL765" i="3"/>
  <c r="AJ765" i="3"/>
  <c r="AO821" i="3"/>
  <c r="AM821" i="3"/>
  <c r="AL821" i="3"/>
  <c r="AI821" i="3"/>
  <c r="AM886" i="3"/>
  <c r="AL886" i="3"/>
  <c r="AK886" i="3"/>
  <c r="AH886" i="3"/>
  <c r="AL897" i="3"/>
  <c r="AK897" i="3"/>
  <c r="AJ897" i="3"/>
  <c r="AO897" i="3"/>
  <c r="AK984" i="3"/>
  <c r="AH718" i="3"/>
  <c r="AH736" i="3"/>
  <c r="AM752" i="3"/>
  <c r="AJ752" i="3"/>
  <c r="AH752" i="3"/>
  <c r="AH757" i="3"/>
  <c r="AO777" i="3"/>
  <c r="AL777" i="3"/>
  <c r="AJ777" i="3"/>
  <c r="AI790" i="3"/>
  <c r="AN790" i="3"/>
  <c r="AL790" i="3"/>
  <c r="AK790" i="3"/>
  <c r="AO817" i="3"/>
  <c r="AI818" i="3"/>
  <c r="AI828" i="3"/>
  <c r="AO833" i="3"/>
  <c r="AM833" i="3"/>
  <c r="AK833" i="3"/>
  <c r="AK839" i="3"/>
  <c r="AI839" i="3"/>
  <c r="AJ839" i="3"/>
  <c r="AJ840" i="3"/>
  <c r="AI842" i="3"/>
  <c r="AH844" i="3"/>
  <c r="AJ852" i="3"/>
  <c r="AI866" i="3"/>
  <c r="AL868" i="3"/>
  <c r="AK868" i="3"/>
  <c r="AI868" i="3"/>
  <c r="AO868" i="3"/>
  <c r="AN868" i="3"/>
  <c r="AH868" i="3"/>
  <c r="AN875" i="3"/>
  <c r="AL881" i="3"/>
  <c r="AK881" i="3"/>
  <c r="AL884" i="3"/>
  <c r="AO899" i="3"/>
  <c r="AN899" i="3"/>
  <c r="AM899" i="3"/>
  <c r="AK899" i="3"/>
  <c r="AJ899" i="3"/>
  <c r="AI899" i="3"/>
  <c r="AH899" i="3"/>
  <c r="AL899" i="3"/>
  <c r="AJ904" i="3"/>
  <c r="AI904" i="3"/>
  <c r="AN904" i="3"/>
  <c r="AM904" i="3"/>
  <c r="AK904" i="3"/>
  <c r="AH904" i="3"/>
  <c r="AO904" i="3"/>
  <c r="AI915" i="3"/>
  <c r="AN948" i="3"/>
  <c r="AO991" i="3"/>
  <c r="AM991" i="3"/>
  <c r="AL991" i="3"/>
  <c r="AN991" i="3"/>
  <c r="AK991" i="3"/>
  <c r="AJ991" i="3"/>
  <c r="AI991" i="3"/>
  <c r="AH991" i="3"/>
  <c r="AM1029" i="3"/>
  <c r="AK1029" i="3"/>
  <c r="AJ1029" i="3"/>
  <c r="AI1029" i="3"/>
  <c r="AH1029" i="3"/>
  <c r="AO1029" i="3"/>
  <c r="AN1029" i="3"/>
  <c r="AL1029" i="3"/>
  <c r="AO643" i="3"/>
  <c r="AM643" i="3"/>
  <c r="AK658" i="3"/>
  <c r="AK673" i="3"/>
  <c r="AI673" i="3"/>
  <c r="AI718" i="3"/>
  <c r="AM722" i="3"/>
  <c r="AK722" i="3"/>
  <c r="AK735" i="3"/>
  <c r="AN735" i="3"/>
  <c r="AL735" i="3"/>
  <c r="AI736" i="3"/>
  <c r="AN747" i="3"/>
  <c r="AL747" i="3"/>
  <c r="AI757" i="3"/>
  <c r="AM760" i="3"/>
  <c r="AN760" i="3"/>
  <c r="AO785" i="3"/>
  <c r="AJ818" i="3"/>
  <c r="AN827" i="3"/>
  <c r="AM827" i="3"/>
  <c r="AJ827" i="3"/>
  <c r="AJ828" i="3"/>
  <c r="AO840" i="3"/>
  <c r="AJ842" i="3"/>
  <c r="AI844" i="3"/>
  <c r="AO849" i="3"/>
  <c r="AM849" i="3"/>
  <c r="AK849" i="3"/>
  <c r="AJ849" i="3"/>
  <c r="AI849" i="3"/>
  <c r="AL852" i="3"/>
  <c r="AO858" i="3"/>
  <c r="AM858" i="3"/>
  <c r="AL858" i="3"/>
  <c r="AI858" i="3"/>
  <c r="AJ866" i="3"/>
  <c r="AO884" i="3"/>
  <c r="AJ915" i="3"/>
  <c r="AH929" i="3"/>
  <c r="AK946" i="3"/>
  <c r="AO948" i="3"/>
  <c r="AJ1097" i="3"/>
  <c r="AK1097" i="3"/>
  <c r="AH678" i="3"/>
  <c r="AJ718" i="3"/>
  <c r="AJ736" i="3"/>
  <c r="AH740" i="3"/>
  <c r="AJ757" i="3"/>
  <c r="AJ764" i="3"/>
  <c r="AH764" i="3"/>
  <c r="AH765" i="3"/>
  <c r="AH769" i="3"/>
  <c r="AO772" i="3"/>
  <c r="AM772" i="3"/>
  <c r="AH773" i="3"/>
  <c r="AM800" i="3"/>
  <c r="AH800" i="3"/>
  <c r="AO803" i="3"/>
  <c r="AN803" i="3"/>
  <c r="AM810" i="3"/>
  <c r="AK818" i="3"/>
  <c r="AH821" i="3"/>
  <c r="AK828" i="3"/>
  <c r="AK842" i="3"/>
  <c r="AJ844" i="3"/>
  <c r="AM852" i="3"/>
  <c r="AK866" i="3"/>
  <c r="AI886" i="3"/>
  <c r="AH895" i="3"/>
  <c r="AO895" i="3"/>
  <c r="AM895" i="3"/>
  <c r="AL895" i="3"/>
  <c r="AK895" i="3"/>
  <c r="AJ895" i="3"/>
  <c r="AH897" i="3"/>
  <c r="AL908" i="3"/>
  <c r="AK908" i="3"/>
  <c r="AI908" i="3"/>
  <c r="AH908" i="3"/>
  <c r="AJ908" i="3"/>
  <c r="AK915" i="3"/>
  <c r="AK633" i="3"/>
  <c r="AI633" i="3"/>
  <c r="AO667" i="3"/>
  <c r="AM667" i="3"/>
  <c r="AI678" i="3"/>
  <c r="AM682" i="3"/>
  <c r="AK682" i="3"/>
  <c r="AK697" i="3"/>
  <c r="AI697" i="3"/>
  <c r="AK718" i="3"/>
  <c r="AK736" i="3"/>
  <c r="AJ740" i="3"/>
  <c r="AK757" i="3"/>
  <c r="AK761" i="3"/>
  <c r="AI765" i="3"/>
  <c r="AI769" i="3"/>
  <c r="AI773" i="3"/>
  <c r="AI814" i="3"/>
  <c r="AM814" i="3"/>
  <c r="AK814" i="3"/>
  <c r="AJ814" i="3"/>
  <c r="AL818" i="3"/>
  <c r="AM820" i="3"/>
  <c r="AK820" i="3"/>
  <c r="AJ820" i="3"/>
  <c r="AJ821" i="3"/>
  <c r="AM828" i="3"/>
  <c r="AO841" i="3"/>
  <c r="AM841" i="3"/>
  <c r="AK841" i="3"/>
  <c r="AJ841" i="3"/>
  <c r="AN842" i="3"/>
  <c r="AK844" i="3"/>
  <c r="AN852" i="3"/>
  <c r="AL866" i="3"/>
  <c r="AJ886" i="3"/>
  <c r="AI897" i="3"/>
  <c r="AK956" i="3"/>
  <c r="AJ956" i="3"/>
  <c r="AI956" i="3"/>
  <c r="AH956" i="3"/>
  <c r="AO956" i="3"/>
  <c r="AN956" i="3"/>
  <c r="AK959" i="3"/>
  <c r="AJ959" i="3"/>
  <c r="AL961" i="3"/>
  <c r="AK961" i="3"/>
  <c r="AJ961" i="3"/>
  <c r="AN961" i="3"/>
  <c r="AM961" i="3"/>
  <c r="AI961" i="3"/>
  <c r="AH961" i="3"/>
  <c r="AO961" i="3"/>
  <c r="AO835" i="3"/>
  <c r="AM835" i="3"/>
  <c r="AK835" i="3"/>
  <c r="AJ835" i="3"/>
  <c r="AK856" i="3"/>
  <c r="AJ856" i="3"/>
  <c r="AH879" i="3"/>
  <c r="AL879" i="3"/>
  <c r="AK879" i="3"/>
  <c r="AI879" i="3"/>
  <c r="AM879" i="3"/>
  <c r="AJ879" i="3"/>
  <c r="AI900" i="3"/>
  <c r="AJ688" i="3"/>
  <c r="AO691" i="3"/>
  <c r="AM691" i="3"/>
  <c r="AM706" i="3"/>
  <c r="AK706" i="3"/>
  <c r="AK721" i="3"/>
  <c r="AI721" i="3"/>
  <c r="AN736" i="3"/>
  <c r="AM740" i="3"/>
  <c r="AK752" i="3"/>
  <c r="AM765" i="3"/>
  <c r="AK767" i="3"/>
  <c r="AK769" i="3"/>
  <c r="AK773" i="3"/>
  <c r="AI777" i="3"/>
  <c r="AK789" i="3"/>
  <c r="AI789" i="3"/>
  <c r="AH789" i="3"/>
  <c r="AJ790" i="3"/>
  <c r="AI817" i="3"/>
  <c r="AN818" i="3"/>
  <c r="AN821" i="3"/>
  <c r="AI833" i="3"/>
  <c r="AL839" i="3"/>
  <c r="AO843" i="3"/>
  <c r="AN843" i="3"/>
  <c r="AL843" i="3"/>
  <c r="AK843" i="3"/>
  <c r="AH843" i="3"/>
  <c r="AN844" i="3"/>
  <c r="AH849" i="3"/>
  <c r="AH853" i="3"/>
  <c r="AN853" i="3"/>
  <c r="AM853" i="3"/>
  <c r="AJ853" i="3"/>
  <c r="AH858" i="3"/>
  <c r="AK865" i="3"/>
  <c r="AO865" i="3"/>
  <c r="AN865" i="3"/>
  <c r="AM865" i="3"/>
  <c r="AI865" i="3"/>
  <c r="AH865" i="3"/>
  <c r="AM868" i="3"/>
  <c r="AN874" i="3"/>
  <c r="AM874" i="3"/>
  <c r="AL874" i="3"/>
  <c r="AK874" i="3"/>
  <c r="AI874" i="3"/>
  <c r="AH874" i="3"/>
  <c r="AN897" i="3"/>
  <c r="AH919" i="3"/>
  <c r="AN919" i="3"/>
  <c r="AM919" i="3"/>
  <c r="AL919" i="3"/>
  <c r="AK919" i="3"/>
  <c r="AJ919" i="3"/>
  <c r="AI919" i="3"/>
  <c r="AO919" i="3"/>
  <c r="AM1169" i="3"/>
  <c r="AI1169" i="3"/>
  <c r="AL1169" i="3"/>
  <c r="AK1169" i="3"/>
  <c r="AJ1169" i="3"/>
  <c r="AN1169" i="3"/>
  <c r="AO1169" i="3"/>
  <c r="AL969" i="3"/>
  <c r="AK969" i="3"/>
  <c r="AJ969" i="3"/>
  <c r="AH969" i="3"/>
  <c r="AM969" i="3"/>
  <c r="AI969" i="3"/>
  <c r="AK980" i="3"/>
  <c r="AO980" i="3"/>
  <c r="AN980" i="3"/>
  <c r="AM980" i="3"/>
  <c r="AL980" i="3"/>
  <c r="AJ980" i="3"/>
  <c r="AI980" i="3"/>
  <c r="AO1186" i="3"/>
  <c r="AL1186" i="3"/>
  <c r="AK1186" i="3"/>
  <c r="AI1186" i="3"/>
  <c r="AH1186" i="3"/>
  <c r="AN1186" i="3"/>
  <c r="AM1186" i="3"/>
  <c r="AJ1186" i="3"/>
  <c r="AO1124" i="3"/>
  <c r="AI1124" i="3"/>
  <c r="AH1124" i="3"/>
  <c r="AM1124" i="3"/>
  <c r="AL1124" i="3"/>
  <c r="AK1124" i="3"/>
  <c r="AJ1124" i="3"/>
  <c r="AN1124" i="3"/>
  <c r="AL862" i="3"/>
  <c r="AK862" i="3"/>
  <c r="AI862" i="3"/>
  <c r="AL870" i="3"/>
  <c r="AK870" i="3"/>
  <c r="AJ896" i="3"/>
  <c r="AI896" i="3"/>
  <c r="AO896" i="3"/>
  <c r="AN896" i="3"/>
  <c r="AK1007" i="3"/>
  <c r="AJ1007" i="3"/>
  <c r="AI1007" i="3"/>
  <c r="AO1007" i="3"/>
  <c r="AL1007" i="3"/>
  <c r="AH1007" i="3"/>
  <c r="AO1025" i="3"/>
  <c r="AN1025" i="3"/>
  <c r="AM1025" i="3"/>
  <c r="AK1025" i="3"/>
  <c r="AJ1025" i="3"/>
  <c r="AI1025" i="3"/>
  <c r="AH1025" i="3"/>
  <c r="AO1030" i="3"/>
  <c r="AM1030" i="3"/>
  <c r="AN1030" i="3"/>
  <c r="AL1030" i="3"/>
  <c r="AJ1030" i="3"/>
  <c r="AI1030" i="3"/>
  <c r="AK1030" i="3"/>
  <c r="AK1034" i="3"/>
  <c r="AJ1034" i="3"/>
  <c r="AI1034" i="3"/>
  <c r="AN1034" i="3"/>
  <c r="AM1034" i="3"/>
  <c r="AL1034" i="3"/>
  <c r="AH1034" i="3"/>
  <c r="AK831" i="3"/>
  <c r="AI831" i="3"/>
  <c r="AM894" i="3"/>
  <c r="AL894" i="3"/>
  <c r="AJ894" i="3"/>
  <c r="AI894" i="3"/>
  <c r="AH894" i="3"/>
  <c r="AH911" i="3"/>
  <c r="AO911" i="3"/>
  <c r="AN911" i="3"/>
  <c r="AL953" i="3"/>
  <c r="AK953" i="3"/>
  <c r="AJ953" i="3"/>
  <c r="AO953" i="3"/>
  <c r="AN953" i="3"/>
  <c r="AM953" i="3"/>
  <c r="AI953" i="3"/>
  <c r="AH953" i="3"/>
  <c r="AO1088" i="3"/>
  <c r="AN1088" i="3"/>
  <c r="AM1088" i="3"/>
  <c r="AL1088" i="3"/>
  <c r="AJ1088" i="3"/>
  <c r="AI1088" i="3"/>
  <c r="AK1088" i="3"/>
  <c r="AH1088" i="3"/>
  <c r="AH862" i="3"/>
  <c r="AI864" i="3"/>
  <c r="AN864" i="3"/>
  <c r="AL864" i="3"/>
  <c r="AK864" i="3"/>
  <c r="AN882" i="3"/>
  <c r="AM882" i="3"/>
  <c r="AH896" i="3"/>
  <c r="AK918" i="3"/>
  <c r="AJ918" i="3"/>
  <c r="AI918" i="3"/>
  <c r="AH918" i="3"/>
  <c r="AO918" i="3"/>
  <c r="AK1004" i="3"/>
  <c r="AJ1004" i="3"/>
  <c r="AH1004" i="3"/>
  <c r="AM1007" i="3"/>
  <c r="AL1025" i="3"/>
  <c r="AH1030" i="3"/>
  <c r="AO1034" i="3"/>
  <c r="AO1062" i="3"/>
  <c r="AN1062" i="3"/>
  <c r="AM1062" i="3"/>
  <c r="AK1062" i="3"/>
  <c r="AJ1062" i="3"/>
  <c r="AI1062" i="3"/>
  <c r="AH1062" i="3"/>
  <c r="AJ1144" i="3"/>
  <c r="AH1144" i="3"/>
  <c r="AO1144" i="3"/>
  <c r="AN1144" i="3"/>
  <c r="AM1144" i="3"/>
  <c r="AL1144" i="3"/>
  <c r="AK1144" i="3"/>
  <c r="AH807" i="3"/>
  <c r="AH813" i="3"/>
  <c r="AH825" i="3"/>
  <c r="AH831" i="3"/>
  <c r="AL855" i="3"/>
  <c r="AK855" i="3"/>
  <c r="AI855" i="3"/>
  <c r="AJ862" i="3"/>
  <c r="AK894" i="3"/>
  <c r="AK896" i="3"/>
  <c r="AI911" i="3"/>
  <c r="AI938" i="3"/>
  <c r="AN1007" i="3"/>
  <c r="AO1031" i="3"/>
  <c r="AN1031" i="3"/>
  <c r="AM1031" i="3"/>
  <c r="AJ1031" i="3"/>
  <c r="AL1031" i="3"/>
  <c r="AK1031" i="3"/>
  <c r="AI1031" i="3"/>
  <c r="AH1031" i="3"/>
  <c r="AM1131" i="3"/>
  <c r="AK1131" i="3"/>
  <c r="AJ1131" i="3"/>
  <c r="AH1131" i="3"/>
  <c r="AN1131" i="3"/>
  <c r="AL1131" i="3"/>
  <c r="AI1131" i="3"/>
  <c r="AI995" i="3"/>
  <c r="AK995" i="3"/>
  <c r="AJ995" i="3"/>
  <c r="AH995" i="3"/>
  <c r="AO995" i="3"/>
  <c r="AN995" i="3"/>
  <c r="AM995" i="3"/>
  <c r="AL995" i="3"/>
  <c r="AO998" i="3"/>
  <c r="AN998" i="3"/>
  <c r="AM998" i="3"/>
  <c r="AL998" i="3"/>
  <c r="AI998" i="3"/>
  <c r="AH998" i="3"/>
  <c r="AK1012" i="3"/>
  <c r="AO1012" i="3"/>
  <c r="AN1012" i="3"/>
  <c r="AJ1012" i="3"/>
  <c r="AI1012" i="3"/>
  <c r="AJ807" i="3"/>
  <c r="AJ825" i="3"/>
  <c r="AL831" i="3"/>
  <c r="AN862" i="3"/>
  <c r="AO869" i="3"/>
  <c r="AN869" i="3"/>
  <c r="AL869" i="3"/>
  <c r="AJ869" i="3"/>
  <c r="AI869" i="3"/>
  <c r="AO894" i="3"/>
  <c r="AM896" i="3"/>
  <c r="AK911" i="3"/>
  <c r="AN954" i="3"/>
  <c r="AM954" i="3"/>
  <c r="AL954" i="3"/>
  <c r="AO954" i="3"/>
  <c r="AK954" i="3"/>
  <c r="AH954" i="3"/>
  <c r="AL983" i="3"/>
  <c r="AK983" i="3"/>
  <c r="AJ983" i="3"/>
  <c r="AH983" i="3"/>
  <c r="AO983" i="3"/>
  <c r="AN983" i="3"/>
  <c r="AM983" i="3"/>
  <c r="AI983" i="3"/>
  <c r="AM1164" i="3"/>
  <c r="AL1164" i="3"/>
  <c r="AO1164" i="3"/>
  <c r="AN1164" i="3"/>
  <c r="AK1164" i="3"/>
  <c r="AJ1164" i="3"/>
  <c r="AI1164" i="3"/>
  <c r="AH1164" i="3"/>
  <c r="AO986" i="3"/>
  <c r="AN986" i="3"/>
  <c r="AM986" i="3"/>
  <c r="AL986" i="3"/>
  <c r="AK986" i="3"/>
  <c r="AH986" i="3"/>
  <c r="AM1002" i="3"/>
  <c r="AL1002" i="3"/>
  <c r="AK1002" i="3"/>
  <c r="AI1002" i="3"/>
  <c r="AH1002" i="3"/>
  <c r="AO1002" i="3"/>
  <c r="AN1002" i="3"/>
  <c r="AN1066" i="3"/>
  <c r="AM1066" i="3"/>
  <c r="AJ1066" i="3"/>
  <c r="AI1066" i="3"/>
  <c r="AO1066" i="3"/>
  <c r="AL1066" i="3"/>
  <c r="AK1066" i="3"/>
  <c r="AH1066" i="3"/>
  <c r="AO1093" i="3"/>
  <c r="AN1093" i="3"/>
  <c r="AM1093" i="3"/>
  <c r="AL1093" i="3"/>
  <c r="AK1093" i="3"/>
  <c r="AJ1093" i="3"/>
  <c r="AI1093" i="3"/>
  <c r="AH1093" i="3"/>
  <c r="AI1027" i="3"/>
  <c r="AO1027" i="3"/>
  <c r="AL1027" i="3"/>
  <c r="AO1047" i="3"/>
  <c r="AJ1047" i="3"/>
  <c r="AI1047" i="3"/>
  <c r="AH1047" i="3"/>
  <c r="AM1076" i="3"/>
  <c r="AO1076" i="3"/>
  <c r="AN1076" i="3"/>
  <c r="AK1076" i="3"/>
  <c r="AJ1076" i="3"/>
  <c r="AI1076" i="3"/>
  <c r="AN1091" i="3"/>
  <c r="AK1091" i="3"/>
  <c r="AH1091" i="3"/>
  <c r="AL1091" i="3"/>
  <c r="AJ1091" i="3"/>
  <c r="AI1199" i="3"/>
  <c r="AO1199" i="3"/>
  <c r="AL1199" i="3"/>
  <c r="AN1199" i="3"/>
  <c r="AM1199" i="3"/>
  <c r="AH1199" i="3"/>
  <c r="AK1199" i="3"/>
  <c r="AJ1199" i="3"/>
  <c r="AN890" i="3"/>
  <c r="AM890" i="3"/>
  <c r="AL905" i="3"/>
  <c r="AK905" i="3"/>
  <c r="AJ916" i="3"/>
  <c r="AJ920" i="3"/>
  <c r="AI920" i="3"/>
  <c r="AK935" i="3"/>
  <c r="AN962" i="3"/>
  <c r="AM962" i="3"/>
  <c r="AL962" i="3"/>
  <c r="AJ962" i="3"/>
  <c r="AI962" i="3"/>
  <c r="AN978" i="3"/>
  <c r="AM978" i="3"/>
  <c r="AL978" i="3"/>
  <c r="AJ978" i="3"/>
  <c r="AI978" i="3"/>
  <c r="AI1035" i="3"/>
  <c r="AN1035" i="3"/>
  <c r="AM1035" i="3"/>
  <c r="AL1035" i="3"/>
  <c r="AJ1035" i="3"/>
  <c r="AH1035" i="3"/>
  <c r="AI1074" i="3"/>
  <c r="AJ1074" i="3"/>
  <c r="AH1074" i="3"/>
  <c r="AO1074" i="3"/>
  <c r="AN1074" i="3"/>
  <c r="AK1074" i="3"/>
  <c r="AO1108" i="3"/>
  <c r="AM1108" i="3"/>
  <c r="AH1108" i="3"/>
  <c r="AK1108" i="3"/>
  <c r="AJ1108" i="3"/>
  <c r="AM1139" i="3"/>
  <c r="AJ1139" i="3"/>
  <c r="AO1139" i="3"/>
  <c r="AN1139" i="3"/>
  <c r="AL1139" i="3"/>
  <c r="AK1139" i="3"/>
  <c r="AI1139" i="3"/>
  <c r="AM1149" i="3"/>
  <c r="AO1149" i="3"/>
  <c r="AN1149" i="3"/>
  <c r="AL1149" i="3"/>
  <c r="AK1149" i="3"/>
  <c r="AJ1149" i="3"/>
  <c r="AI1149" i="3"/>
  <c r="AN1174" i="3"/>
  <c r="AK1174" i="3"/>
  <c r="AJ1174" i="3"/>
  <c r="AI1174" i="3"/>
  <c r="AO1174" i="3"/>
  <c r="AM1174" i="3"/>
  <c r="AL1174" i="3"/>
  <c r="AL937" i="3"/>
  <c r="AK937" i="3"/>
  <c r="AJ937" i="3"/>
  <c r="AN964" i="3"/>
  <c r="AM964" i="3"/>
  <c r="AM989" i="3"/>
  <c r="AK989" i="3"/>
  <c r="AJ989" i="3"/>
  <c r="AI989" i="3"/>
  <c r="AK1001" i="3"/>
  <c r="AJ1001" i="3"/>
  <c r="AI1001" i="3"/>
  <c r="AO1016" i="3"/>
  <c r="AN1016" i="3"/>
  <c r="AK1016" i="3"/>
  <c r="AM1193" i="3"/>
  <c r="AH1193" i="3"/>
  <c r="AL1193" i="3"/>
  <c r="AI1193" i="3"/>
  <c r="AK1193" i="3"/>
  <c r="AJ1193" i="3"/>
  <c r="AO1193" i="3"/>
  <c r="AN1193" i="3"/>
  <c r="AL945" i="3"/>
  <c r="AK945" i="3"/>
  <c r="AJ945" i="3"/>
  <c r="AJ968" i="3"/>
  <c r="AI968" i="3"/>
  <c r="AH968" i="3"/>
  <c r="AO1014" i="3"/>
  <c r="AM1014" i="3"/>
  <c r="AL1014" i="3"/>
  <c r="AK1014" i="3"/>
  <c r="AI1014" i="3"/>
  <c r="AH1014" i="3"/>
  <c r="AH1027" i="3"/>
  <c r="AK1047" i="3"/>
  <c r="AK1052" i="3"/>
  <c r="AJ1052" i="3"/>
  <c r="AI1052" i="3"/>
  <c r="AM1052" i="3"/>
  <c r="AL1052" i="3"/>
  <c r="AH1052" i="3"/>
  <c r="AH1076" i="3"/>
  <c r="AJ1080" i="3"/>
  <c r="AI1080" i="3"/>
  <c r="AH1080" i="3"/>
  <c r="AN1080" i="3"/>
  <c r="AM1080" i="3"/>
  <c r="AL1080" i="3"/>
  <c r="AK1080" i="3"/>
  <c r="AI1091" i="3"/>
  <c r="AN851" i="3"/>
  <c r="AN859" i="3"/>
  <c r="AN876" i="3"/>
  <c r="AO883" i="3"/>
  <c r="AJ890" i="3"/>
  <c r="AN898" i="3"/>
  <c r="AM898" i="3"/>
  <c r="AJ905" i="3"/>
  <c r="AL913" i="3"/>
  <c r="AK913" i="3"/>
  <c r="AL920" i="3"/>
  <c r="AJ924" i="3"/>
  <c r="AJ928" i="3"/>
  <c r="AI928" i="3"/>
  <c r="AH928" i="3"/>
  <c r="AH932" i="3"/>
  <c r="AH937" i="3"/>
  <c r="AO962" i="3"/>
  <c r="AH964" i="3"/>
  <c r="AL977" i="3"/>
  <c r="AK977" i="3"/>
  <c r="AJ977" i="3"/>
  <c r="AH977" i="3"/>
  <c r="AO978" i="3"/>
  <c r="AH989" i="3"/>
  <c r="AM997" i="3"/>
  <c r="AO997" i="3"/>
  <c r="AL997" i="3"/>
  <c r="AK997" i="3"/>
  <c r="AH1001" i="3"/>
  <c r="AI1003" i="3"/>
  <c r="AO1003" i="3"/>
  <c r="AN1003" i="3"/>
  <c r="AL1003" i="3"/>
  <c r="AK1003" i="3"/>
  <c r="AH1016" i="3"/>
  <c r="AM1027" i="3"/>
  <c r="AK1044" i="3"/>
  <c r="AJ1044" i="3"/>
  <c r="AI1044" i="3"/>
  <c r="AN1044" i="3"/>
  <c r="AM1044" i="3"/>
  <c r="AL1044" i="3"/>
  <c r="AN1047" i="3"/>
  <c r="AN1056" i="3"/>
  <c r="AM1056" i="3"/>
  <c r="AL1056" i="3"/>
  <c r="AJ1056" i="3"/>
  <c r="AI1056" i="3"/>
  <c r="AO1077" i="3"/>
  <c r="AM1077" i="3"/>
  <c r="AL1077" i="3"/>
  <c r="AI1077" i="3"/>
  <c r="AH1077" i="3"/>
  <c r="AI1147" i="3"/>
  <c r="AN1147" i="3"/>
  <c r="AO1147" i="3"/>
  <c r="AM1147" i="3"/>
  <c r="AK1147" i="3"/>
  <c r="AL1147" i="3"/>
  <c r="AJ1147" i="3"/>
  <c r="AI1167" i="3"/>
  <c r="AH1167" i="3"/>
  <c r="AO1167" i="3"/>
  <c r="AN1167" i="3"/>
  <c r="AL1167" i="3"/>
  <c r="AM1167" i="3"/>
  <c r="AK1167" i="3"/>
  <c r="AK890" i="3"/>
  <c r="AM905" i="3"/>
  <c r="AM920" i="3"/>
  <c r="AK924" i="3"/>
  <c r="AO931" i="3"/>
  <c r="AN931" i="3"/>
  <c r="AI932" i="3"/>
  <c r="AJ936" i="3"/>
  <c r="AI936" i="3"/>
  <c r="AH936" i="3"/>
  <c r="AI937" i="3"/>
  <c r="AH945" i="3"/>
  <c r="AI964" i="3"/>
  <c r="AK968" i="3"/>
  <c r="AL989" i="3"/>
  <c r="AL1001" i="3"/>
  <c r="AJ1014" i="3"/>
  <c r="AI1016" i="3"/>
  <c r="AO1026" i="3"/>
  <c r="AM1026" i="3"/>
  <c r="AL1026" i="3"/>
  <c r="AI1026" i="3"/>
  <c r="AN1027" i="3"/>
  <c r="AO1048" i="3"/>
  <c r="AN1048" i="3"/>
  <c r="AM1048" i="3"/>
  <c r="AK1048" i="3"/>
  <c r="AJ1048" i="3"/>
  <c r="AN1052" i="3"/>
  <c r="AO1070" i="3"/>
  <c r="AN1070" i="3"/>
  <c r="AK1070" i="3"/>
  <c r="AJ1070" i="3"/>
  <c r="AN1073" i="3"/>
  <c r="AM1073" i="3"/>
  <c r="AL1073" i="3"/>
  <c r="AJ1073" i="3"/>
  <c r="AI1073" i="3"/>
  <c r="AO1080" i="3"/>
  <c r="AO1150" i="3"/>
  <c r="AI1150" i="3"/>
  <c r="AJ1150" i="3"/>
  <c r="AH1150" i="3"/>
  <c r="AM1150" i="3"/>
  <c r="AL1150" i="3"/>
  <c r="AK1150" i="3"/>
  <c r="AL873" i="3"/>
  <c r="AK873" i="3"/>
  <c r="AJ888" i="3"/>
  <c r="AI888" i="3"/>
  <c r="AL890" i="3"/>
  <c r="AN905" i="3"/>
  <c r="AO907" i="3"/>
  <c r="AN920" i="3"/>
  <c r="AL924" i="3"/>
  <c r="AJ932" i="3"/>
  <c r="AM937" i="3"/>
  <c r="AO939" i="3"/>
  <c r="AN939" i="3"/>
  <c r="AJ944" i="3"/>
  <c r="AI944" i="3"/>
  <c r="AH944" i="3"/>
  <c r="AI945" i="3"/>
  <c r="AJ964" i="3"/>
  <c r="AL968" i="3"/>
  <c r="AN970" i="3"/>
  <c r="AM970" i="3"/>
  <c r="AL970" i="3"/>
  <c r="AJ970" i="3"/>
  <c r="AI970" i="3"/>
  <c r="AN989" i="3"/>
  <c r="AM1001" i="3"/>
  <c r="AN1008" i="3"/>
  <c r="AM1008" i="3"/>
  <c r="AL1008" i="3"/>
  <c r="AJ1008" i="3"/>
  <c r="AI1008" i="3"/>
  <c r="AN1014" i="3"/>
  <c r="AJ1016" i="3"/>
  <c r="AM1021" i="3"/>
  <c r="AK1021" i="3"/>
  <c r="AN1021" i="3"/>
  <c r="AL1021" i="3"/>
  <c r="AH1021" i="3"/>
  <c r="AK1036" i="3"/>
  <c r="AI1036" i="3"/>
  <c r="AN1036" i="3"/>
  <c r="AM1036" i="3"/>
  <c r="AH1036" i="3"/>
  <c r="AO1052" i="3"/>
  <c r="AM1061" i="3"/>
  <c r="AL1061" i="3"/>
  <c r="AK1061" i="3"/>
  <c r="AO1061" i="3"/>
  <c r="AJ1061" i="3"/>
  <c r="AI1061" i="3"/>
  <c r="AK1083" i="3"/>
  <c r="AL1083" i="3"/>
  <c r="AJ1083" i="3"/>
  <c r="AI1083" i="3"/>
  <c r="AH1083" i="3"/>
  <c r="AO890" i="3"/>
  <c r="AO905" i="3"/>
  <c r="AO920" i="3"/>
  <c r="AM924" i="3"/>
  <c r="AN937" i="3"/>
  <c r="AM945" i="3"/>
  <c r="AO947" i="3"/>
  <c r="AN947" i="3"/>
  <c r="AJ952" i="3"/>
  <c r="AI952" i="3"/>
  <c r="AH952" i="3"/>
  <c r="AO963" i="3"/>
  <c r="AN963" i="3"/>
  <c r="AL963" i="3"/>
  <c r="AK963" i="3"/>
  <c r="AK964" i="3"/>
  <c r="AM968" i="3"/>
  <c r="AI979" i="3"/>
  <c r="AO979" i="3"/>
  <c r="AM979" i="3"/>
  <c r="AL979" i="3"/>
  <c r="AO989" i="3"/>
  <c r="AN1001" i="3"/>
  <c r="AN1010" i="3"/>
  <c r="AM1010" i="3"/>
  <c r="AJ1010" i="3"/>
  <c r="AM1013" i="3"/>
  <c r="AJ1013" i="3"/>
  <c r="AI1013" i="3"/>
  <c r="AH1013" i="3"/>
  <c r="AL1016" i="3"/>
  <c r="AJ912" i="3"/>
  <c r="AI912" i="3"/>
  <c r="AN924" i="3"/>
  <c r="AL932" i="3"/>
  <c r="AO937" i="3"/>
  <c r="AN945" i="3"/>
  <c r="AO955" i="3"/>
  <c r="AN955" i="3"/>
  <c r="AJ960" i="3"/>
  <c r="AI960" i="3"/>
  <c r="AH960" i="3"/>
  <c r="AL964" i="3"/>
  <c r="AN968" i="3"/>
  <c r="AN972" i="3"/>
  <c r="AM972" i="3"/>
  <c r="AI977" i="3"/>
  <c r="AH997" i="3"/>
  <c r="AO1001" i="3"/>
  <c r="AH1003" i="3"/>
  <c r="AM1016" i="3"/>
  <c r="AH1044" i="3"/>
  <c r="AH1056" i="3"/>
  <c r="AO1058" i="3"/>
  <c r="AN1058" i="3"/>
  <c r="AK1058" i="3"/>
  <c r="AJ1058" i="3"/>
  <c r="AJ1077" i="3"/>
  <c r="AL1081" i="3"/>
  <c r="AK1081" i="3"/>
  <c r="AJ1081" i="3"/>
  <c r="AO1081" i="3"/>
  <c r="AN1081" i="3"/>
  <c r="AH1081" i="3"/>
  <c r="AH1136" i="3"/>
  <c r="AO1136" i="3"/>
  <c r="AN1136" i="3"/>
  <c r="AM1136" i="3"/>
  <c r="AL1136" i="3"/>
  <c r="AK1136" i="3"/>
  <c r="AJ1136" i="3"/>
  <c r="AH1147" i="3"/>
  <c r="AJ1167" i="3"/>
  <c r="AI854" i="3"/>
  <c r="AI861" i="3"/>
  <c r="AH867" i="3"/>
  <c r="AH878" i="3"/>
  <c r="AI883" i="3"/>
  <c r="AI898" i="3"/>
  <c r="AI903" i="3"/>
  <c r="AI913" i="3"/>
  <c r="AO924" i="3"/>
  <c r="AL928" i="3"/>
  <c r="AH931" i="3"/>
  <c r="AM932" i="3"/>
  <c r="AK936" i="3"/>
  <c r="AO945" i="3"/>
  <c r="AO964" i="3"/>
  <c r="AO968" i="3"/>
  <c r="AJ976" i="3"/>
  <c r="AI976" i="3"/>
  <c r="AH976" i="3"/>
  <c r="AM977" i="3"/>
  <c r="AI997" i="3"/>
  <c r="AJ1003" i="3"/>
  <c r="AO1015" i="3"/>
  <c r="AN1015" i="3"/>
  <c r="AL1015" i="3"/>
  <c r="AK1015" i="3"/>
  <c r="AH1015" i="3"/>
  <c r="AH1026" i="3"/>
  <c r="AO1044" i="3"/>
  <c r="AH1048" i="3"/>
  <c r="AM1053" i="3"/>
  <c r="AL1053" i="3"/>
  <c r="AK1053" i="3"/>
  <c r="AN1053" i="3"/>
  <c r="AJ1053" i="3"/>
  <c r="AK1056" i="3"/>
  <c r="AH1070" i="3"/>
  <c r="AH1073" i="3"/>
  <c r="AK1077" i="3"/>
  <c r="AN1150" i="3"/>
  <c r="AI867" i="3"/>
  <c r="AJ883" i="3"/>
  <c r="AH888" i="3"/>
  <c r="AO891" i="3"/>
  <c r="AJ898" i="3"/>
  <c r="AJ903" i="3"/>
  <c r="AN906" i="3"/>
  <c r="AM906" i="3"/>
  <c r="AH907" i="3"/>
  <c r="AJ913" i="3"/>
  <c r="AL921" i="3"/>
  <c r="AK921" i="3"/>
  <c r="AH922" i="3"/>
  <c r="AM928" i="3"/>
  <c r="AM930" i="3"/>
  <c r="AI931" i="3"/>
  <c r="AN932" i="3"/>
  <c r="AL936" i="3"/>
  <c r="AH939" i="3"/>
  <c r="AK944" i="3"/>
  <c r="AH970" i="3"/>
  <c r="AN977" i="3"/>
  <c r="AO990" i="3"/>
  <c r="AN990" i="3"/>
  <c r="AM990" i="3"/>
  <c r="AL990" i="3"/>
  <c r="AJ990" i="3"/>
  <c r="AI990" i="3"/>
  <c r="AJ997" i="3"/>
  <c r="AM1003" i="3"/>
  <c r="AH1008" i="3"/>
  <c r="AI1021" i="3"/>
  <c r="AJ1026" i="3"/>
  <c r="AJ1036" i="3"/>
  <c r="AO1040" i="3"/>
  <c r="AN1040" i="3"/>
  <c r="AL1040" i="3"/>
  <c r="AK1040" i="3"/>
  <c r="AH1040" i="3"/>
  <c r="AI1043" i="3"/>
  <c r="AH1043" i="3"/>
  <c r="AI1048" i="3"/>
  <c r="AO1056" i="3"/>
  <c r="AH1061" i="3"/>
  <c r="AI1070" i="3"/>
  <c r="AK1073" i="3"/>
  <c r="AN1077" i="3"/>
  <c r="AK1148" i="3"/>
  <c r="AI1148" i="3"/>
  <c r="AH1148" i="3"/>
  <c r="AO1148" i="3"/>
  <c r="AM1148" i="3"/>
  <c r="AL1148" i="3"/>
  <c r="AJ1148" i="3"/>
  <c r="AM1201" i="3"/>
  <c r="AN1201" i="3"/>
  <c r="AO1201" i="3"/>
  <c r="AL1201" i="3"/>
  <c r="AJ1201" i="3"/>
  <c r="AI1201" i="3"/>
  <c r="AH1205" i="3"/>
  <c r="AO1205" i="3"/>
  <c r="AN1205" i="3"/>
  <c r="AM1205" i="3"/>
  <c r="AL1205" i="3"/>
  <c r="AK1205" i="3"/>
  <c r="AJ1205" i="3"/>
  <c r="AI1205" i="3"/>
  <c r="AK1069" i="3"/>
  <c r="AJ1105" i="3"/>
  <c r="AI1105" i="3"/>
  <c r="AL1105" i="3"/>
  <c r="AK1105" i="3"/>
  <c r="AH1105" i="3"/>
  <c r="AN1107" i="3"/>
  <c r="AM1107" i="3"/>
  <c r="AK1107" i="3"/>
  <c r="AO1128" i="3"/>
  <c r="AN1128" i="3"/>
  <c r="AM1128" i="3"/>
  <c r="AL1128" i="3"/>
  <c r="AK1020" i="3"/>
  <c r="AI1020" i="3"/>
  <c r="AM1087" i="3"/>
  <c r="AL1087" i="3"/>
  <c r="AK1087" i="3"/>
  <c r="AJ1087" i="3"/>
  <c r="AH1096" i="3"/>
  <c r="AI1096" i="3"/>
  <c r="AO1101" i="3"/>
  <c r="AN1101" i="3"/>
  <c r="AM1101" i="3"/>
  <c r="AL1101" i="3"/>
  <c r="AK1101" i="3"/>
  <c r="AI1113" i="3"/>
  <c r="AL1113" i="3"/>
  <c r="AK1113" i="3"/>
  <c r="AH1113" i="3"/>
  <c r="AM1113" i="3"/>
  <c r="AJ1113" i="3"/>
  <c r="AI1121" i="3"/>
  <c r="AN1121" i="3"/>
  <c r="AO1121" i="3"/>
  <c r="AM1121" i="3"/>
  <c r="AL1121" i="3"/>
  <c r="AK1121" i="3"/>
  <c r="AI1155" i="3"/>
  <c r="AN1155" i="3"/>
  <c r="AM1155" i="3"/>
  <c r="AK1155" i="3"/>
  <c r="AO1155" i="3"/>
  <c r="AL1155" i="3"/>
  <c r="AJ1155" i="3"/>
  <c r="AO1178" i="3"/>
  <c r="AL1178" i="3"/>
  <c r="AI1178" i="3"/>
  <c r="AN1178" i="3"/>
  <c r="AM1178" i="3"/>
  <c r="AJ1178" i="3"/>
  <c r="AK1178" i="3"/>
  <c r="AH1178" i="3"/>
  <c r="AI1215" i="3"/>
  <c r="AO1215" i="3"/>
  <c r="AJ1215" i="3"/>
  <c r="AN1215" i="3"/>
  <c r="AM1215" i="3"/>
  <c r="AL1215" i="3"/>
  <c r="AK1215" i="3"/>
  <c r="AJ1206" i="3"/>
  <c r="AM1206" i="3"/>
  <c r="AL1206" i="3"/>
  <c r="AH1206" i="3"/>
  <c r="AK1208" i="3"/>
  <c r="AK1201" i="3"/>
  <c r="AO1055" i="3"/>
  <c r="AK1060" i="3"/>
  <c r="AJ1060" i="3"/>
  <c r="AI1060" i="3"/>
  <c r="AH1064" i="3"/>
  <c r="AM1105" i="3"/>
  <c r="AH1107" i="3"/>
  <c r="AH1128" i="3"/>
  <c r="AO1170" i="3"/>
  <c r="AL1170" i="3"/>
  <c r="AM1170" i="3"/>
  <c r="AK1170" i="3"/>
  <c r="AI1170" i="3"/>
  <c r="AJ1170" i="3"/>
  <c r="AH1170" i="3"/>
  <c r="AH1020" i="3"/>
  <c r="AH1024" i="3"/>
  <c r="AO1038" i="3"/>
  <c r="AM1038" i="3"/>
  <c r="AH1039" i="3"/>
  <c r="AO1063" i="3"/>
  <c r="AI1064" i="3"/>
  <c r="AK1068" i="3"/>
  <c r="AJ1068" i="3"/>
  <c r="AI1068" i="3"/>
  <c r="AH1087" i="3"/>
  <c r="AJ1089" i="3"/>
  <c r="AO1089" i="3"/>
  <c r="AJ1096" i="3"/>
  <c r="AL1098" i="3"/>
  <c r="AK1098" i="3"/>
  <c r="AI1098" i="3"/>
  <c r="AH1101" i="3"/>
  <c r="AN1105" i="3"/>
  <c r="AI1107" i="3"/>
  <c r="AK1109" i="3"/>
  <c r="AJ1109" i="3"/>
  <c r="AN1113" i="3"/>
  <c r="AJ1118" i="3"/>
  <c r="AI1118" i="3"/>
  <c r="AO1118" i="3"/>
  <c r="AN1118" i="3"/>
  <c r="AH1121" i="3"/>
  <c r="AI1128" i="3"/>
  <c r="AN1146" i="3"/>
  <c r="AK1146" i="3"/>
  <c r="AI1146" i="3"/>
  <c r="AH1146" i="3"/>
  <c r="AO1146" i="3"/>
  <c r="AM1146" i="3"/>
  <c r="AL1146" i="3"/>
  <c r="AJ1146" i="3"/>
  <c r="AH1155" i="3"/>
  <c r="AH1215" i="3"/>
  <c r="AK1092" i="3"/>
  <c r="AJ1092" i="3"/>
  <c r="AI1092" i="3"/>
  <c r="AK1125" i="3"/>
  <c r="AI1125" i="3"/>
  <c r="AO1132" i="3"/>
  <c r="AN1132" i="3"/>
  <c r="AM1132" i="3"/>
  <c r="AK1132" i="3"/>
  <c r="AL1135" i="3"/>
  <c r="AK1135" i="3"/>
  <c r="AJ1135" i="3"/>
  <c r="AK1156" i="3"/>
  <c r="AH1156" i="3"/>
  <c r="AO1156" i="3"/>
  <c r="AI1156" i="3"/>
  <c r="AI1206" i="3"/>
  <c r="AM1209" i="3"/>
  <c r="AJ1209" i="3"/>
  <c r="AI1209" i="3"/>
  <c r="AH1209" i="3"/>
  <c r="AO1209" i="3"/>
  <c r="AL1020" i="3"/>
  <c r="AJ1024" i="3"/>
  <c r="AK1028" i="3"/>
  <c r="AI1028" i="3"/>
  <c r="AJ1039" i="3"/>
  <c r="AI1051" i="3"/>
  <c r="AH1051" i="3"/>
  <c r="AK1064" i="3"/>
  <c r="AJ1086" i="3"/>
  <c r="AN1087" i="3"/>
  <c r="AL1096" i="3"/>
  <c r="AJ1101" i="3"/>
  <c r="AL1107" i="3"/>
  <c r="AK1128" i="3"/>
  <c r="AI1137" i="3"/>
  <c r="AK1137" i="3"/>
  <c r="AJ1137" i="3"/>
  <c r="AK1183" i="3"/>
  <c r="AK1206" i="3"/>
  <c r="AH1211" i="3"/>
  <c r="AJ1211" i="3"/>
  <c r="AM1211" i="3"/>
  <c r="AL1211" i="3"/>
  <c r="AK1211" i="3"/>
  <c r="AI1211" i="3"/>
  <c r="AN1211" i="3"/>
  <c r="AH982" i="3"/>
  <c r="AH1000" i="3"/>
  <c r="AH1019" i="3"/>
  <c r="AM1020" i="3"/>
  <c r="AK1024" i="3"/>
  <c r="AH1033" i="3"/>
  <c r="AK1039" i="3"/>
  <c r="AO1046" i="3"/>
  <c r="AN1046" i="3"/>
  <c r="AM1046" i="3"/>
  <c r="AH1055" i="3"/>
  <c r="AI1059" i="3"/>
  <c r="AH1059" i="3"/>
  <c r="AH1060" i="3"/>
  <c r="AH1071" i="3"/>
  <c r="AK1075" i="3"/>
  <c r="AM1075" i="3"/>
  <c r="AL1075" i="3"/>
  <c r="AJ1075" i="3"/>
  <c r="AI1082" i="3"/>
  <c r="AO1082" i="3"/>
  <c r="AN1082" i="3"/>
  <c r="AM1082" i="3"/>
  <c r="AO1087" i="3"/>
  <c r="AM1096" i="3"/>
  <c r="AO1100" i="3"/>
  <c r="AM1100" i="3"/>
  <c r="AI1100" i="3"/>
  <c r="AH1100" i="3"/>
  <c r="AO1107" i="3"/>
  <c r="AN1120" i="3"/>
  <c r="AM1120" i="3"/>
  <c r="AK1120" i="3"/>
  <c r="AI1120" i="3"/>
  <c r="AH1120" i="3"/>
  <c r="AN1170" i="3"/>
  <c r="AM1204" i="3"/>
  <c r="AK1204" i="3"/>
  <c r="AJ1204" i="3"/>
  <c r="AI1204" i="3"/>
  <c r="AH1204" i="3"/>
  <c r="AO1204" i="3"/>
  <c r="AN1206" i="3"/>
  <c r="AI982" i="3"/>
  <c r="AH988" i="3"/>
  <c r="AH1006" i="3"/>
  <c r="AJ1019" i="3"/>
  <c r="AN1020" i="3"/>
  <c r="AO1022" i="3"/>
  <c r="AM1022" i="3"/>
  <c r="AH1023" i="3"/>
  <c r="AM1037" i="3"/>
  <c r="AK1037" i="3"/>
  <c r="AH1038" i="3"/>
  <c r="AL1039" i="3"/>
  <c r="AO1054" i="3"/>
  <c r="AN1054" i="3"/>
  <c r="AM1054" i="3"/>
  <c r="AI1055" i="3"/>
  <c r="AL1060" i="3"/>
  <c r="AH1063" i="3"/>
  <c r="AI1067" i="3"/>
  <c r="AH1067" i="3"/>
  <c r="AH1068" i="3"/>
  <c r="AI1079" i="3"/>
  <c r="AH1089" i="3"/>
  <c r="AN1096" i="3"/>
  <c r="AH1098" i="3"/>
  <c r="AL1106" i="3"/>
  <c r="AK1106" i="3"/>
  <c r="AI1106" i="3"/>
  <c r="AO1106" i="3"/>
  <c r="AN1106" i="3"/>
  <c r="AK1114" i="3"/>
  <c r="AO1114" i="3"/>
  <c r="AN1114" i="3"/>
  <c r="AL1114" i="3"/>
  <c r="AM1114" i="3"/>
  <c r="AH1118" i="3"/>
  <c r="AN1127" i="3"/>
  <c r="AK1127" i="3"/>
  <c r="AJ1127" i="3"/>
  <c r="AI1127" i="3"/>
  <c r="AH1127" i="3"/>
  <c r="AO1158" i="3"/>
  <c r="AN1158" i="3"/>
  <c r="AK1158" i="3"/>
  <c r="AI1158" i="3"/>
  <c r="AH1158" i="3"/>
  <c r="AM1158" i="3"/>
  <c r="AO1206" i="3"/>
  <c r="AO1152" i="3"/>
  <c r="AL1152" i="3"/>
  <c r="AL1228" i="3"/>
  <c r="AK1228" i="3"/>
  <c r="AH1228" i="3"/>
  <c r="AO1228" i="3"/>
  <c r="AN1228" i="3"/>
  <c r="AM1228" i="3"/>
  <c r="AM1242" i="3"/>
  <c r="AO1190" i="3"/>
  <c r="AN1190" i="3"/>
  <c r="AM1190" i="3"/>
  <c r="AK1190" i="3"/>
  <c r="AJ1190" i="3"/>
  <c r="AK1212" i="3"/>
  <c r="AH1212" i="3"/>
  <c r="AO1212" i="3"/>
  <c r="AL1212" i="3"/>
  <c r="AM1257" i="3"/>
  <c r="AL1257" i="3"/>
  <c r="AO1257" i="3"/>
  <c r="AN1257" i="3"/>
  <c r="AJ1257" i="3"/>
  <c r="AI1257" i="3"/>
  <c r="AH1257" i="3"/>
  <c r="AK1257" i="3"/>
  <c r="AL1198" i="3"/>
  <c r="AI1198" i="3"/>
  <c r="AN1198" i="3"/>
  <c r="AM1198" i="3"/>
  <c r="AM1225" i="3"/>
  <c r="AL1225" i="3"/>
  <c r="AI1225" i="3"/>
  <c r="AK1225" i="3"/>
  <c r="AO1225" i="3"/>
  <c r="AN1225" i="3"/>
  <c r="AJ1225" i="3"/>
  <c r="AO1214" i="3"/>
  <c r="AL1214" i="3"/>
  <c r="AK1214" i="3"/>
  <c r="AJ1214" i="3"/>
  <c r="AI1214" i="3"/>
  <c r="AH1214" i="3"/>
  <c r="AO1251" i="3"/>
  <c r="AN1251" i="3"/>
  <c r="AH1251" i="3"/>
  <c r="AM1251" i="3"/>
  <c r="AL1251" i="3"/>
  <c r="AK1251" i="3"/>
  <c r="AJ1251" i="3"/>
  <c r="AI1251" i="3"/>
  <c r="AK1138" i="3"/>
  <c r="AN1138" i="3"/>
  <c r="AM1138" i="3"/>
  <c r="AJ1138" i="3"/>
  <c r="AM1141" i="3"/>
  <c r="AO1141" i="3"/>
  <c r="AH1141" i="3"/>
  <c r="AK1152" i="3"/>
  <c r="AJ1154" i="3"/>
  <c r="AI1154" i="3"/>
  <c r="AJ1166" i="3"/>
  <c r="AO1171" i="3"/>
  <c r="AN1171" i="3"/>
  <c r="AI1175" i="3"/>
  <c r="AH1175" i="3"/>
  <c r="AO1175" i="3"/>
  <c r="AM1175" i="3"/>
  <c r="AI1187" i="3"/>
  <c r="AH1190" i="3"/>
  <c r="AI1212" i="3"/>
  <c r="AL1151" i="3"/>
  <c r="AI1151" i="3"/>
  <c r="AO1151" i="3"/>
  <c r="AN1151" i="3"/>
  <c r="AK1151" i="3"/>
  <c r="AM1152" i="3"/>
  <c r="AI1190" i="3"/>
  <c r="AH1198" i="3"/>
  <c r="AJ1212" i="3"/>
  <c r="AH1225" i="3"/>
  <c r="AO1126" i="3"/>
  <c r="AN1126" i="3"/>
  <c r="AL1126" i="3"/>
  <c r="AK1130" i="3"/>
  <c r="AH1130" i="3"/>
  <c r="AN1133" i="3"/>
  <c r="AN1152" i="3"/>
  <c r="AK1184" i="3"/>
  <c r="AL1190" i="3"/>
  <c r="AJ1198" i="3"/>
  <c r="AI1202" i="3"/>
  <c r="AM1212" i="3"/>
  <c r="AI1112" i="3"/>
  <c r="AH1112" i="3"/>
  <c r="AM1115" i="3"/>
  <c r="AO1115" i="3"/>
  <c r="AN1159" i="3"/>
  <c r="AO1159" i="3"/>
  <c r="AM1159" i="3"/>
  <c r="AK1159" i="3"/>
  <c r="AJ1163" i="3"/>
  <c r="AL1163" i="3"/>
  <c r="AH1163" i="3"/>
  <c r="AN1163" i="3"/>
  <c r="AM1163" i="3"/>
  <c r="AI1163" i="3"/>
  <c r="AO1194" i="3"/>
  <c r="AK1194" i="3"/>
  <c r="AM1194" i="3"/>
  <c r="AN1194" i="3"/>
  <c r="AL1194" i="3"/>
  <c r="AK1198" i="3"/>
  <c r="AN1212" i="3"/>
  <c r="AM1214" i="3"/>
  <c r="AL1090" i="3"/>
  <c r="AI1090" i="3"/>
  <c r="AN1099" i="3"/>
  <c r="AM1099" i="3"/>
  <c r="AK1099" i="3"/>
  <c r="AL1119" i="3"/>
  <c r="AK1119" i="3"/>
  <c r="AI1119" i="3"/>
  <c r="AH1123" i="3"/>
  <c r="AH1138" i="3"/>
  <c r="AI1141" i="3"/>
  <c r="AH1154" i="3"/>
  <c r="AO1165" i="3"/>
  <c r="AH1166" i="3"/>
  <c r="AK1168" i="3"/>
  <c r="AL1168" i="3"/>
  <c r="AH1168" i="3"/>
  <c r="AH1171" i="3"/>
  <c r="AJ1175" i="3"/>
  <c r="AJ1187" i="3"/>
  <c r="AI1191" i="3"/>
  <c r="AO1191" i="3"/>
  <c r="AJ1197" i="3"/>
  <c r="AM1197" i="3"/>
  <c r="AL1197" i="3"/>
  <c r="AI1197" i="3"/>
  <c r="AH1197" i="3"/>
  <c r="AO1198" i="3"/>
  <c r="AN1214" i="3"/>
  <c r="AO1221" i="3"/>
  <c r="AM1221" i="3"/>
  <c r="AK1221" i="3"/>
  <c r="AJ1221" i="3"/>
  <c r="AI1221" i="3"/>
  <c r="AH1221" i="3"/>
  <c r="AM1241" i="3"/>
  <c r="AL1241" i="3"/>
  <c r="AN1241" i="3"/>
  <c r="AK1241" i="3"/>
  <c r="AJ1241" i="3"/>
  <c r="AI1241" i="3"/>
  <c r="AH1241" i="3"/>
  <c r="AN1245" i="3"/>
  <c r="AM1245" i="3"/>
  <c r="AO1245" i="3"/>
  <c r="AL1245" i="3"/>
  <c r="AI1245" i="3"/>
  <c r="J6" i="5"/>
  <c r="AI1247" i="3"/>
  <c r="AL1247" i="3"/>
  <c r="AK1247" i="3"/>
  <c r="AJ1247" i="3"/>
  <c r="AH1247" i="3"/>
  <c r="AJ1261" i="3"/>
  <c r="AO1261" i="3"/>
  <c r="AL1261" i="3"/>
  <c r="AH1261" i="3"/>
  <c r="AM1261" i="3"/>
  <c r="AK1261" i="3"/>
  <c r="AI1261" i="3"/>
  <c r="AM1265" i="3"/>
  <c r="AN1265" i="3"/>
  <c r="AL1265" i="3"/>
  <c r="AH1265" i="3"/>
  <c r="AO1265" i="3"/>
  <c r="AO1267" i="3"/>
  <c r="AN1267" i="3"/>
  <c r="AL1267" i="3"/>
  <c r="AK1267" i="3"/>
  <c r="AJ1267" i="3"/>
  <c r="AI1267" i="3"/>
  <c r="AJ1245" i="3"/>
  <c r="AM1247" i="3"/>
  <c r="AN1261" i="3"/>
  <c r="AJ1265" i="3"/>
  <c r="AH1267" i="3"/>
  <c r="AI1231" i="3"/>
  <c r="AL1231" i="3"/>
  <c r="AH1231" i="3"/>
  <c r="AK1245" i="3"/>
  <c r="AN1247" i="3"/>
  <c r="AK1265" i="3"/>
  <c r="AM1267" i="3"/>
  <c r="AM1185" i="3"/>
  <c r="AK1200" i="3"/>
  <c r="AJ1200" i="3"/>
  <c r="AL1237" i="3"/>
  <c r="AI1237" i="3"/>
  <c r="AK1237" i="3"/>
  <c r="AJ1237" i="3"/>
  <c r="AH1237" i="3"/>
  <c r="AO1162" i="3"/>
  <c r="AH1162" i="3"/>
  <c r="AK1224" i="3"/>
  <c r="AI1224" i="3"/>
  <c r="AL1224" i="3"/>
  <c r="AJ1224" i="3"/>
  <c r="AJ1231" i="3"/>
  <c r="AM1203" i="3"/>
  <c r="AJ1203" i="3"/>
  <c r="AJ1207" i="3"/>
  <c r="AM1213" i="3"/>
  <c r="AJ1213" i="3"/>
  <c r="AK1231" i="3"/>
  <c r="AL1145" i="3"/>
  <c r="AI1145" i="3"/>
  <c r="AK1192" i="3"/>
  <c r="AH1192" i="3"/>
  <c r="AI1230" i="3"/>
  <c r="AM1230" i="3"/>
  <c r="AM1231" i="3"/>
  <c r="AM1233" i="3"/>
  <c r="AO1233" i="3"/>
  <c r="AN1233" i="3"/>
  <c r="AL1233" i="3"/>
  <c r="AI1233" i="3"/>
  <c r="AH1260" i="3"/>
  <c r="AO1260" i="3"/>
  <c r="AM1260" i="3"/>
  <c r="AL1260" i="3"/>
  <c r="AI1260" i="3"/>
  <c r="AN1260" i="3"/>
  <c r="AK1260" i="3"/>
  <c r="AO1140" i="3"/>
  <c r="AL1140" i="3"/>
  <c r="AK1157" i="3"/>
  <c r="AH1185" i="3"/>
  <c r="AL1188" i="3"/>
  <c r="AM1188" i="3"/>
  <c r="AI1188" i="3"/>
  <c r="AH1200" i="3"/>
  <c r="AH1210" i="3"/>
  <c r="AM1220" i="3"/>
  <c r="AN1220" i="3"/>
  <c r="AL1220" i="3"/>
  <c r="AI1220" i="3"/>
  <c r="AN1231" i="3"/>
  <c r="AM1237" i="3"/>
  <c r="AI1239" i="3"/>
  <c r="AJ1239" i="3"/>
  <c r="AI1258" i="3"/>
  <c r="AI1274" i="3"/>
  <c r="AI1266" i="3"/>
  <c r="AO1236" i="3"/>
  <c r="AN1271" i="3"/>
  <c r="AI1271" i="3"/>
  <c r="AL1271" i="3"/>
  <c r="AH1271" i="3"/>
  <c r="AM1273" i="3"/>
  <c r="AJ1273" i="3"/>
  <c r="AI1273" i="3"/>
  <c r="AO1244" i="3"/>
  <c r="AL1244" i="3"/>
  <c r="AK1244" i="3"/>
  <c r="AK1259" i="3"/>
  <c r="AI1259" i="3"/>
  <c r="AH1259" i="3"/>
  <c r="AK1256" i="3"/>
  <c r="AH1256" i="3"/>
  <c r="AM1219" i="3"/>
  <c r="AJ1219" i="3"/>
  <c r="AK1232" i="3"/>
  <c r="AO1232" i="3"/>
  <c r="AL1232" i="3"/>
  <c r="AI1254" i="3"/>
  <c r="AH1268" i="3"/>
  <c r="AJ1268" i="3"/>
  <c r="AI1268" i="3"/>
  <c r="AM1271" i="3"/>
  <c r="AK1273" i="3"/>
  <c r="AN1275" i="3"/>
  <c r="AO1275" i="3"/>
  <c r="AM1275" i="3"/>
  <c r="AJ1275" i="3"/>
  <c r="AI1275" i="3"/>
  <c r="J11" i="5"/>
  <c r="AK1240" i="3"/>
  <c r="AI1240" i="3"/>
  <c r="AH1244" i="3"/>
  <c r="AJ1259" i="3"/>
  <c r="AO1271" i="3"/>
  <c r="AL1273" i="3"/>
  <c r="AI1244" i="3"/>
  <c r="AK1272" i="3"/>
  <c r="AO1272" i="3"/>
  <c r="AM1272" i="3"/>
  <c r="AN1273" i="3"/>
  <c r="AK1176" i="3"/>
  <c r="AL1176" i="3"/>
  <c r="AI1181" i="3"/>
  <c r="AL1243" i="3"/>
  <c r="AI1243" i="3"/>
  <c r="AH1243" i="3"/>
  <c r="AJ1244" i="3"/>
  <c r="AO1246" i="3"/>
  <c r="AI1246" i="3"/>
  <c r="AI1256" i="3"/>
  <c r="AL1270" i="3"/>
  <c r="AO1270" i="3"/>
  <c r="AM1270" i="3"/>
  <c r="AK1270" i="3"/>
  <c r="AH1270" i="3"/>
  <c r="AO1273" i="3"/>
  <c r="AO1218" i="3"/>
  <c r="AJ1218" i="3"/>
  <c r="AM1244" i="3"/>
  <c r="AM1249" i="3"/>
  <c r="AL1249" i="3"/>
  <c r="AI1249" i="3"/>
  <c r="AH1249" i="3"/>
  <c r="AI1253" i="3"/>
  <c r="AJ1256" i="3"/>
  <c r="J9" i="5"/>
  <c r="AN1255" i="3"/>
  <c r="AI1255" i="3"/>
  <c r="AK1262" i="3"/>
  <c r="AK1264" i="3"/>
  <c r="F10" i="6"/>
  <c r="AK1248" i="3"/>
  <c r="AK1255" i="3"/>
  <c r="AH1264" i="3"/>
  <c r="AH1269" i="3"/>
  <c r="AK1238" i="3"/>
  <c r="AH1254" i="3"/>
  <c r="AL1255" i="3"/>
  <c r="AI1264" i="3"/>
  <c r="AI1269" i="3"/>
  <c r="F5" i="6"/>
  <c r="AJ1254" i="3"/>
  <c r="AL1269" i="3"/>
  <c r="AH1276" i="3"/>
  <c r="AN1276" i="3"/>
  <c r="AH1248" i="3"/>
  <c r="AH1253" i="3"/>
  <c r="AK1254" i="3"/>
  <c r="AM1264" i="3"/>
  <c r="AM1269" i="3"/>
  <c r="F6" i="6"/>
  <c r="F11" i="6"/>
  <c r="O8" i="6" s="1"/>
  <c r="K12" i="6" s="1"/>
  <c r="AM1135" i="3" l="1"/>
  <c r="AM235" i="3"/>
  <c r="AK707" i="3"/>
  <c r="AI1183" i="3"/>
  <c r="AM881" i="3"/>
  <c r="AM914" i="3"/>
  <c r="AM1187" i="3"/>
  <c r="AM971" i="3"/>
  <c r="AK541" i="3"/>
  <c r="AN465" i="3"/>
  <c r="AI756" i="3"/>
  <c r="AI176" i="3"/>
  <c r="AM856" i="3"/>
  <c r="AH959" i="3"/>
  <c r="AL1097" i="3"/>
  <c r="AM996" i="3"/>
  <c r="AL538" i="3"/>
  <c r="AI625" i="3"/>
  <c r="AH396" i="3"/>
  <c r="AH498" i="3"/>
  <c r="AL370" i="3"/>
  <c r="AI405" i="3"/>
  <c r="AL241" i="3"/>
  <c r="AM1086" i="3"/>
  <c r="AL443" i="3"/>
  <c r="AL1018" i="3"/>
  <c r="AH415" i="3"/>
  <c r="AH1109" i="3"/>
  <c r="AH1157" i="3"/>
  <c r="AL1184" i="3"/>
  <c r="AL856" i="3"/>
  <c r="AM1097" i="3"/>
  <c r="AH914" i="3"/>
  <c r="AM538" i="3"/>
  <c r="AH376" i="3"/>
  <c r="AI396" i="3"/>
  <c r="AI84" i="3"/>
  <c r="AM26" i="3"/>
  <c r="AL170" i="3"/>
  <c r="AL267" i="3"/>
  <c r="AM443" i="3"/>
  <c r="AL1187" i="3"/>
  <c r="AL707" i="3"/>
  <c r="AM1069" i="3"/>
  <c r="AH1263" i="3"/>
  <c r="AM1183" i="3"/>
  <c r="AH856" i="3"/>
  <c r="AI1097" i="3"/>
  <c r="AI914" i="3"/>
  <c r="AM376" i="3"/>
  <c r="AI376" i="3"/>
  <c r="AI498" i="3"/>
  <c r="AL237" i="3"/>
  <c r="AH53" i="3"/>
  <c r="AH263" i="3"/>
  <c r="AM29" i="3"/>
  <c r="AM366" i="3"/>
  <c r="AM959" i="3"/>
  <c r="AL144" i="3"/>
  <c r="AM415" i="3"/>
  <c r="AH227" i="3"/>
  <c r="AI703" i="3"/>
  <c r="AL1183" i="3"/>
  <c r="AL1109" i="3"/>
  <c r="AI856" i="3"/>
  <c r="AL959" i="3"/>
  <c r="AH881" i="3"/>
  <c r="AH761" i="3"/>
  <c r="AM241" i="3"/>
  <c r="AI163" i="3"/>
  <c r="AL189" i="3"/>
  <c r="AI41" i="3"/>
  <c r="AM141" i="3"/>
  <c r="AL57" i="3"/>
  <c r="AH1242" i="3"/>
  <c r="AM1109" i="3"/>
  <c r="AH1069" i="3"/>
  <c r="AI971" i="3"/>
  <c r="AI881" i="3"/>
  <c r="AH717" i="3"/>
  <c r="AI465" i="3"/>
  <c r="AL376" i="3"/>
  <c r="AI237" i="3"/>
  <c r="AH176" i="3"/>
  <c r="AM263" i="3"/>
  <c r="AH158" i="3"/>
  <c r="AL648" i="3"/>
  <c r="AI267" i="3"/>
  <c r="AI1135" i="3"/>
  <c r="AH237" i="3"/>
  <c r="AH520" i="3"/>
  <c r="AH245" i="3"/>
  <c r="AM1095" i="3"/>
  <c r="AM1177" i="3"/>
  <c r="AH1187" i="3"/>
  <c r="AL581" i="3"/>
  <c r="AH625" i="3"/>
  <c r="AI520" i="3"/>
  <c r="AL176" i="3"/>
  <c r="AL658" i="3"/>
  <c r="AM57" i="3"/>
  <c r="AH1018" i="3"/>
  <c r="AI63" i="3"/>
  <c r="AI53" i="3"/>
  <c r="AH126" i="3"/>
  <c r="AI25" i="3"/>
  <c r="AM54" i="3"/>
  <c r="AH271" i="3"/>
  <c r="AM285" i="3"/>
  <c r="AM541" i="3"/>
  <c r="AH707" i="3"/>
  <c r="AH985" i="3"/>
  <c r="AM717" i="3"/>
  <c r="AI816" i="3"/>
  <c r="AH723" i="3"/>
  <c r="AM465" i="3"/>
  <c r="AL465" i="3"/>
  <c r="AI443" i="3"/>
  <c r="AL396" i="3"/>
  <c r="AM326" i="3"/>
  <c r="AI134" i="3"/>
  <c r="AM61" i="3"/>
  <c r="AM581" i="3"/>
  <c r="AL575" i="3"/>
  <c r="AL1086" i="3"/>
  <c r="AL1207" i="3"/>
  <c r="AH575" i="3"/>
  <c r="AI1250" i="3"/>
  <c r="AM53" i="3"/>
  <c r="AH1177" i="3"/>
  <c r="AI985" i="3"/>
  <c r="AH984" i="3"/>
  <c r="AM100" i="3"/>
  <c r="AI634" i="3"/>
  <c r="AL816" i="3"/>
  <c r="AM693" i="3"/>
  <c r="AM749" i="3"/>
  <c r="AI74" i="3"/>
  <c r="AM102" i="3"/>
  <c r="AL134" i="3"/>
  <c r="AL63" i="3"/>
  <c r="AL235" i="3"/>
  <c r="AM1018" i="3"/>
  <c r="AL227" i="3"/>
  <c r="AH581" i="3"/>
  <c r="AL84" i="3"/>
  <c r="AH658" i="3"/>
  <c r="AH756" i="3"/>
  <c r="AM707" i="3"/>
  <c r="AI723" i="3"/>
  <c r="AM230" i="3"/>
  <c r="AH326" i="3"/>
  <c r="AI271" i="3"/>
  <c r="AH1208" i="3"/>
  <c r="AI1208" i="3"/>
  <c r="AH703" i="3"/>
  <c r="AM984" i="3"/>
  <c r="AH634" i="3"/>
  <c r="AM816" i="3"/>
  <c r="AM625" i="3"/>
  <c r="AH693" i="3"/>
  <c r="AL723" i="3"/>
  <c r="AH223" i="3"/>
  <c r="AM377" i="3"/>
  <c r="AK229" i="3"/>
  <c r="AM134" i="3"/>
  <c r="AI189" i="3"/>
  <c r="AL271" i="3"/>
  <c r="AM503" i="3"/>
  <c r="AL1095" i="3"/>
  <c r="AK581" i="3"/>
  <c r="AI227" i="3"/>
  <c r="AM189" i="3"/>
  <c r="AM1207" i="3"/>
  <c r="AH1189" i="3"/>
  <c r="AM1208" i="3"/>
  <c r="AI761" i="3"/>
  <c r="AH996" i="3"/>
  <c r="AM723" i="3"/>
  <c r="AH501" i="3"/>
  <c r="AM223" i="3"/>
  <c r="AM370" i="3"/>
  <c r="AL229" i="3"/>
  <c r="AM107" i="3"/>
  <c r="AM144" i="3"/>
  <c r="AH189" i="3"/>
  <c r="AH170" i="3"/>
  <c r="AL1177" i="3"/>
  <c r="AK227" i="3"/>
  <c r="AH1207" i="3"/>
  <c r="AI1207" i="3"/>
  <c r="AI1189" i="3"/>
  <c r="AH1086" i="3"/>
  <c r="AM870" i="3"/>
  <c r="AM761" i="3"/>
  <c r="AH1097" i="3"/>
  <c r="AM658" i="3"/>
  <c r="AI996" i="3"/>
  <c r="AM634" i="3"/>
  <c r="AL625" i="3"/>
  <c r="AI501" i="3"/>
  <c r="AL498" i="3"/>
  <c r="AL223" i="3"/>
  <c r="AH370" i="3"/>
  <c r="AM461" i="3"/>
  <c r="AM229" i="3"/>
  <c r="AH134" i="3"/>
  <c r="AH63" i="3"/>
  <c r="AI170" i="3"/>
  <c r="AL405" i="3"/>
  <c r="AM18" i="3"/>
  <c r="AM574" i="3"/>
  <c r="AM227" i="3"/>
  <c r="AM97" i="3"/>
  <c r="AH1135" i="3"/>
  <c r="AH870" i="3"/>
  <c r="AI984" i="3"/>
  <c r="AH749" i="3"/>
  <c r="AL74" i="3"/>
  <c r="AL245" i="3"/>
  <c r="AL1042" i="3"/>
  <c r="AI1086" i="3"/>
  <c r="AI1069" i="3"/>
  <c r="AL1069" i="3"/>
  <c r="AI870" i="3"/>
  <c r="AL996" i="3"/>
  <c r="AI538" i="3"/>
  <c r="AL501" i="3"/>
  <c r="AM498" i="3"/>
  <c r="AI370" i="3"/>
  <c r="AK461" i="3"/>
  <c r="AH229" i="3"/>
  <c r="AM126" i="3"/>
  <c r="AM405" i="3"/>
  <c r="AM41" i="3"/>
  <c r="AN1135" i="3"/>
  <c r="AO816" i="3"/>
  <c r="AO124" i="3"/>
  <c r="AH541" i="3"/>
  <c r="AO57" i="3"/>
  <c r="AH465" i="3"/>
  <c r="AO996" i="3"/>
  <c r="AO520" i="3"/>
  <c r="AN501" i="3"/>
  <c r="AO465" i="3"/>
  <c r="AO501" i="3"/>
  <c r="AH267" i="3"/>
  <c r="AN856" i="3"/>
  <c r="AN816" i="3"/>
  <c r="AO370" i="3"/>
  <c r="AO144" i="3"/>
  <c r="AO74" i="3"/>
  <c r="AJ541" i="3"/>
  <c r="AH538" i="3"/>
  <c r="AN230" i="3"/>
  <c r="AO717" i="3"/>
  <c r="AO539" i="3"/>
  <c r="AO189" i="3"/>
  <c r="AO1184" i="3"/>
  <c r="AO959" i="3"/>
  <c r="AJ53" i="3"/>
  <c r="AJ176" i="3"/>
  <c r="AJ41" i="3"/>
  <c r="AM63" i="3"/>
  <c r="AJ870" i="3"/>
  <c r="AL415" i="3"/>
  <c r="AM284" i="3"/>
  <c r="AL756" i="3"/>
  <c r="AH648" i="3"/>
  <c r="AM74" i="3"/>
  <c r="AM237" i="3"/>
  <c r="AH241" i="3"/>
  <c r="AN959" i="3"/>
  <c r="AO971" i="3"/>
  <c r="AN996" i="3"/>
  <c r="AH443" i="3"/>
  <c r="AO498" i="3"/>
  <c r="AO396" i="3"/>
  <c r="AJ370" i="3"/>
  <c r="AO63" i="3"/>
  <c r="AH74" i="3"/>
  <c r="AJ189" i="3"/>
  <c r="AM271" i="3"/>
  <c r="AJ1184" i="3"/>
  <c r="AM1042" i="3"/>
  <c r="AL284" i="3"/>
  <c r="AM575" i="3"/>
  <c r="AM25" i="3"/>
  <c r="AH1095" i="3"/>
  <c r="AJ1177" i="3"/>
  <c r="AH57" i="3"/>
  <c r="AO84" i="3"/>
  <c r="AN881" i="3"/>
  <c r="AO271" i="3"/>
  <c r="AO1042" i="3"/>
  <c r="AO1208" i="3"/>
  <c r="AO881" i="3"/>
  <c r="AO625" i="3"/>
  <c r="AO723" i="3"/>
  <c r="AO100" i="3"/>
  <c r="AO176" i="3"/>
  <c r="AO285" i="3"/>
  <c r="AO1207" i="3"/>
  <c r="AM267" i="3"/>
  <c r="AN1069" i="3"/>
  <c r="AJ575" i="3"/>
  <c r="AJ581" i="3"/>
  <c r="AO1183" i="3"/>
  <c r="AO461" i="3"/>
  <c r="AO756" i="3"/>
  <c r="AJ267" i="3"/>
  <c r="AO267" i="3"/>
  <c r="AO1177" i="3"/>
  <c r="AO1242" i="3"/>
  <c r="AN1183" i="3"/>
  <c r="AO707" i="3"/>
  <c r="AH163" i="3"/>
  <c r="AJ229" i="3"/>
  <c r="AM157" i="3"/>
  <c r="AM170" i="3"/>
  <c r="AM648" i="3"/>
  <c r="AM1184" i="3"/>
  <c r="AJ241" i="3"/>
  <c r="AH1042" i="3"/>
  <c r="AO223" i="3"/>
  <c r="AK241" i="3"/>
  <c r="AO1109" i="3"/>
  <c r="AO443" i="3"/>
  <c r="AO1187" i="3"/>
  <c r="AN1187" i="3"/>
  <c r="AO1069" i="3"/>
  <c r="AO914" i="3"/>
  <c r="AM397" i="3"/>
  <c r="AM501" i="3"/>
  <c r="AM296" i="3"/>
  <c r="AJ237" i="3"/>
  <c r="AO229" i="3"/>
  <c r="AH405" i="3"/>
  <c r="AM1250" i="3"/>
  <c r="AJ1095" i="3"/>
  <c r="AM176" i="3"/>
  <c r="AL230" i="3"/>
  <c r="AM396" i="3"/>
  <c r="AO146" i="3"/>
  <c r="AO1097" i="3"/>
  <c r="AN1097" i="3"/>
  <c r="AO648" i="3"/>
  <c r="AO227" i="3"/>
  <c r="AL97" i="3"/>
  <c r="AO405" i="3"/>
  <c r="AL53" i="3"/>
  <c r="AK648" i="3"/>
  <c r="AL163" i="3"/>
  <c r="AO415" i="3"/>
  <c r="AO170" i="3"/>
  <c r="AO134" i="3"/>
  <c r="AO97" i="3"/>
  <c r="AJ648" i="3"/>
  <c r="AN717" i="3"/>
  <c r="AN723" i="3"/>
  <c r="AN170" i="3"/>
  <c r="AN134" i="3"/>
  <c r="AI1172" i="3"/>
  <c r="AN144" i="3"/>
  <c r="AJ144" i="3"/>
  <c r="AN443" i="3"/>
  <c r="AI1095" i="3"/>
  <c r="AI97" i="3"/>
  <c r="AN520" i="3"/>
  <c r="AN498" i="3"/>
  <c r="AI707" i="3"/>
  <c r="AK74" i="3"/>
  <c r="AN227" i="3"/>
  <c r="AN541" i="3"/>
  <c r="AH1184" i="3"/>
  <c r="AN1042" i="3"/>
  <c r="AN284" i="3"/>
  <c r="AN658" i="3"/>
  <c r="AN229" i="3"/>
  <c r="AN97" i="3"/>
  <c r="AN84" i="3"/>
  <c r="AN53" i="3"/>
  <c r="AN1095" i="3"/>
  <c r="AN634" i="3"/>
  <c r="AN25" i="3"/>
  <c r="AN271" i="3"/>
  <c r="AI18" i="3"/>
  <c r="AN707" i="3"/>
  <c r="AJ63" i="3"/>
  <c r="AN223" i="3"/>
  <c r="AI1018" i="3"/>
  <c r="AK97" i="3"/>
  <c r="AN648" i="3"/>
  <c r="AN63" i="3"/>
  <c r="AI57" i="3"/>
  <c r="AN1018" i="3"/>
  <c r="AN237" i="3"/>
  <c r="AN370" i="3"/>
  <c r="AK230" i="3"/>
  <c r="AN415" i="3"/>
  <c r="AH1183" i="3"/>
  <c r="AK57" i="3"/>
  <c r="AH284" i="3"/>
  <c r="AI245" i="3"/>
  <c r="AN405" i="3"/>
  <c r="AN1109" i="3"/>
  <c r="AN41" i="3"/>
  <c r="AN57" i="3"/>
  <c r="AN1086" i="3"/>
  <c r="AN1207" i="3"/>
  <c r="AN581" i="3"/>
  <c r="AI241" i="3"/>
  <c r="AH144" i="3"/>
  <c r="AH235" i="3"/>
  <c r="AN235" i="3"/>
  <c r="AN267" i="3"/>
  <c r="AK1095" i="3"/>
  <c r="AK267" i="3"/>
  <c r="AK144" i="3"/>
  <c r="AN1177" i="3"/>
  <c r="AN870" i="3"/>
  <c r="AN914" i="3"/>
  <c r="AN396" i="3"/>
  <c r="AN245" i="3"/>
  <c r="AH230" i="3"/>
  <c r="AH84" i="3"/>
  <c r="AO1018" i="3"/>
  <c r="AO230" i="3"/>
  <c r="AM379" i="3"/>
  <c r="AL342" i="3"/>
  <c r="AL208" i="3"/>
  <c r="AL98" i="3"/>
  <c r="AL950" i="3"/>
  <c r="AL967" i="3"/>
  <c r="AN927" i="3"/>
  <c r="AM922" i="3"/>
  <c r="AN886" i="3"/>
  <c r="AL594" i="3"/>
  <c r="AL420" i="3"/>
  <c r="AL728" i="3"/>
  <c r="AM477" i="3"/>
  <c r="AM360" i="3"/>
  <c r="AM342" i="3"/>
  <c r="AM888" i="3"/>
  <c r="AJ950" i="3"/>
  <c r="AJ730" i="3"/>
  <c r="AK614" i="3"/>
  <c r="AL1092" i="3"/>
  <c r="AN922" i="3"/>
  <c r="AN615" i="3"/>
  <c r="AM594" i="3"/>
  <c r="AN728" i="3"/>
  <c r="AN342" i="3"/>
  <c r="AN1256" i="3"/>
  <c r="AM829" i="3"/>
  <c r="AL1004" i="3"/>
  <c r="AM1092" i="3"/>
  <c r="AM618" i="3"/>
  <c r="AM420" i="3"/>
  <c r="AN594" i="3"/>
  <c r="AN27" i="3"/>
  <c r="AL132" i="3"/>
  <c r="AJ1098" i="3"/>
  <c r="AJ1252" i="3"/>
  <c r="AL739" i="3"/>
  <c r="AJ530" i="3"/>
  <c r="AL733" i="3"/>
  <c r="AM728" i="3"/>
  <c r="AL133" i="3"/>
  <c r="AM177" i="3"/>
  <c r="AL561" i="3"/>
  <c r="AN379" i="3"/>
  <c r="AL1256" i="3"/>
  <c r="AL177" i="3"/>
  <c r="AN283" i="3"/>
  <c r="AN1202" i="3"/>
  <c r="AM733" i="3"/>
  <c r="AL265" i="3"/>
  <c r="AM27" i="3"/>
  <c r="AM133" i="3"/>
  <c r="AN177" i="3"/>
  <c r="AM1064" i="3"/>
  <c r="AM967" i="3"/>
  <c r="AL1072" i="3"/>
  <c r="AL1202" i="3"/>
  <c r="AL283" i="3"/>
  <c r="AN930" i="3"/>
  <c r="AN829" i="3"/>
  <c r="AL938" i="3"/>
  <c r="AL615" i="3"/>
  <c r="AN733" i="3"/>
  <c r="AM265" i="3"/>
  <c r="AM1234" i="3"/>
  <c r="AM1202" i="3"/>
  <c r="AL480" i="3"/>
  <c r="AN477" i="3"/>
  <c r="AM615" i="3"/>
  <c r="AM689" i="3"/>
  <c r="AL586" i="3"/>
  <c r="AN480" i="3"/>
  <c r="AN351" i="3"/>
  <c r="AN265" i="3"/>
  <c r="AL351" i="3"/>
  <c r="AL360" i="3"/>
  <c r="AN132" i="3"/>
  <c r="AM1252" i="3"/>
  <c r="AM1229" i="3"/>
  <c r="AL277" i="3"/>
  <c r="AL730" i="3"/>
  <c r="AN739" i="3"/>
  <c r="AL1266" i="3"/>
  <c r="AM938" i="3"/>
  <c r="AM729" i="3"/>
  <c r="AL1252" i="3"/>
  <c r="AL1259" i="3"/>
  <c r="AN1239" i="3"/>
  <c r="AN938" i="3"/>
  <c r="AL729" i="3"/>
  <c r="AL614" i="3"/>
  <c r="AM586" i="3"/>
  <c r="AM483" i="3"/>
  <c r="AL477" i="3"/>
  <c r="AL543" i="3"/>
  <c r="AM351" i="3"/>
  <c r="AN360" i="3"/>
  <c r="AM987" i="3"/>
  <c r="AN606" i="3"/>
  <c r="AM847" i="3"/>
  <c r="AN1259" i="3"/>
  <c r="AM543" i="3"/>
  <c r="AN133" i="3"/>
  <c r="AM1266" i="3"/>
  <c r="AL483" i="3"/>
  <c r="AL860" i="3"/>
  <c r="AN730" i="3"/>
  <c r="AN418" i="3"/>
  <c r="AL618" i="3"/>
  <c r="AL1264" i="3"/>
  <c r="AM1259" i="3"/>
  <c r="AL1226" i="3"/>
  <c r="AN1004" i="3"/>
  <c r="AL900" i="3"/>
  <c r="AN729" i="3"/>
  <c r="AM614" i="3"/>
  <c r="AN586" i="3"/>
  <c r="AL104" i="3"/>
  <c r="AM900" i="3"/>
  <c r="AJ714" i="3"/>
  <c r="AL689" i="3"/>
  <c r="AN614" i="3"/>
  <c r="AJ457" i="3"/>
  <c r="AN543" i="3"/>
  <c r="AM418" i="3"/>
  <c r="AJ351" i="3"/>
  <c r="AN1125" i="3"/>
  <c r="AM927" i="3"/>
  <c r="AN987" i="3"/>
  <c r="AN1072" i="3"/>
  <c r="AL606" i="3"/>
  <c r="AL829" i="3"/>
  <c r="AN967" i="3"/>
  <c r="AJ594" i="3"/>
  <c r="AJ845" i="3"/>
  <c r="AN457" i="3"/>
  <c r="AN1092" i="3"/>
  <c r="AL1064" i="3"/>
  <c r="AN900" i="3"/>
  <c r="AL714" i="3"/>
  <c r="AN689" i="3"/>
  <c r="AN104" i="3"/>
  <c r="AJ1226" i="3"/>
  <c r="AM860" i="3"/>
  <c r="AJ967" i="3"/>
  <c r="AN1098" i="3"/>
  <c r="AN714" i="3"/>
  <c r="AL457" i="3"/>
  <c r="AM266" i="3"/>
  <c r="AM104" i="3"/>
  <c r="AM1239" i="3"/>
  <c r="AM1226" i="3"/>
  <c r="AN1266" i="3"/>
  <c r="AM1256" i="3"/>
  <c r="AN1252" i="3"/>
  <c r="AJ829" i="3"/>
  <c r="AL987" i="3"/>
  <c r="AL1125" i="3"/>
  <c r="AL930" i="3"/>
  <c r="AJ480" i="3"/>
  <c r="AM457" i="3"/>
  <c r="AL418" i="3"/>
  <c r="AJ379" i="3"/>
  <c r="AM132" i="3"/>
  <c r="AN266" i="3"/>
  <c r="AL1234" i="3"/>
  <c r="AN1234" i="3"/>
  <c r="AJ1266" i="3"/>
  <c r="AM950" i="3"/>
  <c r="AL845" i="3"/>
  <c r="AL888" i="3"/>
  <c r="AL1239" i="3"/>
  <c r="AL922" i="3"/>
  <c r="AN860" i="3"/>
  <c r="AM50" i="3"/>
  <c r="AL461" i="3"/>
  <c r="AL59" i="3"/>
  <c r="AL54" i="3"/>
  <c r="AL326" i="3"/>
  <c r="AL236" i="3"/>
  <c r="AL64" i="3"/>
  <c r="AL574" i="3"/>
  <c r="AL135" i="3"/>
  <c r="AL1208" i="3"/>
  <c r="AL157" i="3"/>
  <c r="AL256" i="3"/>
  <c r="AN1208" i="3"/>
  <c r="AL45" i="3"/>
  <c r="AL1189" i="3"/>
  <c r="AL749" i="3"/>
  <c r="AL61" i="3"/>
  <c r="AL761" i="3"/>
  <c r="AL215" i="3"/>
  <c r="AL107" i="3"/>
  <c r="AM1172" i="3"/>
  <c r="AL503" i="3"/>
  <c r="AM315" i="3"/>
  <c r="AO1172" i="3"/>
  <c r="AL377" i="3"/>
  <c r="AL88" i="3"/>
  <c r="AO89" i="3"/>
  <c r="AL158" i="3"/>
  <c r="AM1189" i="3"/>
  <c r="AL703" i="3"/>
  <c r="AN1157" i="3"/>
  <c r="AN1189" i="3"/>
  <c r="AN461" i="3"/>
  <c r="AN102" i="3"/>
  <c r="AN158" i="3"/>
  <c r="AN88" i="3"/>
  <c r="AN397" i="3"/>
  <c r="AN107" i="3"/>
  <c r="AN54" i="3"/>
  <c r="AO215" i="3"/>
  <c r="AN157" i="3"/>
  <c r="AN761" i="3"/>
  <c r="AI749" i="3"/>
  <c r="AN26" i="3"/>
  <c r="AN124" i="3"/>
  <c r="AN285" i="3"/>
  <c r="AN1172" i="3"/>
  <c r="AN685" i="3"/>
  <c r="AN135" i="3"/>
  <c r="AN315" i="3"/>
  <c r="AN256" i="3"/>
  <c r="AN749" i="3"/>
  <c r="AN377" i="3"/>
  <c r="AN326" i="3"/>
  <c r="AN296" i="3"/>
  <c r="AN61" i="3"/>
  <c r="AN984" i="3"/>
  <c r="AN539" i="3"/>
  <c r="AM685" i="3"/>
  <c r="AN971" i="3"/>
  <c r="AN366" i="3"/>
  <c r="AN1250" i="3"/>
  <c r="AN1263" i="3"/>
  <c r="AN1242" i="3"/>
  <c r="AN126" i="3"/>
  <c r="AK45" i="3"/>
  <c r="AN64" i="3"/>
  <c r="AN100" i="3"/>
  <c r="AO61" i="3"/>
  <c r="AN263" i="3"/>
  <c r="AL66" i="3"/>
  <c r="AN211" i="3"/>
  <c r="AN66" i="3"/>
  <c r="AO141" i="3"/>
  <c r="AN847" i="3"/>
  <c r="AN222" i="3"/>
  <c r="AN743" i="3"/>
  <c r="AN417" i="3"/>
  <c r="AO1125" i="3"/>
  <c r="AO886" i="3"/>
  <c r="AO483" i="3"/>
  <c r="AO1072" i="3"/>
  <c r="AI477" i="3"/>
  <c r="AO342" i="3"/>
  <c r="AO1266" i="3"/>
  <c r="AM606" i="3"/>
  <c r="AO277" i="3"/>
  <c r="AI618" i="3"/>
  <c r="AO1098" i="3"/>
  <c r="AO480" i="3"/>
  <c r="AO987" i="3"/>
  <c r="AO1256" i="3"/>
  <c r="AO1004" i="3"/>
  <c r="AM561" i="3"/>
  <c r="AO351" i="3"/>
  <c r="AO360" i="3"/>
  <c r="AO1264" i="3"/>
  <c r="AM208" i="3"/>
  <c r="AN208" i="3"/>
  <c r="AO594" i="3"/>
  <c r="AO283" i="3"/>
  <c r="AO900" i="3"/>
  <c r="AO615" i="3"/>
  <c r="AO1252" i="3"/>
  <c r="AN1264" i="3"/>
  <c r="AO379" i="3"/>
  <c r="AO614" i="3"/>
  <c r="AO1259" i="3"/>
  <c r="AO457" i="3"/>
  <c r="AM1098" i="3"/>
  <c r="AM845" i="3"/>
  <c r="AO1234" i="3"/>
  <c r="AO739" i="3"/>
  <c r="AO1226" i="3"/>
  <c r="AO1202" i="3"/>
  <c r="AO729" i="3"/>
  <c r="AO543" i="3"/>
  <c r="AO177" i="3"/>
  <c r="AO1229" i="3"/>
  <c r="AO208" i="3"/>
  <c r="AO728" i="3"/>
  <c r="AO266" i="3"/>
  <c r="AM98" i="3"/>
  <c r="AO733" i="3"/>
  <c r="AO418" i="3"/>
  <c r="AO132" i="3"/>
  <c r="AO930" i="3"/>
  <c r="AM1004" i="3"/>
  <c r="AM739" i="3"/>
  <c r="AO420" i="3"/>
  <c r="AO477" i="3"/>
  <c r="AO265" i="3"/>
  <c r="AM1125" i="3"/>
  <c r="AN274" i="3"/>
  <c r="AN801" i="3"/>
  <c r="AM99" i="3"/>
  <c r="AM417" i="3"/>
  <c r="AH801" i="3"/>
  <c r="AH50" i="3"/>
  <c r="AH847" i="3"/>
  <c r="AO417" i="3"/>
  <c r="AL801" i="3"/>
  <c r="AO222" i="3"/>
  <c r="AL743" i="3"/>
  <c r="AO274" i="3"/>
  <c r="AO164" i="3"/>
  <c r="AI417" i="3"/>
  <c r="AO801" i="3"/>
  <c r="AL164" i="3"/>
  <c r="AN164" i="3"/>
  <c r="AM743" i="3"/>
  <c r="AK801" i="3"/>
  <c r="AL417" i="3"/>
  <c r="AK847" i="3"/>
  <c r="AJ461" i="3"/>
  <c r="AJ366" i="3"/>
  <c r="AJ1157" i="3"/>
  <c r="AJ743" i="3"/>
  <c r="AJ102" i="3"/>
  <c r="AJ64" i="3"/>
  <c r="AJ54" i="3"/>
  <c r="AM1157" i="3"/>
  <c r="AI1242" i="3"/>
  <c r="AL984" i="3"/>
  <c r="AO685" i="3"/>
  <c r="AJ417" i="3"/>
  <c r="AO326" i="3"/>
  <c r="AJ157" i="3"/>
  <c r="AJ50" i="3"/>
  <c r="AO54" i="3"/>
  <c r="AO366" i="3"/>
  <c r="AM222" i="3"/>
  <c r="AL146" i="3"/>
  <c r="AM59" i="3"/>
  <c r="AJ126" i="3"/>
  <c r="AJ100" i="3"/>
  <c r="AJ326" i="3"/>
  <c r="AM124" i="3"/>
  <c r="AO441" i="3"/>
  <c r="AO703" i="3"/>
  <c r="AJ195" i="3"/>
  <c r="AI847" i="3"/>
  <c r="AI285" i="3"/>
  <c r="AM539" i="3"/>
  <c r="AM64" i="3"/>
  <c r="AL366" i="3"/>
  <c r="AM164" i="3"/>
  <c r="AJ222" i="3"/>
  <c r="AM158" i="3"/>
  <c r="AO1250" i="3"/>
  <c r="AL89" i="3"/>
  <c r="AL441" i="3"/>
  <c r="AJ761" i="3"/>
  <c r="AJ539" i="3"/>
  <c r="AJ164" i="3"/>
  <c r="AJ984" i="3"/>
  <c r="AJ285" i="3"/>
  <c r="AJ88" i="3"/>
  <c r="AI1263" i="3"/>
  <c r="AL847" i="3"/>
  <c r="AO984" i="3"/>
  <c r="AI801" i="3"/>
  <c r="AL539" i="3"/>
  <c r="AK164" i="3"/>
  <c r="AL50" i="3"/>
  <c r="AM45" i="3"/>
  <c r="AJ158" i="3"/>
  <c r="AO158" i="3"/>
  <c r="AM1263" i="3"/>
  <c r="AL1242" i="3"/>
  <c r="AL102" i="3"/>
  <c r="AM89" i="3"/>
  <c r="AL99" i="3"/>
  <c r="AO236" i="3"/>
  <c r="AJ315" i="3"/>
  <c r="AJ99" i="3"/>
  <c r="AJ749" i="3"/>
  <c r="AJ801" i="3"/>
  <c r="AJ59" i="3"/>
  <c r="AJ141" i="3"/>
  <c r="AJ971" i="3"/>
  <c r="AJ61" i="3"/>
  <c r="AJ26" i="3"/>
  <c r="AL222" i="3"/>
  <c r="AL126" i="3"/>
  <c r="AL141" i="3"/>
  <c r="AM135" i="3"/>
  <c r="AL1250" i="3"/>
  <c r="AL1263" i="3"/>
  <c r="AJ1263" i="3"/>
  <c r="AM195" i="3"/>
  <c r="AM215" i="3"/>
  <c r="AL285" i="3"/>
  <c r="AO574" i="3"/>
  <c r="AJ296" i="3"/>
  <c r="AL985" i="3"/>
  <c r="AK971" i="3"/>
  <c r="AJ693" i="3"/>
  <c r="AO749" i="3"/>
  <c r="AI397" i="3"/>
  <c r="AO296" i="3"/>
  <c r="AO102" i="3"/>
  <c r="AO263" i="3"/>
  <c r="AJ107" i="3"/>
  <c r="AJ256" i="3"/>
  <c r="AJ274" i="3"/>
  <c r="AJ124" i="3"/>
  <c r="AO135" i="3"/>
  <c r="AM256" i="3"/>
  <c r="AL1157" i="3"/>
  <c r="AJ441" i="3"/>
  <c r="AJ1242" i="3"/>
  <c r="AJ985" i="3"/>
  <c r="AM985" i="3"/>
  <c r="AL971" i="3"/>
  <c r="AL693" i="3"/>
  <c r="AK397" i="3"/>
  <c r="AK296" i="3"/>
  <c r="AJ263" i="3"/>
  <c r="AJ135" i="3"/>
  <c r="AO126" i="3"/>
  <c r="AL274" i="3"/>
  <c r="AO1263" i="3"/>
  <c r="AL211" i="3"/>
  <c r="AL315" i="3"/>
  <c r="AL195" i="3"/>
  <c r="AO743" i="3"/>
  <c r="AJ45" i="3"/>
  <c r="AJ1208" i="3"/>
  <c r="AJ1250" i="3"/>
  <c r="AK1242" i="3"/>
  <c r="AO985" i="3"/>
  <c r="AL685" i="3"/>
  <c r="AK749" i="3"/>
  <c r="AK417" i="3"/>
  <c r="AL397" i="3"/>
  <c r="AL296" i="3"/>
  <c r="AL100" i="3"/>
  <c r="AL263" i="3"/>
  <c r="AL124" i="3"/>
  <c r="AM801" i="3"/>
  <c r="AM88" i="3"/>
  <c r="AM211" i="3"/>
  <c r="AJ503" i="3"/>
  <c r="AH891" i="3"/>
  <c r="AI706" i="3"/>
  <c r="AI195" i="3"/>
  <c r="AI1185" i="3"/>
  <c r="AI265" i="3"/>
  <c r="AH242" i="3"/>
  <c r="AI560" i="3"/>
  <c r="AH365" i="3"/>
  <c r="AH539" i="3"/>
  <c r="AH360" i="3"/>
  <c r="AI85" i="3"/>
  <c r="AI37" i="3"/>
  <c r="AK100" i="3"/>
  <c r="AK1100" i="3"/>
  <c r="AK1250" i="3"/>
  <c r="AH594" i="3"/>
  <c r="AH266" i="3"/>
  <c r="AH529" i="3"/>
  <c r="AI242" i="3"/>
  <c r="AH296" i="3"/>
  <c r="AI56" i="3"/>
  <c r="AH68" i="3"/>
  <c r="AK37" i="3"/>
  <c r="AH61" i="3"/>
  <c r="AK232" i="3"/>
  <c r="AI120" i="3"/>
  <c r="AI26" i="3"/>
  <c r="AI1157" i="3"/>
  <c r="AH1110" i="3"/>
  <c r="AH1132" i="3"/>
  <c r="AI691" i="3"/>
  <c r="AH362" i="3"/>
  <c r="AH561" i="3"/>
  <c r="AI502" i="3"/>
  <c r="AH569" i="3"/>
  <c r="AH1229" i="3"/>
  <c r="AK307" i="3"/>
  <c r="AH175" i="3"/>
  <c r="AI296" i="3"/>
  <c r="AI103" i="3"/>
  <c r="AI50" i="3"/>
  <c r="AK402" i="3"/>
  <c r="AH86" i="3"/>
  <c r="AH26" i="3"/>
  <c r="AK934" i="3"/>
  <c r="AK254" i="3"/>
  <c r="AI168" i="3"/>
  <c r="AK517" i="3"/>
  <c r="AH714" i="3"/>
  <c r="AH461" i="3"/>
  <c r="AH100" i="3"/>
  <c r="AH38" i="3"/>
  <c r="AI69" i="3"/>
  <c r="AI366" i="3"/>
  <c r="AK938" i="3"/>
  <c r="AI950" i="3"/>
  <c r="AK484" i="3"/>
  <c r="AI1194" i="3"/>
  <c r="AI609" i="3"/>
  <c r="AI647" i="3"/>
  <c r="AI486" i="3"/>
  <c r="AI327" i="3"/>
  <c r="AI277" i="3"/>
  <c r="AH358" i="3"/>
  <c r="AH543" i="3"/>
  <c r="AI461" i="3"/>
  <c r="AH59" i="3"/>
  <c r="AH364" i="3"/>
  <c r="AH99" i="3"/>
  <c r="AK64" i="3"/>
  <c r="AK34" i="3"/>
  <c r="AI61" i="3"/>
  <c r="AI1011" i="3"/>
  <c r="AH950" i="3"/>
  <c r="AI891" i="3"/>
  <c r="AK218" i="3"/>
  <c r="AI66" i="3"/>
  <c r="AI292" i="3"/>
  <c r="AH1134" i="3"/>
  <c r="AH177" i="3"/>
  <c r="AI543" i="3"/>
  <c r="AH388" i="3"/>
  <c r="AI294" i="3"/>
  <c r="AI340" i="3"/>
  <c r="AI33" i="3"/>
  <c r="AI99" i="3"/>
  <c r="AH33" i="3"/>
  <c r="AK78" i="3"/>
  <c r="AI126" i="3"/>
  <c r="AH76" i="3"/>
  <c r="AK61" i="3"/>
  <c r="AK366" i="3"/>
  <c r="AI967" i="3"/>
  <c r="AH861" i="3"/>
  <c r="AH767" i="3"/>
  <c r="AH484" i="3"/>
  <c r="AH550" i="3"/>
  <c r="AH916" i="3"/>
  <c r="AH173" i="3"/>
  <c r="AH586" i="3"/>
  <c r="AH719" i="3"/>
  <c r="AH733" i="3"/>
  <c r="AI630" i="3"/>
  <c r="AK327" i="3"/>
  <c r="AK358" i="3"/>
  <c r="AI388" i="3"/>
  <c r="AH340" i="3"/>
  <c r="AH264" i="3"/>
  <c r="AI64" i="3"/>
  <c r="AI45" i="3"/>
  <c r="AI383" i="3"/>
  <c r="AK126" i="3"/>
  <c r="AH104" i="3"/>
  <c r="AK781" i="3"/>
  <c r="AK943" i="3"/>
  <c r="AI254" i="3"/>
  <c r="AK1126" i="3"/>
  <c r="AH563" i="3"/>
  <c r="AI685" i="3"/>
  <c r="AH375" i="3"/>
  <c r="AH705" i="3"/>
  <c r="AK543" i="3"/>
  <c r="AH377" i="3"/>
  <c r="AH311" i="3"/>
  <c r="AH431" i="3"/>
  <c r="AK264" i="3"/>
  <c r="AI54" i="3"/>
  <c r="AH136" i="3"/>
  <c r="AI364" i="3"/>
  <c r="AI274" i="3"/>
  <c r="AH120" i="3"/>
  <c r="AH890" i="3"/>
  <c r="AH699" i="3"/>
  <c r="AI420" i="3"/>
  <c r="AH1176" i="3"/>
  <c r="AH239" i="3"/>
  <c r="AH32" i="3"/>
  <c r="AH582" i="3"/>
  <c r="AH691" i="3"/>
  <c r="AH233" i="3"/>
  <c r="AH103" i="3"/>
  <c r="AH618" i="3"/>
  <c r="AH316" i="3"/>
  <c r="AH1219" i="3"/>
  <c r="AH743" i="3"/>
  <c r="AH994" i="3"/>
  <c r="AH503" i="3"/>
  <c r="AH292" i="3"/>
  <c r="AH739" i="3"/>
  <c r="AH688" i="3"/>
  <c r="AH949" i="3"/>
  <c r="AH115" i="3"/>
  <c r="AH366" i="3"/>
  <c r="AH141" i="3"/>
  <c r="AH269" i="3"/>
  <c r="AH149" i="3"/>
  <c r="AH157" i="3"/>
  <c r="AH215" i="3"/>
  <c r="AH394" i="3"/>
  <c r="AH509" i="3"/>
  <c r="AH535" i="3"/>
  <c r="AH480" i="3"/>
  <c r="AH630" i="3"/>
  <c r="AH250" i="3"/>
  <c r="AH546" i="3"/>
  <c r="AH839" i="3"/>
  <c r="AH747" i="3"/>
  <c r="AH829" i="3"/>
  <c r="AH1125" i="3"/>
  <c r="AH135" i="3"/>
  <c r="AH402" i="3"/>
  <c r="AH78" i="3"/>
  <c r="AH254" i="3"/>
  <c r="AH432" i="3"/>
  <c r="AH277" i="3"/>
  <c r="AH442" i="3"/>
  <c r="AH274" i="3"/>
  <c r="AH685" i="3"/>
  <c r="AH1174" i="3"/>
  <c r="AH283" i="3"/>
  <c r="AH380" i="3"/>
  <c r="AH348" i="3"/>
  <c r="AH656" i="3"/>
  <c r="AH1011" i="3"/>
  <c r="AH350" i="3"/>
  <c r="AH321" i="3"/>
  <c r="AH411" i="3"/>
  <c r="AH56" i="3"/>
  <c r="AH88" i="3"/>
  <c r="AH302" i="3"/>
  <c r="AH248" i="3"/>
  <c r="AH502" i="3"/>
  <c r="AH280" i="3"/>
  <c r="AH1172" i="3"/>
  <c r="AH168" i="3"/>
  <c r="AH66" i="3"/>
  <c r="AH315" i="3"/>
  <c r="AH785" i="3"/>
  <c r="AH735" i="3"/>
  <c r="AH54" i="3"/>
  <c r="AH811" i="3"/>
  <c r="AH1202" i="3"/>
  <c r="AH768" i="3"/>
  <c r="AH162" i="3"/>
  <c r="AH1165" i="3"/>
  <c r="AH793" i="3"/>
  <c r="AH590" i="3"/>
  <c r="AH731" i="3"/>
  <c r="AH1194" i="3"/>
  <c r="AH809" i="3"/>
  <c r="AH1092" i="3"/>
  <c r="AH1181" i="3"/>
  <c r="AH1266" i="3"/>
  <c r="AH51" i="3"/>
  <c r="AH132" i="3"/>
  <c r="AH258" i="3"/>
  <c r="AH378" i="3"/>
  <c r="AH92" i="3"/>
  <c r="AH98" i="3"/>
  <c r="AH596" i="3"/>
  <c r="AH307" i="3"/>
  <c r="AH323" i="3"/>
  <c r="AH1274" i="3"/>
  <c r="AH875" i="3"/>
  <c r="AH146" i="3"/>
  <c r="AH706" i="3"/>
  <c r="AH1090" i="3"/>
  <c r="AH909" i="3"/>
  <c r="AH987" i="3"/>
  <c r="AH927" i="3"/>
  <c r="AH107" i="3"/>
  <c r="AH64" i="3"/>
  <c r="AH232" i="3"/>
  <c r="AH603" i="3"/>
  <c r="AH304" i="3"/>
  <c r="AH646" i="3"/>
  <c r="AH89" i="3"/>
  <c r="AH558" i="3"/>
  <c r="AH138" i="3"/>
  <c r="AH327" i="3"/>
  <c r="AH1203" i="3"/>
  <c r="AH1217" i="3"/>
  <c r="AH943" i="3"/>
  <c r="AH448" i="3"/>
  <c r="AH697" i="3"/>
  <c r="AH1218" i="3"/>
  <c r="AH885" i="3"/>
  <c r="AH951" i="3"/>
  <c r="AH124" i="3"/>
  <c r="AH256" i="3"/>
  <c r="AH676" i="3"/>
  <c r="AH900" i="3"/>
  <c r="AH840" i="3"/>
  <c r="AH730" i="3"/>
  <c r="AH971" i="3"/>
  <c r="AH701" i="3"/>
  <c r="AH860" i="3"/>
  <c r="AH178" i="3"/>
  <c r="AH530" i="3"/>
  <c r="AH628" i="3"/>
  <c r="AH841" i="3"/>
  <c r="AH1153" i="3"/>
  <c r="AH883" i="3"/>
  <c r="AH827" i="3"/>
  <c r="AH1226" i="3"/>
  <c r="AH570" i="3"/>
  <c r="AH643" i="3"/>
  <c r="AH423" i="3"/>
  <c r="AH967" i="3"/>
  <c r="AH174" i="3"/>
  <c r="AH211" i="3"/>
  <c r="AH154" i="3"/>
  <c r="AH573" i="3"/>
  <c r="AH1250" i="3"/>
  <c r="AH133" i="3"/>
  <c r="AH222" i="3"/>
  <c r="AH457" i="3"/>
  <c r="AH335" i="3"/>
  <c r="AH525" i="3"/>
  <c r="AH549" i="3"/>
  <c r="AH1104" i="3"/>
  <c r="AH203" i="3"/>
  <c r="AH1234" i="3"/>
  <c r="AH1272" i="3"/>
  <c r="AH1058" i="3"/>
  <c r="AH1239" i="3"/>
  <c r="AH164" i="3"/>
  <c r="AH294" i="3"/>
  <c r="AH1072" i="3"/>
  <c r="AH557" i="3"/>
  <c r="AH367" i="3"/>
  <c r="AH477" i="3"/>
  <c r="AH441" i="3"/>
  <c r="AH754" i="3"/>
  <c r="AH574" i="3"/>
  <c r="AH417" i="3"/>
  <c r="AH483" i="3"/>
  <c r="AH291" i="3"/>
  <c r="AH445" i="3"/>
  <c r="AH1114" i="3"/>
  <c r="AH195" i="3"/>
  <c r="AH452" i="3"/>
  <c r="AH518" i="3"/>
  <c r="AH667" i="3"/>
  <c r="AH636" i="3"/>
  <c r="AH781" i="3"/>
  <c r="AH1152" i="3"/>
  <c r="AH999" i="3"/>
  <c r="AH70" i="3"/>
  <c r="AH609" i="3"/>
  <c r="AH397" i="3"/>
  <c r="AH236" i="3"/>
  <c r="AH300" i="3"/>
  <c r="AH1084" i="3"/>
  <c r="AH606" i="3"/>
  <c r="AH577" i="3"/>
  <c r="AH102" i="3"/>
  <c r="AH305" i="3"/>
  <c r="AH410" i="3"/>
  <c r="AH692" i="3"/>
  <c r="AH729" i="3"/>
  <c r="AH597" i="3"/>
  <c r="AH1057" i="3"/>
  <c r="AH930" i="3"/>
  <c r="AI701" i="3"/>
  <c r="AH604" i="3"/>
  <c r="AK26" i="3"/>
  <c r="AK502" i="3"/>
  <c r="AK582" i="3"/>
  <c r="AK927" i="3"/>
  <c r="AK688" i="3"/>
  <c r="AK693" i="3"/>
  <c r="AK993" i="3"/>
  <c r="AK1172" i="3"/>
  <c r="AK1051" i="3"/>
  <c r="AK321" i="3"/>
  <c r="AK107" i="3"/>
  <c r="AK52" i="3"/>
  <c r="AK88" i="3"/>
  <c r="AK378" i="3"/>
  <c r="AK319" i="3"/>
  <c r="AK265" i="3"/>
  <c r="AK326" i="3"/>
  <c r="AK558" i="3"/>
  <c r="AK569" i="3"/>
  <c r="AK530" i="3"/>
  <c r="AK277" i="3"/>
  <c r="AK348" i="3"/>
  <c r="AK129" i="3"/>
  <c r="AK132" i="3"/>
  <c r="AK54" i="3"/>
  <c r="AK50" i="3"/>
  <c r="AK364" i="3"/>
  <c r="AK127" i="3"/>
  <c r="AK351" i="3"/>
  <c r="AK388" i="3"/>
  <c r="AK445" i="3"/>
  <c r="AK146" i="3"/>
  <c r="AK664" i="3"/>
  <c r="AK621" i="3"/>
  <c r="AK1181" i="3"/>
  <c r="AK1263" i="3"/>
  <c r="AK999" i="3"/>
  <c r="AK51" i="3"/>
  <c r="AK269" i="3"/>
  <c r="AK335" i="3"/>
  <c r="AK539" i="3"/>
  <c r="AK304" i="3"/>
  <c r="AK136" i="3"/>
  <c r="AK653" i="3"/>
  <c r="AK503" i="3"/>
  <c r="AK858" i="3"/>
  <c r="AK1122" i="3"/>
  <c r="AK362" i="3"/>
  <c r="AK211" i="3"/>
  <c r="AK951" i="3"/>
  <c r="AK827" i="3"/>
  <c r="AK1217" i="3"/>
  <c r="AK1226" i="3"/>
  <c r="AK1165" i="3"/>
  <c r="AK994" i="3"/>
  <c r="AK985" i="3"/>
  <c r="AK768" i="3"/>
  <c r="AK1229" i="3"/>
  <c r="AK1239" i="3"/>
  <c r="AK124" i="3"/>
  <c r="AK68" i="3"/>
  <c r="AK104" i="3"/>
  <c r="AK38" i="3"/>
  <c r="AK161" i="3"/>
  <c r="AK606" i="3"/>
  <c r="AK950" i="3"/>
  <c r="AK667" i="3"/>
  <c r="AK291" i="3"/>
  <c r="AK590" i="3"/>
  <c r="AK215" i="3"/>
  <c r="AK518" i="3"/>
  <c r="AK793" i="3"/>
  <c r="AK44" i="3"/>
  <c r="AK256" i="3"/>
  <c r="AK287" i="3"/>
  <c r="AK58" i="3"/>
  <c r="AK56" i="3"/>
  <c r="AK379" i="3"/>
  <c r="AK1175" i="3"/>
  <c r="AK1253" i="3"/>
  <c r="AK1276" i="3"/>
  <c r="AK1203" i="3"/>
  <c r="AK367" i="3"/>
  <c r="AK692" i="3"/>
  <c r="AK1268" i="3"/>
  <c r="AK158" i="3"/>
  <c r="AK151" i="3"/>
  <c r="AK411" i="3"/>
  <c r="AK85" i="3"/>
  <c r="AK233" i="3"/>
  <c r="AK636" i="3"/>
  <c r="AK829" i="3"/>
  <c r="AK550" i="3"/>
  <c r="AK743" i="3"/>
  <c r="AK168" i="3"/>
  <c r="AK59" i="3"/>
  <c r="AK967" i="3"/>
  <c r="AK1166" i="3"/>
  <c r="AK1033" i="3"/>
  <c r="AK922" i="3"/>
  <c r="AK949" i="3"/>
  <c r="AK222" i="3"/>
  <c r="AK350" i="3"/>
  <c r="AK380" i="3"/>
  <c r="AK66" i="3"/>
  <c r="AK323" i="3"/>
  <c r="AK1104" i="3"/>
  <c r="AK730" i="3"/>
  <c r="AK1252" i="3"/>
  <c r="AK860" i="3"/>
  <c r="AK900" i="3"/>
  <c r="AK930" i="3"/>
  <c r="AK135" i="3"/>
  <c r="AK76" i="3"/>
  <c r="AK93" i="3"/>
  <c r="AK639" i="3"/>
  <c r="AK1189" i="3"/>
  <c r="AK344" i="3"/>
  <c r="AK315" i="3"/>
  <c r="AK830" i="3"/>
  <c r="AK739" i="3"/>
  <c r="AK883" i="3"/>
  <c r="AK916" i="3"/>
  <c r="AK1202" i="3"/>
  <c r="AK27" i="3"/>
  <c r="AK120" i="3"/>
  <c r="AK140" i="3"/>
  <c r="AK250" i="3"/>
  <c r="AK546" i="3"/>
  <c r="AK283" i="3"/>
  <c r="AK891" i="3"/>
  <c r="AK561" i="3"/>
  <c r="AK1011" i="3"/>
  <c r="AK909" i="3"/>
  <c r="AK1218" i="3"/>
  <c r="AK141" i="3"/>
  <c r="AK274" i="3"/>
  <c r="AK383" i="3"/>
  <c r="AK69" i="3"/>
  <c r="AK149" i="3"/>
  <c r="AK115" i="3"/>
  <c r="AK238" i="3"/>
  <c r="AK103" i="3"/>
  <c r="AK711" i="3"/>
  <c r="AK557" i="3"/>
  <c r="AK1116" i="3"/>
  <c r="AK414" i="3"/>
  <c r="AK1134" i="3"/>
  <c r="AK577" i="3"/>
  <c r="AK208" i="3"/>
  <c r="AK878" i="3"/>
  <c r="AK646" i="3"/>
  <c r="AK629" i="3"/>
  <c r="AK747" i="3"/>
  <c r="AK195" i="3"/>
  <c r="AK467" i="3"/>
  <c r="AK441" i="3"/>
  <c r="AK1110" i="3"/>
  <c r="AK108" i="3"/>
  <c r="AI1216" i="3"/>
  <c r="AI448" i="3"/>
  <c r="AI739" i="3"/>
  <c r="AI375" i="3"/>
  <c r="AI513" i="3"/>
  <c r="AI606" i="3"/>
  <c r="AI38" i="3"/>
  <c r="AI151" i="3"/>
  <c r="AI432" i="3"/>
  <c r="AI873" i="3"/>
  <c r="AI291" i="3"/>
  <c r="AI1152" i="3"/>
  <c r="AI138" i="3"/>
  <c r="AI367" i="3"/>
  <c r="AI1217" i="3"/>
  <c r="AI100" i="3"/>
  <c r="AI411" i="3"/>
  <c r="AI173" i="3"/>
  <c r="AI457" i="3"/>
  <c r="AI302" i="3"/>
  <c r="AI741" i="3"/>
  <c r="AI525" i="3"/>
  <c r="AI558" i="3"/>
  <c r="AI305" i="3"/>
  <c r="AI943" i="3"/>
  <c r="AI263" i="3"/>
  <c r="AI52" i="3"/>
  <c r="AI319" i="3"/>
  <c r="AI328" i="3"/>
  <c r="AI365" i="3"/>
  <c r="AI175" i="3"/>
  <c r="AI576" i="3"/>
  <c r="AI425" i="3"/>
  <c r="AI1132" i="3"/>
  <c r="AI283" i="3"/>
  <c r="AI676" i="3"/>
  <c r="AI582" i="3"/>
  <c r="AI569" i="3"/>
  <c r="AI994" i="3"/>
  <c r="AI51" i="3"/>
  <c r="AI321" i="3"/>
  <c r="AI132" i="3"/>
  <c r="AI1234" i="3"/>
  <c r="AI344" i="3"/>
  <c r="AI1176" i="3"/>
  <c r="AI1134" i="3"/>
  <c r="AI927" i="3"/>
  <c r="AI574" i="3"/>
  <c r="AI767" i="3"/>
  <c r="AI107" i="3"/>
  <c r="AI232" i="3"/>
  <c r="AI42" i="3"/>
  <c r="AI269" i="3"/>
  <c r="AI136" i="3"/>
  <c r="AI304" i="3"/>
  <c r="AI380" i="3"/>
  <c r="AI743" i="3"/>
  <c r="AI951" i="3"/>
  <c r="AI781" i="3"/>
  <c r="AI827" i="3"/>
  <c r="AI44" i="3"/>
  <c r="AI124" i="3"/>
  <c r="AI256" i="3"/>
  <c r="AI68" i="3"/>
  <c r="AI135" i="3"/>
  <c r="AI58" i="3"/>
  <c r="AI34" i="3"/>
  <c r="AI88" i="3"/>
  <c r="AI59" i="3"/>
  <c r="AI539" i="3"/>
  <c r="AI335" i="3"/>
  <c r="AI418" i="3"/>
  <c r="AI233" i="3"/>
  <c r="AI40" i="3"/>
  <c r="AI621" i="3"/>
  <c r="AI158" i="3"/>
  <c r="AI287" i="3"/>
  <c r="AI563" i="3"/>
  <c r="AI550" i="3"/>
  <c r="AI360" i="3"/>
  <c r="AI711" i="3"/>
  <c r="AI596" i="3"/>
  <c r="AI735" i="3"/>
  <c r="AI909" i="3"/>
  <c r="AI1116" i="3"/>
  <c r="AI1272" i="3"/>
  <c r="AI222" i="3"/>
  <c r="AI350" i="3"/>
  <c r="AI104" i="3"/>
  <c r="AI754" i="3"/>
  <c r="AI211" i="3"/>
  <c r="AI441" i="3"/>
  <c r="AI1200" i="3"/>
  <c r="AI93" i="3"/>
  <c r="AI86" i="3"/>
  <c r="AI142" i="3"/>
  <c r="AI157" i="3"/>
  <c r="AI1033" i="3"/>
  <c r="AI771" i="3"/>
  <c r="AI162" i="3"/>
  <c r="AI752" i="3"/>
  <c r="AI1057" i="3"/>
  <c r="AI1276" i="3"/>
  <c r="AI1084" i="3"/>
  <c r="AI76" i="3"/>
  <c r="AI92" i="3"/>
  <c r="AI264" i="3"/>
  <c r="AI326" i="3"/>
  <c r="AI154" i="3"/>
  <c r="AI1114" i="3"/>
  <c r="AI993" i="3"/>
  <c r="AI178" i="3"/>
  <c r="AI561" i="3"/>
  <c r="AI161" i="3"/>
  <c r="AI315" i="3"/>
  <c r="AI258" i="3"/>
  <c r="AI845" i="3"/>
  <c r="AI916" i="3"/>
  <c r="AI518" i="3"/>
  <c r="AI1104" i="3"/>
  <c r="AI949" i="3"/>
  <c r="AI999" i="3"/>
  <c r="AI177" i="3"/>
  <c r="AI675" i="3"/>
  <c r="AH552" i="3"/>
  <c r="AI495" i="3"/>
  <c r="AH462" i="3"/>
  <c r="AK394" i="3"/>
  <c r="AK328" i="3"/>
  <c r="AK157" i="3"/>
  <c r="AI342" i="3"/>
  <c r="AI140" i="3"/>
  <c r="AK861" i="3"/>
  <c r="AK1210" i="3"/>
  <c r="AH218" i="3"/>
  <c r="AH285" i="3"/>
  <c r="AH127" i="3"/>
  <c r="AK80" i="3"/>
  <c r="AH873" i="3"/>
  <c r="AI1004" i="3"/>
  <c r="AK840" i="3"/>
  <c r="AI664" i="3"/>
  <c r="AI693" i="3"/>
  <c r="AH555" i="3"/>
  <c r="AI665" i="3"/>
  <c r="AK420" i="3"/>
  <c r="AI468" i="3"/>
  <c r="AI505" i="3"/>
  <c r="AK1271" i="3"/>
  <c r="AI1265" i="3"/>
  <c r="AI1166" i="3"/>
  <c r="AK932" i="3"/>
  <c r="AH1169" i="3"/>
  <c r="AK884" i="3"/>
  <c r="AI679" i="3"/>
  <c r="AK555" i="3"/>
  <c r="AK665" i="3"/>
  <c r="AI552" i="3"/>
  <c r="AI683" i="3"/>
  <c r="AH615" i="3"/>
  <c r="AK690" i="3"/>
  <c r="AI483" i="3"/>
  <c r="AI663" i="3"/>
  <c r="AH434" i="3"/>
  <c r="AI462" i="3"/>
  <c r="AK432" i="3"/>
  <c r="AH438" i="3"/>
  <c r="AK365" i="3"/>
  <c r="AI239" i="3"/>
  <c r="AI377" i="3"/>
  <c r="AK311" i="3"/>
  <c r="AK603" i="3"/>
  <c r="AI164" i="3"/>
  <c r="AH238" i="3"/>
  <c r="AH342" i="3"/>
  <c r="AI133" i="3"/>
  <c r="AK177" i="3"/>
  <c r="AK885" i="3"/>
  <c r="AH679" i="3"/>
  <c r="AH1126" i="3"/>
  <c r="AH830" i="3"/>
  <c r="AK174" i="3"/>
  <c r="AH690" i="3"/>
  <c r="AH980" i="3"/>
  <c r="AH1122" i="3"/>
  <c r="AN442" i="3"/>
  <c r="AN414" i="3"/>
  <c r="AN693" i="3"/>
  <c r="AN141" i="3"/>
  <c r="AN994" i="3"/>
  <c r="AN423" i="3"/>
  <c r="AN731" i="3"/>
  <c r="AO1051" i="3"/>
  <c r="AO711" i="3"/>
  <c r="AN373" i="3"/>
  <c r="AN445" i="3"/>
  <c r="AN611" i="3"/>
  <c r="AN239" i="3"/>
  <c r="AN569" i="3"/>
  <c r="AO592" i="3"/>
  <c r="AN701" i="3"/>
  <c r="AN646" i="3"/>
  <c r="AN592" i="3"/>
  <c r="AN146" i="3"/>
  <c r="AL136" i="3"/>
  <c r="AN195" i="3"/>
  <c r="AN861" i="3"/>
  <c r="AO909" i="3"/>
  <c r="AN162" i="3"/>
  <c r="AL129" i="3"/>
  <c r="AN32" i="3"/>
  <c r="AN214" i="3"/>
  <c r="AN344" i="3"/>
  <c r="AN618" i="3"/>
  <c r="AN1203" i="3"/>
  <c r="AN99" i="3"/>
  <c r="AO485" i="3"/>
  <c r="AN845" i="3"/>
  <c r="AN80" i="3"/>
  <c r="AO949" i="3"/>
  <c r="AO606" i="3"/>
  <c r="AN703" i="3"/>
  <c r="AN596" i="3"/>
  <c r="AN140" i="3"/>
  <c r="AO1091" i="3"/>
  <c r="AJ166" i="3"/>
  <c r="AN300" i="3"/>
  <c r="AN811" i="3"/>
  <c r="AN307" i="3"/>
  <c r="AO950" i="3"/>
  <c r="AO432" i="3"/>
  <c r="AL927" i="3"/>
  <c r="AL448" i="3"/>
  <c r="AL1116" i="3"/>
  <c r="AL676" i="3"/>
  <c r="AL1172" i="3"/>
  <c r="AL1122" i="3"/>
  <c r="AL127" i="3"/>
  <c r="AL518" i="3"/>
  <c r="AL175" i="3"/>
  <c r="AO546" i="3"/>
  <c r="AO145" i="3"/>
  <c r="AK154" i="3"/>
  <c r="AO211" i="3"/>
  <c r="AN4" i="3"/>
  <c r="AJ348" i="3"/>
  <c r="AO315" i="3"/>
  <c r="AN277" i="3"/>
  <c r="AJ344" i="3"/>
  <c r="AK562" i="3"/>
  <c r="AK809" i="3"/>
  <c r="AN768" i="3"/>
  <c r="AO1043" i="3"/>
  <c r="AK1084" i="3"/>
  <c r="AN291" i="3"/>
  <c r="AN574" i="3"/>
  <c r="AN629" i="3"/>
  <c r="AO569" i="3"/>
  <c r="AK888" i="3"/>
  <c r="AK452" i="3"/>
  <c r="AJ1132" i="3"/>
  <c r="AO107" i="3"/>
  <c r="AN89" i="3"/>
  <c r="AN154" i="3"/>
  <c r="AN40" i="3"/>
  <c r="AM48" i="3"/>
  <c r="AN885" i="3"/>
  <c r="AK1090" i="3"/>
  <c r="AK122" i="3"/>
  <c r="AL999" i="3"/>
  <c r="AL1058" i="3"/>
  <c r="AL1209" i="3"/>
  <c r="AL1153" i="3"/>
  <c r="AL1200" i="3"/>
  <c r="AL1104" i="3"/>
  <c r="AL1051" i="3"/>
  <c r="AL1217" i="3"/>
  <c r="AL484" i="3"/>
  <c r="AN1166" i="3"/>
  <c r="AO1104" i="3"/>
  <c r="AN530" i="3"/>
  <c r="AN517" i="3"/>
  <c r="AO292" i="3"/>
  <c r="AN20" i="3"/>
  <c r="AJ66" i="3"/>
  <c r="AK302" i="3"/>
  <c r="AO484" i="3"/>
  <c r="AJ174" i="3"/>
  <c r="AK138" i="3"/>
  <c r="AN250" i="3"/>
  <c r="AK236" i="3"/>
  <c r="AK285" i="3"/>
  <c r="AO525" i="3"/>
  <c r="AN604" i="3"/>
  <c r="AO59" i="3"/>
  <c r="AO558" i="3"/>
  <c r="AN420" i="3"/>
  <c r="AK442" i="3"/>
  <c r="AL173" i="3"/>
  <c r="AO861" i="3"/>
  <c r="AK1274" i="3"/>
  <c r="AJ666" i="3"/>
  <c r="AI906" i="3"/>
  <c r="AI717" i="3"/>
  <c r="AI615" i="3"/>
  <c r="AI810" i="3"/>
  <c r="AI199" i="3"/>
  <c r="AI190" i="3"/>
  <c r="AI650" i="3"/>
  <c r="AI1177" i="3"/>
  <c r="AI541" i="3"/>
  <c r="AI590" i="3"/>
  <c r="AM129" i="3"/>
  <c r="AM490" i="3"/>
  <c r="AM291" i="3"/>
  <c r="AM200" i="3"/>
  <c r="AM122" i="3"/>
  <c r="AM349" i="3"/>
  <c r="AM327" i="3"/>
  <c r="AM473" i="3"/>
  <c r="AM190" i="3"/>
  <c r="AM909" i="3"/>
  <c r="AM425" i="3"/>
  <c r="AM652" i="3"/>
  <c r="AM448" i="3"/>
  <c r="AM220" i="3"/>
  <c r="AM474" i="3"/>
  <c r="AM621" i="3"/>
  <c r="AM91" i="3"/>
  <c r="AM246" i="3"/>
  <c r="AM480" i="3"/>
  <c r="AM613" i="3"/>
  <c r="AM112" i="3"/>
  <c r="AM264" i="3"/>
  <c r="AM718" i="3"/>
  <c r="AM236" i="3"/>
  <c r="AM584" i="3"/>
  <c r="AM1168" i="3"/>
  <c r="AM730" i="3"/>
  <c r="AM245" i="3"/>
  <c r="AM958" i="3"/>
  <c r="AM1094" i="3"/>
  <c r="AM855" i="3"/>
  <c r="AM1195" i="3"/>
  <c r="AM1028" i="3"/>
  <c r="AM935" i="3"/>
  <c r="AM1060" i="3"/>
  <c r="AM864" i="3"/>
  <c r="AM622" i="3"/>
  <c r="AM1118" i="3"/>
  <c r="AM492" i="3"/>
  <c r="AM939" i="3"/>
  <c r="AM838" i="3"/>
  <c r="AM276" i="3"/>
  <c r="AM251" i="3"/>
  <c r="AM250" i="3"/>
  <c r="AM168" i="3"/>
  <c r="AM1059" i="3"/>
  <c r="AM175" i="3"/>
  <c r="AM262" i="3"/>
  <c r="AJ1046" i="3"/>
  <c r="AJ184" i="3"/>
  <c r="AJ772" i="3"/>
  <c r="AJ931" i="3"/>
  <c r="AJ601" i="3"/>
  <c r="AJ861" i="3"/>
  <c r="AJ712" i="3"/>
  <c r="AJ397" i="3"/>
  <c r="AJ146" i="3"/>
  <c r="AJ1106" i="3"/>
  <c r="AJ57" i="3"/>
  <c r="AJ611" i="3"/>
  <c r="AJ550" i="3"/>
  <c r="AJ211" i="3"/>
  <c r="AJ1158" i="3"/>
  <c r="AJ548" i="3"/>
  <c r="AJ386" i="3"/>
  <c r="AJ1002" i="3"/>
  <c r="AJ518" i="3"/>
  <c r="AJ433" i="3"/>
  <c r="AJ434" i="3"/>
  <c r="AJ183" i="3"/>
  <c r="AJ465" i="3"/>
  <c r="AJ1005" i="3"/>
  <c r="AJ583" i="3"/>
  <c r="AJ199" i="3"/>
  <c r="AJ595" i="3"/>
  <c r="AJ119" i="3"/>
  <c r="AJ131" i="3"/>
  <c r="AJ179" i="3"/>
  <c r="AJ297" i="3"/>
  <c r="AJ163" i="3"/>
  <c r="AJ266" i="3"/>
  <c r="AJ785" i="3"/>
  <c r="AJ331" i="3"/>
  <c r="AJ696" i="3"/>
  <c r="AJ452" i="3"/>
  <c r="AJ55" i="3"/>
  <c r="AJ685" i="3"/>
  <c r="AJ954" i="3"/>
  <c r="AJ639" i="3"/>
  <c r="AJ987" i="3"/>
  <c r="AJ423" i="3"/>
  <c r="AJ161" i="3"/>
  <c r="AJ214" i="3"/>
  <c r="AJ95" i="3"/>
  <c r="AJ768" i="3"/>
  <c r="AJ538" i="3"/>
  <c r="AJ921" i="3"/>
  <c r="AJ691" i="3"/>
  <c r="AJ922" i="3"/>
  <c r="AJ368" i="3"/>
  <c r="AJ374" i="3"/>
  <c r="AJ251" i="3"/>
  <c r="AJ1043" i="3"/>
  <c r="AJ284" i="3"/>
  <c r="AJ1202" i="3"/>
  <c r="AJ687" i="3"/>
  <c r="AJ803" i="3"/>
  <c r="AJ280" i="3"/>
  <c r="AJ578" i="3"/>
  <c r="AJ626" i="3"/>
  <c r="AJ343" i="3"/>
  <c r="AJ863" i="3"/>
  <c r="AJ1151" i="3"/>
  <c r="AJ619" i="3"/>
  <c r="AJ473" i="3"/>
  <c r="AJ1160" i="3"/>
  <c r="AJ607" i="3"/>
  <c r="AJ766" i="3"/>
  <c r="AJ557" i="3"/>
  <c r="AJ668" i="3"/>
  <c r="AJ788" i="3"/>
  <c r="AJ252" i="3"/>
  <c r="AJ436" i="3"/>
  <c r="AJ323" i="3"/>
  <c r="AJ1015" i="3"/>
  <c r="AJ677" i="3"/>
  <c r="AJ747" i="3"/>
  <c r="AJ941" i="3"/>
  <c r="AJ525" i="3"/>
  <c r="AJ652" i="3"/>
  <c r="AJ522" i="3"/>
  <c r="AJ329" i="3"/>
  <c r="AJ413" i="3"/>
  <c r="AJ502" i="3"/>
  <c r="AJ250" i="3"/>
  <c r="AJ507" i="3"/>
  <c r="AJ111" i="3"/>
  <c r="AJ725" i="3"/>
  <c r="AJ121" i="3"/>
  <c r="AJ354" i="3"/>
  <c r="AJ1065" i="3"/>
  <c r="AJ198" i="3"/>
  <c r="AJ1072" i="3"/>
  <c r="AJ300" i="3"/>
  <c r="AJ847" i="3"/>
  <c r="AJ233" i="3"/>
  <c r="AJ301" i="3"/>
  <c r="AJ190" i="3"/>
  <c r="AJ429" i="3"/>
  <c r="AJ338" i="3"/>
  <c r="AJ98" i="3"/>
  <c r="AJ435" i="3"/>
  <c r="AJ780" i="3"/>
  <c r="AJ1040" i="3"/>
  <c r="AJ702" i="3"/>
  <c r="AJ590" i="3"/>
  <c r="AJ789" i="3"/>
  <c r="AJ1006" i="3"/>
  <c r="AJ1152" i="3"/>
  <c r="AJ1195" i="3"/>
  <c r="AJ999" i="3"/>
  <c r="AJ881" i="3"/>
  <c r="AJ1180" i="3"/>
  <c r="AJ1059" i="3"/>
  <c r="AJ185" i="3"/>
  <c r="AJ382" i="3"/>
  <c r="AJ307" i="3"/>
  <c r="AJ136" i="3"/>
  <c r="AJ562" i="3"/>
  <c r="AJ490" i="3"/>
  <c r="AJ773" i="3"/>
  <c r="AJ643" i="3"/>
  <c r="AJ367" i="3"/>
  <c r="AJ799" i="3"/>
  <c r="AJ911" i="3"/>
  <c r="AJ272" i="3"/>
  <c r="AJ464" i="3"/>
  <c r="AJ186" i="3"/>
  <c r="AJ19" i="3"/>
  <c r="AJ510" i="3"/>
  <c r="AJ760" i="3"/>
  <c r="AJ316" i="3"/>
  <c r="AJ137" i="3"/>
  <c r="AJ616" i="3"/>
  <c r="AJ377" i="3"/>
  <c r="AJ1099" i="3"/>
  <c r="AJ623" i="3"/>
  <c r="AJ658" i="3"/>
  <c r="AJ275" i="3"/>
  <c r="AJ478" i="3"/>
  <c r="AJ885" i="3"/>
  <c r="AJ618" i="3"/>
  <c r="AJ726" i="3"/>
  <c r="AJ65" i="3"/>
  <c r="AJ442" i="3"/>
  <c r="AJ154" i="3"/>
  <c r="AJ975" i="3"/>
  <c r="AJ703" i="3"/>
  <c r="AJ706" i="3"/>
  <c r="AJ406" i="3"/>
  <c r="AJ1189" i="3"/>
  <c r="AJ395" i="3"/>
  <c r="AJ472" i="3"/>
  <c r="AJ129" i="3"/>
  <c r="AJ77" i="3"/>
  <c r="AJ290" i="3"/>
  <c r="AJ268" i="3"/>
  <c r="AJ727" i="3"/>
  <c r="AJ620" i="3"/>
  <c r="AJ716" i="3"/>
  <c r="AJ774" i="3"/>
  <c r="AJ400" i="3"/>
  <c r="AJ180" i="3"/>
  <c r="AJ142" i="3"/>
  <c r="AJ832" i="3"/>
  <c r="AJ454" i="3"/>
  <c r="AJ1022" i="3"/>
  <c r="AJ106" i="3"/>
  <c r="AJ4" i="3"/>
  <c r="AJ1069" i="3"/>
  <c r="AI829" i="3"/>
  <c r="AI322" i="3"/>
  <c r="AI442" i="3"/>
  <c r="AM49" i="3"/>
  <c r="AJ1172" i="3"/>
  <c r="AJ593" i="3"/>
  <c r="AI1228" i="3"/>
  <c r="AI223" i="3"/>
  <c r="AI785" i="3"/>
  <c r="AI454" i="3"/>
  <c r="AM173" i="3"/>
  <c r="AJ360" i="3"/>
  <c r="AJ74" i="3"/>
  <c r="AI15" i="3"/>
  <c r="AI503" i="3"/>
  <c r="AI587" i="3"/>
  <c r="AI803" i="3"/>
  <c r="AI343" i="3"/>
  <c r="AI207" i="3"/>
  <c r="AI1042" i="3"/>
  <c r="AI204" i="3"/>
  <c r="AI184" i="3"/>
  <c r="AI112" i="3"/>
  <c r="AI312" i="3"/>
  <c r="AI96" i="3"/>
  <c r="AI496" i="3"/>
  <c r="AI275" i="3"/>
  <c r="AI992" i="3"/>
  <c r="AI851" i="3"/>
  <c r="AI655" i="3"/>
  <c r="AI102" i="3"/>
  <c r="AI341" i="3"/>
  <c r="AI250" i="3"/>
  <c r="AI566" i="3"/>
  <c r="AI580" i="3"/>
  <c r="AI921" i="3"/>
  <c r="AI610" i="3"/>
  <c r="AI712" i="3"/>
  <c r="AI98" i="3"/>
  <c r="AI272" i="3"/>
  <c r="AI698" i="3"/>
  <c r="AI556" i="3"/>
  <c r="AI414" i="3"/>
  <c r="AI48" i="3"/>
  <c r="AI81" i="3"/>
  <c r="AI1058" i="3"/>
  <c r="AI924" i="3"/>
  <c r="AI235" i="3"/>
  <c r="AI567" i="3"/>
  <c r="AI729" i="3"/>
  <c r="AI722" i="3"/>
  <c r="AI1248" i="3"/>
  <c r="AI391" i="3"/>
  <c r="AI1173" i="3"/>
  <c r="AI473" i="3"/>
  <c r="AI843" i="3"/>
  <c r="AI611" i="3"/>
  <c r="AI760" i="3"/>
  <c r="AI359" i="3"/>
  <c r="AI1133" i="3"/>
  <c r="AI939" i="3"/>
  <c r="AI1140" i="3"/>
  <c r="AI421" i="3"/>
  <c r="AI348" i="3"/>
  <c r="AI203" i="3"/>
  <c r="AI230" i="3"/>
  <c r="AI374" i="3"/>
  <c r="AI510" i="3"/>
  <c r="AI768" i="3"/>
  <c r="AI1017" i="3"/>
  <c r="AI1115" i="3"/>
  <c r="AI588" i="3"/>
  <c r="AI1229" i="3"/>
  <c r="AI763" i="3"/>
  <c r="AI354" i="3"/>
  <c r="AI423" i="3"/>
  <c r="AI1087" i="3"/>
  <c r="AI435" i="3"/>
  <c r="AI337" i="3"/>
  <c r="AI1136" i="3"/>
  <c r="AI1252" i="3"/>
  <c r="AI89" i="3"/>
  <c r="AI786" i="3"/>
  <c r="AI1072" i="3"/>
  <c r="AI813" i="3"/>
  <c r="AI215" i="3"/>
  <c r="AI55" i="3"/>
  <c r="AI1165" i="3"/>
  <c r="AI463" i="3"/>
  <c r="AI430" i="3"/>
  <c r="AI508" i="3"/>
  <c r="AI410" i="3"/>
  <c r="AI300" i="3"/>
  <c r="AI658" i="3"/>
  <c r="AI490" i="3"/>
  <c r="AI1195" i="3"/>
  <c r="AI1222" i="3"/>
  <c r="AI835" i="3"/>
  <c r="AI373" i="3"/>
  <c r="AI127" i="3"/>
  <c r="AI799" i="3"/>
  <c r="AI1122" i="3"/>
  <c r="AI1050" i="3"/>
  <c r="AI793" i="3"/>
  <c r="AI593" i="3"/>
  <c r="AI467" i="3"/>
  <c r="AI280" i="3"/>
  <c r="AI688" i="3"/>
  <c r="AI220" i="3"/>
  <c r="AI730" i="3"/>
  <c r="AI80" i="3"/>
  <c r="AI800" i="3"/>
  <c r="AI1109" i="3"/>
  <c r="AI623" i="3"/>
  <c r="AI1010" i="3"/>
  <c r="AI626" i="3"/>
  <c r="AI878" i="3"/>
  <c r="AI1210" i="3"/>
  <c r="AI796" i="3"/>
  <c r="AI236" i="3"/>
  <c r="AI436" i="3"/>
  <c r="AI378" i="3"/>
  <c r="AI519" i="3"/>
  <c r="AI687" i="3"/>
  <c r="AI166" i="3"/>
  <c r="AI890" i="3"/>
  <c r="AI466" i="3"/>
  <c r="AI447" i="3"/>
  <c r="AI307" i="3"/>
  <c r="AI930" i="3"/>
  <c r="AI70" i="3"/>
  <c r="AI692" i="3"/>
  <c r="AI975" i="3"/>
  <c r="AI780" i="3"/>
  <c r="AI248" i="3"/>
  <c r="AI422" i="3"/>
  <c r="AI398" i="3"/>
  <c r="AM1072" i="3"/>
  <c r="AM903" i="3"/>
  <c r="AM1006" i="3"/>
  <c r="AM1071" i="3"/>
  <c r="AM471" i="3"/>
  <c r="AM976" i="3"/>
  <c r="AM454" i="3"/>
  <c r="AM167" i="3"/>
  <c r="AM1173" i="3"/>
  <c r="AM163" i="3"/>
  <c r="AM24" i="3"/>
  <c r="AM441" i="3"/>
  <c r="AM209" i="3"/>
  <c r="AM747" i="3"/>
  <c r="AM639" i="3"/>
  <c r="AM404" i="3"/>
  <c r="AM735" i="3"/>
  <c r="AM357" i="3"/>
  <c r="AM688" i="3"/>
  <c r="AM185" i="3"/>
  <c r="AJ755" i="3"/>
  <c r="AI755" i="3"/>
  <c r="AJ824" i="3"/>
  <c r="AJ1057" i="3"/>
  <c r="AJ1145" i="3"/>
  <c r="AJ686" i="3"/>
  <c r="AI1126" i="3"/>
  <c r="AJ1102" i="3"/>
  <c r="AJ860" i="3"/>
  <c r="AJ660" i="3"/>
  <c r="AI1102" i="3"/>
  <c r="AI892" i="3"/>
  <c r="AJ701" i="3"/>
  <c r="AI243" i="3"/>
  <c r="AJ566" i="3"/>
  <c r="AI186" i="3"/>
  <c r="AI449" i="3"/>
  <c r="AI174" i="3"/>
  <c r="AJ497" i="3"/>
  <c r="AJ138" i="3"/>
  <c r="AI146" i="3"/>
  <c r="AI476" i="3"/>
  <c r="AI329" i="3"/>
  <c r="AI1236" i="3"/>
  <c r="AI934" i="3"/>
  <c r="AI145" i="3"/>
  <c r="AI284" i="3"/>
  <c r="AJ993" i="3"/>
  <c r="AI747" i="3"/>
  <c r="AJ193" i="3"/>
  <c r="AJ219" i="3"/>
  <c r="AI806" i="3"/>
  <c r="AI332" i="3"/>
  <c r="AI1038" i="3"/>
  <c r="AI575" i="3"/>
  <c r="AJ1140" i="3"/>
  <c r="AI452" i="3"/>
  <c r="AJ153" i="3"/>
  <c r="AI407" i="3"/>
  <c r="AJ831" i="3"/>
  <c r="AJ373" i="3"/>
  <c r="AJ127" i="3"/>
  <c r="AJ887" i="3"/>
  <c r="AJ751" i="3"/>
  <c r="AJ504" i="3"/>
  <c r="AI573" i="3"/>
  <c r="AI460" i="3"/>
  <c r="AI179" i="3"/>
  <c r="AI201" i="3"/>
  <c r="AJ443" i="3"/>
  <c r="AJ245" i="3"/>
  <c r="AM130" i="3"/>
  <c r="AI252" i="3"/>
  <c r="AI362" i="3"/>
  <c r="AI390" i="3"/>
  <c r="AI212" i="3"/>
  <c r="AJ226" i="3"/>
  <c r="AJ236" i="3"/>
  <c r="AI1232" i="3"/>
  <c r="AI987" i="3"/>
  <c r="AJ291" i="3"/>
  <c r="AJ633" i="3"/>
  <c r="AJ496" i="3"/>
  <c r="AM92" i="3"/>
  <c r="AI857" i="3"/>
  <c r="AI521" i="3"/>
  <c r="AJ421" i="3"/>
  <c r="AI682" i="3"/>
  <c r="AI153" i="3"/>
  <c r="AI787" i="3"/>
  <c r="AJ676" i="3"/>
  <c r="AI316" i="3"/>
  <c r="AJ536" i="3"/>
  <c r="AJ159" i="3"/>
  <c r="AJ430" i="3"/>
  <c r="AI288" i="3"/>
  <c r="AI167" i="3"/>
  <c r="AJ372" i="3"/>
  <c r="AI218" i="3"/>
  <c r="AJ49" i="3"/>
  <c r="AJ194" i="3"/>
  <c r="AJ169" i="3"/>
  <c r="AJ97" i="3"/>
  <c r="AI553" i="3"/>
  <c r="AI415" i="3"/>
  <c r="AJ380" i="3"/>
  <c r="AM212" i="3"/>
  <c r="AI355" i="3"/>
  <c r="AJ390" i="3"/>
  <c r="AI349" i="3"/>
  <c r="AJ356" i="3"/>
  <c r="AI474" i="3"/>
  <c r="AJ606" i="3"/>
  <c r="AJ942" i="3"/>
  <c r="AI1262" i="3"/>
  <c r="AI667" i="3"/>
  <c r="AJ1023" i="3"/>
  <c r="AJ867" i="3"/>
  <c r="AI122" i="3"/>
  <c r="AJ671" i="3"/>
  <c r="AJ966" i="3"/>
  <c r="AI770" i="3"/>
  <c r="AJ1161" i="3"/>
  <c r="AJ404" i="3"/>
  <c r="AJ67" i="3"/>
  <c r="AI700" i="3"/>
  <c r="AJ23" i="3"/>
  <c r="AI144" i="3"/>
  <c r="AI1005" i="3"/>
  <c r="AI1039" i="3"/>
  <c r="AJ1018" i="3"/>
  <c r="AM371" i="3"/>
  <c r="AM1217" i="3"/>
  <c r="AJ1223" i="3"/>
  <c r="AJ1222" i="3"/>
  <c r="AJ1233" i="3"/>
  <c r="AI1192" i="3"/>
  <c r="AI1218" i="3"/>
  <c r="AM1024" i="3"/>
  <c r="AJ796" i="3"/>
  <c r="AJ926" i="3"/>
  <c r="AJ1165" i="3"/>
  <c r="AJ925" i="3"/>
  <c r="AM862" i="3"/>
  <c r="AM637" i="3"/>
  <c r="AM799" i="3"/>
  <c r="AM1039" i="3"/>
  <c r="AM981" i="3"/>
  <c r="AM703" i="3"/>
  <c r="AM1102" i="3"/>
  <c r="AM926" i="3"/>
  <c r="AM1104" i="3"/>
  <c r="AM1166" i="3"/>
  <c r="AM345" i="3"/>
  <c r="AM52" i="3"/>
  <c r="AM843" i="3"/>
  <c r="AM406" i="3"/>
  <c r="AM363" i="3"/>
  <c r="AM960" i="3"/>
  <c r="AM277" i="3"/>
  <c r="AM738" i="3"/>
  <c r="AM66" i="3"/>
  <c r="AM400" i="3"/>
  <c r="AM790" i="3"/>
  <c r="AM623" i="3"/>
  <c r="AM756" i="3"/>
  <c r="AM455" i="3"/>
  <c r="AM424" i="3"/>
  <c r="AM73" i="3"/>
  <c r="AM323" i="3"/>
  <c r="AM80" i="3"/>
  <c r="AJ1143" i="3"/>
  <c r="AJ769" i="3"/>
  <c r="AJ634" i="3"/>
  <c r="AJ621" i="3"/>
  <c r="AI1065" i="3"/>
  <c r="AJ636" i="3"/>
  <c r="AI591" i="3"/>
  <c r="AI1168" i="3"/>
  <c r="AI907" i="3"/>
  <c r="AI485" i="3"/>
  <c r="AJ288" i="3"/>
  <c r="AJ427" i="3"/>
  <c r="AJ215" i="3"/>
  <c r="AI484" i="3"/>
  <c r="AJ89" i="3"/>
  <c r="AJ415" i="3"/>
  <c r="AJ355" i="3"/>
  <c r="AJ178" i="3"/>
  <c r="AI73" i="3"/>
  <c r="AI226" i="3"/>
  <c r="AM324" i="3"/>
  <c r="AI959" i="3"/>
  <c r="AI589" i="3"/>
  <c r="AI830" i="3"/>
  <c r="AJ283" i="3"/>
  <c r="AJ707" i="3"/>
  <c r="AI1019" i="3"/>
  <c r="AI643" i="3"/>
  <c r="AI731" i="3"/>
  <c r="AI759" i="3"/>
  <c r="AM1079" i="3"/>
  <c r="AJ466" i="3"/>
  <c r="AJ1100" i="3"/>
  <c r="AI1099" i="3"/>
  <c r="AJ544" i="3"/>
  <c r="AI404" i="3"/>
  <c r="AJ1050" i="3"/>
  <c r="AI581" i="3"/>
  <c r="AJ330" i="3"/>
  <c r="AI130" i="3"/>
  <c r="AI791" i="3"/>
  <c r="AI860" i="3"/>
  <c r="AM520" i="3"/>
  <c r="AI648" i="3"/>
  <c r="AJ235" i="3"/>
  <c r="AI111" i="3"/>
  <c r="AM69" i="3"/>
  <c r="AJ383" i="3"/>
  <c r="AM274" i="3"/>
  <c r="AI141" i="3"/>
  <c r="AM202" i="3"/>
  <c r="AJ1264" i="3"/>
  <c r="AJ1234" i="3"/>
  <c r="AJ1240" i="3"/>
  <c r="AM1218" i="3"/>
  <c r="AJ1228" i="3"/>
  <c r="AI1226" i="3"/>
  <c r="AI1227" i="3"/>
  <c r="AM1015" i="3"/>
  <c r="AJ806" i="3"/>
  <c r="AJ963" i="3"/>
  <c r="AJ1182" i="3"/>
  <c r="AJ934" i="3"/>
  <c r="AM851" i="3"/>
  <c r="AM999" i="3"/>
  <c r="AM616" i="3"/>
  <c r="AM786" i="3"/>
  <c r="AM1023" i="3"/>
  <c r="AM975" i="3"/>
  <c r="AM673" i="3"/>
  <c r="AM1126" i="3"/>
  <c r="AM1055" i="3"/>
  <c r="AM1140" i="3"/>
  <c r="AM1171" i="3"/>
  <c r="AM337" i="3"/>
  <c r="AM390" i="3"/>
  <c r="AM105" i="3"/>
  <c r="AM577" i="3"/>
  <c r="AM507" i="3"/>
  <c r="AM146" i="3"/>
  <c r="AM859" i="3"/>
  <c r="AM803" i="3"/>
  <c r="AM517" i="3"/>
  <c r="AM180" i="3"/>
  <c r="AM467" i="3"/>
  <c r="AM551" i="3"/>
  <c r="AM316" i="3"/>
  <c r="AM196" i="3"/>
  <c r="AM283" i="3"/>
  <c r="AM442" i="3"/>
  <c r="AJ763" i="3"/>
  <c r="AI974" i="3"/>
  <c r="AJ1188" i="3"/>
  <c r="AJ767" i="3"/>
  <c r="AJ617" i="3"/>
  <c r="AI646" i="3"/>
  <c r="AI922" i="3"/>
  <c r="AJ602" i="3"/>
  <c r="AJ678" i="3"/>
  <c r="AI1160" i="3"/>
  <c r="AI725" i="3"/>
  <c r="AI652" i="3"/>
  <c r="AI597" i="3"/>
  <c r="AI557" i="3"/>
  <c r="AJ484" i="3"/>
  <c r="AM84" i="3"/>
  <c r="AJ168" i="3"/>
  <c r="AJ337" i="3"/>
  <c r="AJ439" i="3"/>
  <c r="AJ223" i="3"/>
  <c r="AJ1183" i="3"/>
  <c r="AJ906" i="3"/>
  <c r="AI1203" i="3"/>
  <c r="AI645" i="3"/>
  <c r="AI926" i="3"/>
  <c r="AI1184" i="3"/>
  <c r="AJ574" i="3"/>
  <c r="AI811" i="3"/>
  <c r="AI251" i="3"/>
  <c r="AJ837" i="3"/>
  <c r="AJ91" i="3"/>
  <c r="AJ139" i="3"/>
  <c r="AI628" i="3"/>
  <c r="AI958" i="3"/>
  <c r="AJ1027" i="3"/>
  <c r="AI1270" i="3"/>
  <c r="AI506" i="3"/>
  <c r="AJ534" i="3"/>
  <c r="AI323" i="3"/>
  <c r="AI917" i="3"/>
  <c r="AJ483" i="3"/>
  <c r="AO1181" i="3"/>
  <c r="AK235" i="3"/>
  <c r="AO800" i="3"/>
  <c r="AO565" i="3"/>
  <c r="AO235" i="3"/>
  <c r="AO870" i="3"/>
  <c r="AO925" i="3"/>
  <c r="AK239" i="3"/>
  <c r="AK200" i="3"/>
  <c r="AK475" i="3"/>
  <c r="AO80" i="3"/>
  <c r="AO140" i="3"/>
  <c r="AO1021" i="3"/>
  <c r="AO456" i="3"/>
  <c r="AO284" i="3"/>
  <c r="AO806" i="3"/>
  <c r="AO122" i="3"/>
  <c r="AO652" i="3"/>
  <c r="AK145" i="3"/>
  <c r="AO397" i="3"/>
  <c r="AO712" i="3"/>
  <c r="AK491" i="3"/>
  <c r="AO163" i="3"/>
  <c r="AO1035" i="3"/>
  <c r="AO860" i="3"/>
  <c r="AK987" i="3"/>
  <c r="AO121" i="3"/>
  <c r="AK817" i="3"/>
  <c r="AK41" i="3"/>
  <c r="AK816" i="3"/>
  <c r="AO618" i="3"/>
  <c r="AK668" i="3"/>
  <c r="AK373" i="3"/>
  <c r="AO255" i="3"/>
  <c r="AO503" i="3"/>
  <c r="AO203" i="3"/>
  <c r="AO123" i="3"/>
  <c r="AK976" i="3"/>
  <c r="AN380" i="3"/>
  <c r="AN430" i="3"/>
  <c r="AO496" i="3"/>
  <c r="AK243" i="3"/>
  <c r="AK292" i="3"/>
  <c r="AK415" i="3"/>
  <c r="AK526" i="3"/>
  <c r="AO541" i="3"/>
  <c r="AO65" i="3"/>
  <c r="AK214" i="3"/>
  <c r="AK460" i="3"/>
  <c r="AK65" i="3"/>
  <c r="AK931" i="3"/>
  <c r="AK683" i="3"/>
  <c r="AO839" i="3"/>
  <c r="AK1182" i="3"/>
  <c r="AK811" i="3"/>
  <c r="AO1059" i="3"/>
  <c r="AK162" i="3"/>
  <c r="AO774" i="3"/>
  <c r="AO139" i="3"/>
  <c r="AK780" i="3"/>
  <c r="AK478" i="3"/>
  <c r="AO692" i="3"/>
  <c r="AK813" i="3"/>
  <c r="AN551" i="3"/>
  <c r="AK67" i="3"/>
  <c r="AN934" i="3"/>
  <c r="AK869" i="3"/>
  <c r="AN575" i="3"/>
  <c r="AO1210" i="3"/>
  <c r="AK180" i="3"/>
  <c r="AO856" i="3"/>
  <c r="AK877" i="3"/>
  <c r="AO105" i="3"/>
  <c r="AN817" i="3"/>
  <c r="AO300" i="3"/>
  <c r="AO77" i="3"/>
  <c r="AN496" i="3"/>
  <c r="AO550" i="3"/>
  <c r="AK430" i="3"/>
  <c r="AO1224" i="3"/>
  <c r="AK178" i="3"/>
  <c r="AO1195" i="3"/>
  <c r="AN112" i="3"/>
  <c r="AK155" i="3"/>
  <c r="AO588" i="3"/>
  <c r="AO462" i="3"/>
  <c r="AN336" i="3"/>
  <c r="AO885" i="3"/>
  <c r="AO1203" i="3"/>
  <c r="AO823" i="3"/>
  <c r="AK973" i="3"/>
  <c r="AK785" i="3"/>
  <c r="AK73" i="3"/>
  <c r="AK471" i="3"/>
  <c r="AK406" i="3"/>
  <c r="AK400" i="3"/>
  <c r="AO730" i="3"/>
  <c r="AO637" i="3"/>
  <c r="AO716" i="3"/>
  <c r="AK385" i="3"/>
  <c r="AK703" i="3"/>
  <c r="AK245" i="3"/>
  <c r="AO813" i="3"/>
  <c r="AO677" i="3"/>
  <c r="AO551" i="3"/>
  <c r="AK209" i="3"/>
  <c r="AK660" i="3"/>
  <c r="AK63" i="3"/>
  <c r="AO852" i="3"/>
  <c r="AK806" i="3"/>
  <c r="AK726" i="3"/>
  <c r="AN276" i="3"/>
  <c r="AN77" i="3"/>
  <c r="AO478" i="3"/>
  <c r="AK779" i="3"/>
  <c r="AO237" i="3"/>
  <c r="AK1042" i="3"/>
  <c r="AO1200" i="3"/>
  <c r="AO1117" i="3"/>
  <c r="AO1023" i="3"/>
  <c r="AO256" i="3"/>
  <c r="AO1036" i="3"/>
  <c r="AO1008" i="3"/>
  <c r="AK1063" i="3"/>
  <c r="AK1086" i="3"/>
  <c r="AO616" i="3"/>
  <c r="AO400" i="3"/>
  <c r="AK760" i="3"/>
  <c r="AK316" i="3"/>
  <c r="AO125" i="3"/>
  <c r="AO706" i="3"/>
  <c r="AK476" i="3"/>
  <c r="AK105" i="3"/>
  <c r="AK643" i="3"/>
  <c r="AO854" i="3"/>
  <c r="AO201" i="3"/>
  <c r="AK1187" i="3"/>
  <c r="AK939" i="3"/>
  <c r="AK777" i="3"/>
  <c r="AK98" i="3"/>
  <c r="AK717" i="3"/>
  <c r="AO738" i="3"/>
  <c r="AO999" i="3"/>
  <c r="AO1196" i="3"/>
  <c r="AK549" i="3"/>
  <c r="AN194" i="3"/>
  <c r="AN866" i="3"/>
  <c r="AN1063" i="3"/>
  <c r="AN49" i="3"/>
  <c r="AN722" i="3"/>
  <c r="AN849" i="3"/>
  <c r="AN483" i="3"/>
  <c r="AN50" i="3"/>
  <c r="AN598" i="3"/>
  <c r="AN503" i="3"/>
  <c r="AN1226" i="3"/>
  <c r="AN651" i="3"/>
  <c r="AN91" i="3"/>
  <c r="AN1274" i="3"/>
  <c r="AN625" i="3"/>
  <c r="AN807" i="3"/>
  <c r="AN242" i="3"/>
  <c r="AN169" i="3"/>
  <c r="AN725" i="3"/>
  <c r="AN389" i="3"/>
  <c r="AN189" i="3"/>
  <c r="AN215" i="3"/>
  <c r="AN626" i="3"/>
  <c r="AN694" i="3"/>
  <c r="AN756" i="3"/>
  <c r="AN1061" i="3"/>
  <c r="AN436" i="3"/>
  <c r="AN116" i="3"/>
  <c r="AN933" i="3"/>
  <c r="AN82" i="3"/>
  <c r="AN161" i="3"/>
  <c r="AN369" i="3"/>
  <c r="AN529" i="3"/>
  <c r="AN580" i="3"/>
  <c r="AN484" i="3"/>
  <c r="AN52" i="3"/>
  <c r="AN708" i="3"/>
  <c r="AN627" i="3"/>
  <c r="AN114" i="3"/>
  <c r="AN738" i="3"/>
  <c r="AN471" i="3"/>
  <c r="AN647" i="3"/>
  <c r="AN833" i="3"/>
  <c r="AN918" i="3"/>
  <c r="AN212" i="3"/>
  <c r="AN105" i="3"/>
  <c r="AN935" i="3"/>
  <c r="AN985" i="3"/>
  <c r="AN778" i="3"/>
  <c r="AN259" i="3"/>
  <c r="AN201" i="3"/>
  <c r="AN138" i="3"/>
  <c r="AN612" i="3"/>
  <c r="AN354" i="3"/>
  <c r="AN677" i="3"/>
  <c r="AN450" i="3"/>
  <c r="AN732" i="3"/>
  <c r="AN236" i="3"/>
  <c r="AN453" i="3"/>
  <c r="AN588" i="3"/>
  <c r="AN1064" i="3"/>
  <c r="AN825" i="3"/>
  <c r="AN1006" i="3"/>
  <c r="AN538" i="3"/>
  <c r="AN497" i="3"/>
  <c r="AN599" i="3"/>
  <c r="AN74" i="3"/>
  <c r="AN433" i="3"/>
  <c r="AN45" i="3"/>
  <c r="AN376" i="3"/>
  <c r="AN1229" i="3"/>
  <c r="AN644" i="3"/>
  <c r="AN831" i="3"/>
  <c r="AN59" i="3"/>
  <c r="AN255" i="3"/>
  <c r="AN888" i="3"/>
  <c r="AN1204" i="3"/>
  <c r="AN1039" i="3"/>
  <c r="AN1184" i="3"/>
  <c r="AN441" i="3"/>
  <c r="AN163" i="3"/>
  <c r="AN260" i="3"/>
  <c r="AN186" i="3"/>
  <c r="AN950" i="3"/>
  <c r="AN121" i="3"/>
  <c r="AN608" i="3"/>
  <c r="AN696" i="3"/>
  <c r="AN744" i="3"/>
  <c r="AN323" i="3"/>
  <c r="AN109" i="3"/>
  <c r="AN449" i="3"/>
  <c r="AN550" i="3"/>
  <c r="AN525" i="3"/>
  <c r="AN734" i="3"/>
  <c r="AN190" i="3"/>
  <c r="AN404" i="3"/>
  <c r="AN654" i="3"/>
  <c r="AN1181" i="3"/>
  <c r="AN492" i="3"/>
  <c r="AN292" i="3"/>
  <c r="AN667" i="3"/>
  <c r="AN400" i="3"/>
  <c r="AN622" i="3"/>
  <c r="AN460" i="3"/>
  <c r="AN672" i="3"/>
  <c r="AN512" i="3"/>
  <c r="AN478" i="3"/>
  <c r="AN1180" i="3"/>
  <c r="AN176" i="3"/>
  <c r="AN613" i="3"/>
  <c r="AN136" i="3"/>
  <c r="AO288" i="3"/>
  <c r="AO320" i="3"/>
  <c r="AO1116" i="3"/>
  <c r="AN558" i="3"/>
  <c r="AO864" i="3"/>
  <c r="AK1246" i="3"/>
  <c r="AK1195" i="3"/>
  <c r="AK1185" i="3"/>
  <c r="AK837" i="3"/>
  <c r="AK1032" i="3"/>
  <c r="AK691" i="3"/>
  <c r="AK1188" i="3"/>
  <c r="AN781" i="3"/>
  <c r="AK1177" i="3"/>
  <c r="AN752" i="3"/>
  <c r="AK744" i="3"/>
  <c r="AK591" i="3"/>
  <c r="AK628" i="3"/>
  <c r="AO878" i="3"/>
  <c r="AK1072" i="3"/>
  <c r="AN308" i="3"/>
  <c r="AO252" i="3"/>
  <c r="AK99" i="3"/>
  <c r="AK331" i="3"/>
  <c r="AK203" i="3"/>
  <c r="AN33" i="3"/>
  <c r="AN505" i="3"/>
  <c r="AO410" i="3"/>
  <c r="AO174" i="3"/>
  <c r="AO337" i="3"/>
  <c r="AO395" i="3"/>
  <c r="AN561" i="3"/>
  <c r="AN241" i="3"/>
  <c r="AO460" i="3"/>
  <c r="AK439" i="3"/>
  <c r="AO362" i="3"/>
  <c r="AK259" i="3"/>
  <c r="AK1171" i="3"/>
  <c r="AK756" i="3"/>
  <c r="AN1221" i="3"/>
  <c r="AK988" i="3"/>
  <c r="AK538" i="3"/>
  <c r="AK1023" i="3"/>
  <c r="AO598" i="3"/>
  <c r="AK912" i="3"/>
  <c r="AO799" i="3"/>
  <c r="AO367" i="3"/>
  <c r="AK597" i="3"/>
  <c r="AK113" i="3"/>
  <c r="AN462" i="3"/>
  <c r="AO194" i="3"/>
  <c r="AK1019" i="3"/>
  <c r="AK644" i="3"/>
  <c r="AK322" i="3"/>
  <c r="AO1103" i="3"/>
  <c r="AO572" i="3"/>
  <c r="AO773" i="3"/>
  <c r="AN87" i="3"/>
  <c r="AN643" i="3"/>
  <c r="AO599" i="3"/>
  <c r="AK680" i="3"/>
  <c r="AO958" i="3"/>
  <c r="AK675" i="3"/>
  <c r="AO1157" i="3"/>
  <c r="AN572" i="3"/>
  <c r="AN1176" i="3"/>
  <c r="AN699" i="3"/>
  <c r="AN549" i="3"/>
  <c r="AN562" i="3"/>
  <c r="AN98" i="3"/>
  <c r="AO957" i="3"/>
  <c r="AO726" i="3"/>
  <c r="AN435" i="3"/>
  <c r="AK656" i="3"/>
  <c r="AK670" i="3"/>
  <c r="AN175" i="3"/>
  <c r="AN800" i="3"/>
  <c r="AO1105" i="3"/>
  <c r="AN454" i="3"/>
  <c r="AO368" i="3"/>
  <c r="AK448" i="3"/>
  <c r="AO1113" i="3"/>
  <c r="AN125" i="3"/>
  <c r="AK495" i="3"/>
  <c r="AO272" i="3"/>
  <c r="AO1096" i="3"/>
  <c r="AO623" i="3"/>
  <c r="AO768" i="3"/>
  <c r="AO92" i="3"/>
  <c r="AO781" i="3"/>
  <c r="AO1120" i="3"/>
  <c r="AO632" i="3"/>
  <c r="AO406" i="3"/>
  <c r="AO104" i="3"/>
  <c r="AO349" i="3"/>
  <c r="AK255" i="3"/>
  <c r="AO40" i="3"/>
  <c r="AO66" i="3"/>
  <c r="AO99" i="3"/>
  <c r="AO760" i="3"/>
  <c r="AO243" i="3"/>
  <c r="AO1122" i="3"/>
  <c r="AO873" i="3"/>
  <c r="AO72" i="3"/>
  <c r="AO178" i="3"/>
  <c r="AO385" i="3"/>
  <c r="AO1127" i="3"/>
  <c r="AO1143" i="3"/>
  <c r="AO505" i="3"/>
  <c r="AO771" i="3"/>
  <c r="AO1129" i="3"/>
  <c r="AO1179" i="3"/>
  <c r="AO826" i="3"/>
  <c r="AO392" i="3"/>
  <c r="AO377" i="3"/>
  <c r="AO605" i="3"/>
  <c r="AO1078" i="3"/>
  <c r="AO1163" i="3"/>
  <c r="AO1064" i="3"/>
  <c r="AO168" i="3"/>
  <c r="AO689" i="3"/>
  <c r="AO275" i="3"/>
  <c r="AO113" i="3"/>
  <c r="AO769" i="3"/>
  <c r="AO424" i="3"/>
  <c r="AO180" i="3"/>
  <c r="AO549" i="3"/>
  <c r="AO586" i="3"/>
  <c r="AO154" i="3"/>
  <c r="AO181" i="3"/>
  <c r="AO855" i="3"/>
  <c r="AO1033" i="3"/>
  <c r="AO53" i="3"/>
  <c r="AO148" i="3"/>
  <c r="AO693" i="3"/>
  <c r="AO755" i="3"/>
  <c r="AO871" i="3"/>
  <c r="AO1110" i="3"/>
  <c r="AO658" i="3"/>
  <c r="AO1217" i="3"/>
  <c r="AO307" i="3"/>
  <c r="AO1133" i="3"/>
  <c r="AO882" i="3"/>
  <c r="AO965" i="3"/>
  <c r="AO1028" i="3"/>
  <c r="AO1111" i="3"/>
  <c r="AO982" i="3"/>
  <c r="AO853" i="3"/>
  <c r="AO486" i="3"/>
  <c r="AO327" i="3"/>
  <c r="AO226" i="3"/>
  <c r="AO421" i="3"/>
  <c r="AO630" i="3"/>
  <c r="AO757" i="3"/>
  <c r="AO820" i="3"/>
  <c r="AO967" i="3"/>
  <c r="AO339" i="3"/>
  <c r="AO195" i="3"/>
  <c r="AO977" i="3"/>
  <c r="AO721" i="3"/>
  <c r="AO661" i="3"/>
  <c r="AO664" i="3"/>
  <c r="AO1239" i="3"/>
  <c r="AO1130" i="3"/>
  <c r="AO325" i="3"/>
  <c r="AO674" i="3"/>
  <c r="AO162" i="3"/>
  <c r="AO231" i="3"/>
  <c r="AO422" i="3"/>
  <c r="AO530" i="3"/>
  <c r="AO902" i="3"/>
  <c r="AO981" i="3"/>
  <c r="AO245" i="3"/>
  <c r="AO597" i="3"/>
  <c r="AO1073" i="3"/>
  <c r="AO323" i="3"/>
  <c r="AO98" i="3"/>
  <c r="AO241" i="3"/>
  <c r="AO534" i="3"/>
  <c r="AO593" i="3"/>
  <c r="AO713" i="3"/>
  <c r="AO67" i="3"/>
  <c r="AO308" i="3"/>
  <c r="AO697" i="3"/>
  <c r="AO438" i="3"/>
  <c r="AO1075" i="3"/>
  <c r="AO390" i="3"/>
  <c r="AO775" i="3"/>
  <c r="AO75" i="3"/>
  <c r="AO508" i="3"/>
  <c r="AO942" i="3"/>
  <c r="AO381" i="3"/>
  <c r="AO376" i="3"/>
  <c r="AO187" i="3"/>
  <c r="AO281" i="3"/>
  <c r="AO1092" i="3"/>
  <c r="AO133" i="3"/>
  <c r="AO191" i="3"/>
  <c r="AO742" i="3"/>
  <c r="AO1138" i="3"/>
  <c r="AO561" i="3"/>
  <c r="AO56" i="3"/>
  <c r="AO260" i="3"/>
  <c r="AO634" i="3"/>
  <c r="AO934" i="3"/>
  <c r="AO676" i="3"/>
  <c r="AO1011" i="3"/>
  <c r="AO1084" i="3"/>
  <c r="AO291" i="3"/>
  <c r="AO1017" i="3"/>
  <c r="AO1068" i="3"/>
  <c r="AO845" i="3"/>
  <c r="AO554" i="3"/>
  <c r="AO398" i="3"/>
  <c r="AO679" i="3"/>
  <c r="AO1086" i="3"/>
  <c r="AO686" i="3"/>
  <c r="AO538" i="3"/>
  <c r="AO740" i="3"/>
  <c r="AO1090" i="3"/>
  <c r="AO449" i="3"/>
  <c r="AO562" i="3"/>
  <c r="AO216" i="3"/>
  <c r="AO782" i="3"/>
  <c r="AO1137" i="3"/>
  <c r="AO786" i="3"/>
  <c r="AO862" i="3"/>
  <c r="AO938" i="3"/>
  <c r="AO346" i="3"/>
  <c r="AO157" i="3"/>
  <c r="AO129" i="3"/>
  <c r="AO952" i="3"/>
  <c r="AO752" i="3"/>
  <c r="AO73" i="3"/>
  <c r="AK314" i="3"/>
  <c r="AO303" i="3"/>
  <c r="AO608" i="3"/>
  <c r="AO299" i="3"/>
  <c r="AO928" i="3"/>
  <c r="AO1211" i="3"/>
  <c r="AO1142" i="3"/>
  <c r="AO527" i="3"/>
  <c r="AO559" i="3"/>
  <c r="AK300" i="3"/>
  <c r="AO82" i="3"/>
  <c r="AH760" i="3"/>
  <c r="AH463" i="3"/>
  <c r="AK185" i="3"/>
  <c r="AH837" i="3"/>
  <c r="AL139" i="3"/>
  <c r="AK678" i="3"/>
  <c r="AO780" i="3"/>
  <c r="AL424" i="3"/>
  <c r="AK48" i="3"/>
  <c r="AO829" i="3"/>
  <c r="AH464" i="3"/>
  <c r="AH161" i="3"/>
  <c r="AH993" i="3"/>
  <c r="AH344" i="3"/>
  <c r="AH226" i="3"/>
  <c r="AH299" i="3"/>
  <c r="AH917" i="3"/>
  <c r="AK731" i="3"/>
  <c r="AK363" i="3"/>
  <c r="AK89" i="3"/>
  <c r="AO1166" i="3"/>
  <c r="AK701" i="3"/>
  <c r="AH97" i="3"/>
  <c r="AK299" i="3"/>
  <c r="AK284" i="3"/>
  <c r="AO1145" i="3"/>
  <c r="AO1037" i="3"/>
  <c r="AK784" i="3"/>
  <c r="AO581" i="3"/>
  <c r="AO130" i="3"/>
  <c r="AH85" i="3"/>
  <c r="AH383" i="3"/>
  <c r="AO423" i="3"/>
  <c r="AK525" i="3"/>
  <c r="AK175" i="3"/>
  <c r="AO369" i="3"/>
  <c r="AK542" i="3"/>
  <c r="AK275" i="3"/>
  <c r="AM3" i="3"/>
  <c r="AM81" i="3"/>
  <c r="AM372" i="3"/>
  <c r="AM311" i="3"/>
  <c r="AM139" i="3"/>
  <c r="AM60" i="3"/>
  <c r="AO363" i="3"/>
  <c r="AO960" i="3"/>
  <c r="AO927" i="3"/>
  <c r="AO824" i="3"/>
  <c r="AO602" i="3"/>
  <c r="AO575" i="3"/>
  <c r="AK375" i="3"/>
  <c r="AK121" i="3"/>
  <c r="AK490" i="3"/>
  <c r="AK347" i="3"/>
  <c r="AK524" i="3"/>
  <c r="AK754" i="3"/>
  <c r="AK482" i="3"/>
  <c r="AK359" i="3"/>
  <c r="AK1207" i="3"/>
  <c r="AK278" i="3"/>
  <c r="AK578" i="3"/>
  <c r="AK246" i="3"/>
  <c r="AK87" i="3"/>
  <c r="AK470" i="3"/>
  <c r="AK258" i="3"/>
  <c r="AK305" i="3"/>
  <c r="AK998" i="3"/>
  <c r="AK193" i="3"/>
  <c r="AK423" i="3"/>
  <c r="AK574" i="3"/>
  <c r="AK489" i="3"/>
  <c r="AK498" i="3"/>
  <c r="AK504" i="3"/>
  <c r="AO491" i="3"/>
  <c r="AO714" i="3"/>
  <c r="AO764" i="3"/>
  <c r="AK573" i="3"/>
  <c r="AK286" i="3"/>
  <c r="AO798" i="3"/>
  <c r="AO735" i="3"/>
  <c r="AO751" i="3"/>
  <c r="AO88" i="3"/>
  <c r="AK357" i="3"/>
  <c r="AO1176" i="3"/>
  <c r="AO617" i="3"/>
  <c r="AO874" i="3"/>
  <c r="AO844" i="3"/>
  <c r="AO589" i="3"/>
  <c r="AO302" i="3"/>
  <c r="AO814" i="3"/>
  <c r="AO767" i="3"/>
  <c r="AH436" i="3"/>
  <c r="AH122" i="3"/>
  <c r="AO922" i="3"/>
  <c r="AK163" i="3"/>
  <c r="AH184" i="3"/>
  <c r="AH711" i="3"/>
  <c r="AO251" i="3"/>
  <c r="AO52" i="3"/>
  <c r="AO1057" i="3"/>
  <c r="AK522" i="3"/>
  <c r="AK201" i="3"/>
  <c r="AK1154" i="3"/>
  <c r="AK782" i="3"/>
  <c r="AK167" i="3"/>
  <c r="AK1043" i="3"/>
  <c r="AO951" i="3"/>
  <c r="AH523" i="3"/>
  <c r="AH828" i="3"/>
  <c r="AK186" i="3"/>
  <c r="AH214" i="3"/>
  <c r="AO50" i="3"/>
  <c r="AO430" i="3"/>
  <c r="AK750" i="3"/>
  <c r="AO1099" i="3"/>
  <c r="AK551" i="3"/>
  <c r="AK199" i="3"/>
  <c r="AO522" i="3"/>
  <c r="AJ17" i="3"/>
  <c r="AO827" i="3"/>
  <c r="AO280" i="3"/>
  <c r="AO373" i="3"/>
  <c r="AO761" i="3"/>
  <c r="AO906" i="3"/>
  <c r="AO972" i="3"/>
  <c r="AO621" i="3"/>
  <c r="AO334" i="3"/>
  <c r="AM830" i="3"/>
  <c r="AO1135" i="3"/>
  <c r="AK508" i="3"/>
  <c r="AO1041" i="3"/>
  <c r="AH724" i="3"/>
  <c r="AH142" i="3"/>
  <c r="AH814" i="3"/>
  <c r="AH818" i="3"/>
  <c r="AH398" i="3"/>
  <c r="AO91" i="3"/>
  <c r="AO941" i="3"/>
  <c r="AH790" i="3"/>
  <c r="AH671" i="3"/>
  <c r="AO888" i="3"/>
  <c r="AH166" i="3"/>
  <c r="AH687" i="3"/>
  <c r="AO246" i="3"/>
  <c r="AH330" i="3"/>
  <c r="AH938" i="3"/>
  <c r="AO1053" i="3"/>
  <c r="AH145" i="3"/>
  <c r="AO578" i="3"/>
  <c r="AO932" i="3"/>
  <c r="AO475" i="3"/>
  <c r="AK1213" i="3"/>
  <c r="AH52" i="3"/>
  <c r="AO655" i="3"/>
  <c r="AO851" i="3"/>
  <c r="AH816" i="3"/>
  <c r="AH309" i="3"/>
  <c r="AK173" i="3"/>
  <c r="AO96" i="3"/>
  <c r="AK131" i="3"/>
  <c r="AK676" i="3"/>
  <c r="AO1095" i="3"/>
  <c r="AO1189" i="3"/>
  <c r="AO1005" i="3"/>
  <c r="AH87" i="3"/>
  <c r="AK472" i="3"/>
  <c r="AO1123" i="3"/>
  <c r="AO889" i="3"/>
  <c r="AO1020" i="3"/>
  <c r="AK382" i="3"/>
  <c r="AO974" i="3"/>
  <c r="AO847" i="3"/>
  <c r="AO64" i="3"/>
  <c r="AL7" i="3"/>
  <c r="AL41" i="3"/>
  <c r="AO15" i="3"/>
  <c r="AL2" i="3"/>
  <c r="AL34" i="3"/>
  <c r="AH20" i="3"/>
  <c r="AH35" i="3"/>
  <c r="AL18" i="3"/>
  <c r="AH40" i="3"/>
  <c r="AO42" i="3"/>
  <c r="AH5" i="3"/>
  <c r="AL3" i="3"/>
  <c r="AL48" i="3"/>
  <c r="AL10" i="3"/>
  <c r="AH29" i="3"/>
  <c r="AL30" i="3"/>
  <c r="AL8" i="3"/>
  <c r="AL23" i="3"/>
  <c r="AO37" i="3"/>
  <c r="AH31" i="3"/>
  <c r="AL43" i="3"/>
  <c r="AO31" i="3"/>
  <c r="AH47" i="3"/>
  <c r="AH48" i="3"/>
  <c r="AL6" i="3"/>
  <c r="AO38" i="3"/>
  <c r="AO39" i="3"/>
  <c r="AL29" i="3"/>
  <c r="AN37" i="3"/>
  <c r="AN48" i="3"/>
  <c r="AN42" i="3"/>
  <c r="AL14" i="3"/>
  <c r="AH44" i="3"/>
  <c r="AL35" i="3"/>
  <c r="AO7" i="3"/>
  <c r="AH34" i="3"/>
  <c r="AO30" i="3"/>
  <c r="AL37" i="3"/>
  <c r="AL13" i="3"/>
  <c r="AI10" i="3"/>
  <c r="AL33" i="3"/>
  <c r="AO43" i="3"/>
  <c r="AL27" i="3"/>
  <c r="AK40" i="3"/>
  <c r="AH22" i="3"/>
  <c r="AL42" i="3"/>
  <c r="AL4" i="3"/>
  <c r="AH36" i="3"/>
  <c r="AH45" i="3"/>
  <c r="AL17" i="3"/>
  <c r="AH28" i="3"/>
  <c r="AL21" i="3"/>
  <c r="AO48" i="3"/>
  <c r="AH42" i="3"/>
  <c r="AO6" i="3"/>
  <c r="AL38" i="3"/>
  <c r="AH46" i="3"/>
  <c r="AL39" i="3"/>
  <c r="AL36" i="3"/>
  <c r="AN28" i="3"/>
  <c r="AL15" i="3"/>
  <c r="AH30" i="3"/>
  <c r="AH43" i="3"/>
  <c r="AL46" i="3"/>
  <c r="AL47" i="3"/>
  <c r="AO46" i="3"/>
  <c r="AO47" i="3"/>
  <c r="AO45" i="3"/>
  <c r="AI43" i="3"/>
  <c r="AO23" i="3"/>
  <c r="AL12" i="3"/>
  <c r="AH41" i="3"/>
  <c r="AL40" i="3"/>
  <c r="AO41" i="3"/>
  <c r="AO8" i="3"/>
  <c r="AH11" i="3"/>
  <c r="AO18" i="3"/>
  <c r="AK8" i="3"/>
  <c r="AO3" i="3"/>
  <c r="AK12" i="3"/>
  <c r="AK33" i="3"/>
  <c r="AH25" i="3"/>
  <c r="AK17" i="3"/>
  <c r="AO20" i="3"/>
  <c r="AO13" i="3"/>
  <c r="AO29" i="3"/>
  <c r="AO25" i="3"/>
  <c r="AO24" i="3"/>
  <c r="AO28" i="3"/>
  <c r="AO32" i="3"/>
  <c r="AO33" i="3"/>
  <c r="AO34" i="3"/>
  <c r="AO36" i="3"/>
  <c r="AH23" i="3"/>
  <c r="AO9" i="3"/>
  <c r="AH21" i="3"/>
  <c r="AK19" i="3"/>
  <c r="AK25" i="3"/>
  <c r="AH6" i="3"/>
  <c r="AO27" i="3"/>
  <c r="AK4" i="3"/>
  <c r="AK23" i="3"/>
  <c r="AK20" i="3"/>
  <c r="AK21" i="3"/>
  <c r="AK16" i="3"/>
  <c r="AO26" i="3"/>
  <c r="AH13" i="3"/>
  <c r="AK13" i="3"/>
  <c r="AL20" i="3"/>
  <c r="AL25" i="3"/>
  <c r="AH24" i="3"/>
  <c r="AI22" i="3"/>
  <c r="AL26" i="3"/>
  <c r="AL22" i="3"/>
  <c r="AL31" i="3"/>
  <c r="AL32" i="3"/>
  <c r="AN13" i="3"/>
  <c r="AN10" i="3"/>
  <c r="AL9" i="3"/>
  <c r="AH27" i="3"/>
  <c r="AK22" i="3"/>
  <c r="AK5" i="3"/>
  <c r="AJ20" i="3"/>
  <c r="AI20" i="3"/>
  <c r="AM21" i="3"/>
  <c r="AO17" i="3"/>
  <c r="AJ21" i="3"/>
  <c r="AI16" i="3"/>
  <c r="AO22" i="3"/>
  <c r="AL24" i="3"/>
  <c r="AI23" i="3"/>
  <c r="AJ36" i="3"/>
  <c r="AJ32" i="3"/>
  <c r="AJ37" i="3"/>
  <c r="AK24" i="3"/>
  <c r="AI35" i="3"/>
  <c r="AJ14" i="3"/>
  <c r="AH16" i="3"/>
  <c r="AO21" i="3"/>
  <c r="AN11" i="3"/>
  <c r="AN16" i="3"/>
  <c r="AJ34" i="3"/>
  <c r="AN17" i="3"/>
  <c r="AK7" i="3"/>
  <c r="AM23" i="3"/>
  <c r="AH8" i="3"/>
  <c r="AM33" i="3"/>
  <c r="AN29" i="3"/>
  <c r="AI32" i="3"/>
  <c r="AH37" i="3"/>
  <c r="AK18" i="3"/>
  <c r="AI27" i="3"/>
  <c r="AK15" i="3"/>
  <c r="AN6" i="3"/>
  <c r="AJ15" i="3"/>
  <c r="AO35" i="3"/>
  <c r="AK11" i="3"/>
  <c r="AI29" i="3"/>
  <c r="AM12" i="3"/>
  <c r="AK2" i="3"/>
  <c r="AK30" i="3"/>
  <c r="AM36" i="3"/>
  <c r="AJ28" i="3"/>
  <c r="AK32" i="3"/>
  <c r="AN24" i="3"/>
  <c r="AK3" i="3"/>
  <c r="AI9" i="3"/>
  <c r="AH9" i="3"/>
  <c r="AH12" i="3"/>
  <c r="AH10" i="3"/>
  <c r="AI12" i="3"/>
  <c r="AM14" i="3"/>
  <c r="AM19" i="3"/>
  <c r="AH4" i="3"/>
  <c r="AI3" i="3"/>
  <c r="AI11" i="3"/>
  <c r="AM11" i="3"/>
  <c r="AJ12" i="3"/>
  <c r="AJ9" i="3"/>
  <c r="AI14" i="3"/>
  <c r="AI4" i="3"/>
  <c r="AI2" i="3"/>
  <c r="AJ10" i="3"/>
  <c r="AH14" i="3"/>
  <c r="AN15" i="3"/>
  <c r="AN5" i="3"/>
  <c r="AN14" i="3"/>
  <c r="AN19" i="3"/>
  <c r="AN8" i="3"/>
  <c r="AM5" i="3"/>
  <c r="AM9" i="3"/>
  <c r="AM15" i="3"/>
  <c r="AJ18" i="3"/>
  <c r="AH3" i="3"/>
  <c r="AO19" i="3"/>
  <c r="AI19" i="3"/>
  <c r="AH7" i="3"/>
  <c r="AI7" i="3"/>
  <c r="AJ13" i="3"/>
  <c r="AI8" i="3"/>
  <c r="AI13" i="3"/>
  <c r="AJ3" i="3"/>
  <c r="AM13" i="3"/>
  <c r="AJ11" i="3"/>
  <c r="AM16" i="3"/>
  <c r="AH15" i="3"/>
  <c r="AM17" i="3"/>
  <c r="AM4" i="3"/>
  <c r="AO11" i="3"/>
  <c r="AO2" i="3"/>
  <c r="AK14" i="3"/>
  <c r="AJ7" i="3"/>
  <c r="AL5" i="3"/>
  <c r="AL19" i="3"/>
  <c r="AO10" i="3"/>
  <c r="AO12" i="3"/>
  <c r="AO14" i="3"/>
  <c r="AJ2" i="3"/>
  <c r="AM7" i="3"/>
  <c r="AM10" i="3"/>
  <c r="AH18" i="3"/>
  <c r="AO5" i="3"/>
  <c r="AH2" i="3"/>
  <c r="AO16" i="3"/>
  <c r="AL11" i="3"/>
  <c r="AN12" i="3"/>
  <c r="AH17" i="3"/>
  <c r="AM8" i="3"/>
  <c r="AJ8" i="3"/>
  <c r="AK9" i="3"/>
  <c r="AH19" i="3"/>
  <c r="AM2" i="3"/>
  <c r="AO4" i="3"/>
  <c r="AN18" i="3"/>
  <c r="M9" i="6"/>
  <c r="L10" i="6" s="1"/>
  <c r="P9" i="6"/>
  <c r="L13" i="6" s="1"/>
  <c r="N10" i="6"/>
  <c r="M11" i="6" s="1"/>
  <c r="P10" i="6"/>
  <c r="M13" i="6" s="1"/>
  <c r="M8" i="6"/>
  <c r="K10" i="6" s="1"/>
  <c r="P12" i="6"/>
  <c r="O13" i="6" s="1"/>
  <c r="K9" i="5"/>
  <c r="O10" i="6"/>
  <c r="M12" i="6" s="1"/>
  <c r="N8" i="6"/>
  <c r="K11" i="6" s="1"/>
  <c r="N9" i="6"/>
  <c r="L11" i="6" s="1"/>
  <c r="O9" i="6"/>
  <c r="L12" i="6" s="1"/>
  <c r="K11" i="5"/>
  <c r="K5" i="5"/>
  <c r="K6" i="5"/>
  <c r="M6" i="6"/>
  <c r="I10" i="6" s="1"/>
  <c r="J6" i="6"/>
  <c r="I7" i="6" s="1"/>
  <c r="O6" i="6"/>
  <c r="I12" i="6" s="1"/>
  <c r="P6" i="6"/>
  <c r="I13" i="6" s="1"/>
  <c r="N6" i="6"/>
  <c r="I11" i="6" s="1"/>
  <c r="L6" i="6"/>
  <c r="I9" i="6" s="1"/>
  <c r="K6" i="6"/>
  <c r="I8" i="6" s="1"/>
  <c r="K4" i="5"/>
  <c r="B5" i="7" s="1"/>
  <c r="O7" i="6"/>
  <c r="J12" i="6" s="1"/>
  <c r="N7" i="6"/>
  <c r="J11" i="6" s="1"/>
  <c r="L7" i="6"/>
  <c r="J9" i="6" s="1"/>
  <c r="M7" i="6"/>
  <c r="J10" i="6" s="1"/>
  <c r="K7" i="6"/>
  <c r="J8" i="6" s="1"/>
  <c r="P7" i="6"/>
  <c r="J13" i="6" s="1"/>
  <c r="K7" i="5"/>
  <c r="K8" i="5"/>
  <c r="P11" i="6"/>
  <c r="N13" i="6" s="1"/>
  <c r="O11" i="6"/>
  <c r="N12" i="6" s="1"/>
  <c r="K10" i="5"/>
  <c r="B8" i="7" l="1"/>
  <c r="K25" i="5"/>
  <c r="L25" i="5" s="1"/>
  <c r="B6" i="7"/>
  <c r="K23" i="5"/>
  <c r="L23" i="5" s="1"/>
  <c r="B12" i="7"/>
  <c r="K29" i="5"/>
  <c r="L29" i="5" s="1"/>
  <c r="B10" i="7"/>
  <c r="K27" i="5"/>
  <c r="L27" i="5" s="1"/>
  <c r="B9" i="7"/>
  <c r="K26" i="5"/>
  <c r="L26" i="5" s="1"/>
  <c r="B7" i="7"/>
  <c r="K24" i="5"/>
  <c r="L24" i="5" s="1"/>
  <c r="K22" i="5"/>
  <c r="B11" i="7"/>
  <c r="K28" i="5"/>
  <c r="L28" i="5" s="1"/>
  <c r="L11" i="5"/>
  <c r="M11" i="5" s="1"/>
  <c r="L4" i="5"/>
  <c r="M4" i="5" s="1"/>
  <c r="L7" i="5"/>
  <c r="M7" i="5" s="1"/>
  <c r="L10" i="5"/>
  <c r="M10" i="5" s="1"/>
  <c r="L6" i="5"/>
  <c r="L5" i="5"/>
  <c r="L8" i="5"/>
  <c r="M8" i="5" s="1"/>
  <c r="L9" i="5"/>
  <c r="M9" i="5" s="1"/>
  <c r="M5" i="5"/>
  <c r="M6" i="5"/>
  <c r="K30" i="5" l="1"/>
  <c r="L22" i="5"/>
  <c r="B14" i="5"/>
  <c r="B15" i="5" s="1"/>
  <c r="B17" i="5" s="1"/>
  <c r="AP1250" i="3"/>
  <c r="AQ1250" i="3" s="1"/>
  <c r="AP1266" i="3"/>
  <c r="AQ1266" i="3" s="1"/>
  <c r="AP1258" i="3"/>
  <c r="AQ1258" i="3" s="1"/>
  <c r="AP1254" i="3"/>
  <c r="AQ1254" i="3" s="1"/>
  <c r="AP1238" i="3"/>
  <c r="AQ1238" i="3" s="1"/>
  <c r="AP1269" i="3"/>
  <c r="AQ1269" i="3" s="1"/>
  <c r="AP1262" i="3"/>
  <c r="AQ1262" i="3" s="1"/>
  <c r="AP1235" i="3"/>
  <c r="AQ1235" i="3" s="1"/>
  <c r="AP1222" i="3"/>
  <c r="AQ1222" i="3" s="1"/>
  <c r="AP1240" i="3"/>
  <c r="AQ1240" i="3" s="1"/>
  <c r="AP1275" i="3"/>
  <c r="AQ1275" i="3" s="1"/>
  <c r="AP1274" i="3"/>
  <c r="AQ1274" i="3" s="1"/>
  <c r="AP1219" i="3"/>
  <c r="AQ1219" i="3" s="1"/>
  <c r="AP1179" i="3"/>
  <c r="AQ1179" i="3" s="1"/>
  <c r="AP1259" i="3"/>
  <c r="AQ1259" i="3" s="1"/>
  <c r="AP1249" i="3"/>
  <c r="AQ1249" i="3" s="1"/>
  <c r="AP1232" i="3"/>
  <c r="AQ1232" i="3" s="1"/>
  <c r="AP1229" i="3"/>
  <c r="AQ1229" i="3" s="1"/>
  <c r="AP1252" i="3"/>
  <c r="AQ1252" i="3" s="1"/>
  <c r="AP1253" i="3"/>
  <c r="AQ1253" i="3" s="1"/>
  <c r="AP1237" i="3"/>
  <c r="AQ1237" i="3" s="1"/>
  <c r="AP1234" i="3"/>
  <c r="AQ1234" i="3" s="1"/>
  <c r="AP1173" i="3"/>
  <c r="AQ1173" i="3" s="1"/>
  <c r="AP1143" i="3"/>
  <c r="AQ1143" i="3" s="1"/>
  <c r="AP1247" i="3"/>
  <c r="AQ1247" i="3" s="1"/>
  <c r="AP1210" i="3"/>
  <c r="AQ1210" i="3" s="1"/>
  <c r="AP1196" i="3"/>
  <c r="AQ1196" i="3" s="1"/>
  <c r="AP1110" i="3"/>
  <c r="AQ1110" i="3" s="1"/>
  <c r="AP1223" i="3"/>
  <c r="AQ1223" i="3" s="1"/>
  <c r="AP1176" i="3"/>
  <c r="AQ1176" i="3" s="1"/>
  <c r="AP1102" i="3"/>
  <c r="AQ1102" i="3" s="1"/>
  <c r="AP1188" i="3"/>
  <c r="AQ1188" i="3" s="1"/>
  <c r="AP1162" i="3"/>
  <c r="AQ1162" i="3" s="1"/>
  <c r="AP1111" i="3"/>
  <c r="AQ1111" i="3" s="1"/>
  <c r="AP1094" i="3"/>
  <c r="AQ1094" i="3" s="1"/>
  <c r="AP1218" i="3"/>
  <c r="AQ1218" i="3" s="1"/>
  <c r="AP1129" i="3"/>
  <c r="AQ1129" i="3" s="1"/>
  <c r="AP1236" i="3"/>
  <c r="AQ1236" i="3" s="1"/>
  <c r="AP1244" i="3"/>
  <c r="AQ1244" i="3" s="1"/>
  <c r="AP1177" i="3"/>
  <c r="AQ1177" i="3" s="1"/>
  <c r="AP1168" i="3"/>
  <c r="AQ1168" i="3" s="1"/>
  <c r="AP1216" i="3"/>
  <c r="AQ1216" i="3" s="1"/>
  <c r="AP1192" i="3"/>
  <c r="AQ1192" i="3" s="1"/>
  <c r="AP1163" i="3"/>
  <c r="AQ1163" i="3" s="1"/>
  <c r="AP1141" i="3"/>
  <c r="AQ1141" i="3" s="1"/>
  <c r="AP1227" i="3"/>
  <c r="AQ1227" i="3" s="1"/>
  <c r="AP1207" i="3"/>
  <c r="AQ1207" i="3" s="1"/>
  <c r="AP1182" i="3"/>
  <c r="AQ1182" i="3" s="1"/>
  <c r="AP1138" i="3"/>
  <c r="AQ1138" i="3" s="1"/>
  <c r="AP1090" i="3"/>
  <c r="AQ1090" i="3" s="1"/>
  <c r="AP1065" i="3"/>
  <c r="AQ1065" i="3" s="1"/>
  <c r="AP1197" i="3"/>
  <c r="AQ1197" i="3" s="1"/>
  <c r="AP1194" i="3"/>
  <c r="AQ1194" i="3" s="1"/>
  <c r="AP1157" i="3"/>
  <c r="AQ1157" i="3" s="1"/>
  <c r="AP1084" i="3"/>
  <c r="AQ1084" i="3" s="1"/>
  <c r="AP1057" i="3"/>
  <c r="AQ1057" i="3" s="1"/>
  <c r="AP1203" i="3"/>
  <c r="AQ1203" i="3" s="1"/>
  <c r="AP1159" i="3"/>
  <c r="AQ1159" i="3" s="1"/>
  <c r="AP1126" i="3"/>
  <c r="AQ1126" i="3" s="1"/>
  <c r="AP1049" i="3"/>
  <c r="AQ1049" i="3" s="1"/>
  <c r="AP1184" i="3"/>
  <c r="AQ1184" i="3" s="1"/>
  <c r="AP1153" i="3"/>
  <c r="AQ1153" i="3" s="1"/>
  <c r="AP1119" i="3"/>
  <c r="AQ1119" i="3" s="1"/>
  <c r="AP1116" i="3"/>
  <c r="AQ1116" i="3" s="1"/>
  <c r="AP1099" i="3"/>
  <c r="AQ1099" i="3" s="1"/>
  <c r="AP1134" i="3"/>
  <c r="AQ1134" i="3" s="1"/>
  <c r="AP1085" i="3"/>
  <c r="AQ1085" i="3" s="1"/>
  <c r="AP1050" i="3"/>
  <c r="AQ1050" i="3" s="1"/>
  <c r="AP992" i="3"/>
  <c r="AQ992" i="3" s="1"/>
  <c r="AP973" i="3"/>
  <c r="AQ973" i="3" s="1"/>
  <c r="AP965" i="3"/>
  <c r="AQ965" i="3" s="1"/>
  <c r="AP1243" i="3"/>
  <c r="AQ1243" i="3" s="1"/>
  <c r="AP1195" i="3"/>
  <c r="AQ1195" i="3" s="1"/>
  <c r="AP1160" i="3"/>
  <c r="AQ1160" i="3" s="1"/>
  <c r="AP1117" i="3"/>
  <c r="AQ1117" i="3" s="1"/>
  <c r="AP1078" i="3"/>
  <c r="AQ1078" i="3" s="1"/>
  <c r="AP1042" i="3"/>
  <c r="AQ1042" i="3" s="1"/>
  <c r="AP1017" i="3"/>
  <c r="AQ1017" i="3" s="1"/>
  <c r="AP1011" i="3"/>
  <c r="AQ1011" i="3" s="1"/>
  <c r="AP1161" i="3"/>
  <c r="AQ1161" i="3" s="1"/>
  <c r="AP1142" i="3"/>
  <c r="AQ1142" i="3" s="1"/>
  <c r="AP1103" i="3"/>
  <c r="AQ1103" i="3" s="1"/>
  <c r="AP1051" i="3"/>
  <c r="AQ1051" i="3" s="1"/>
  <c r="AP1046" i="3"/>
  <c r="AQ1046" i="3" s="1"/>
  <c r="AP1028" i="3"/>
  <c r="AQ1028" i="3" s="1"/>
  <c r="AP1137" i="3"/>
  <c r="AQ1137" i="3" s="1"/>
  <c r="AP1086" i="3"/>
  <c r="AQ1086" i="3" s="1"/>
  <c r="AP1082" i="3"/>
  <c r="AQ1082" i="3" s="1"/>
  <c r="AP1079" i="3"/>
  <c r="AQ1079" i="3" s="1"/>
  <c r="AP1075" i="3"/>
  <c r="AQ1075" i="3" s="1"/>
  <c r="AP1071" i="3"/>
  <c r="AQ1071" i="3" s="1"/>
  <c r="AP1156" i="3"/>
  <c r="AQ1156" i="3" s="1"/>
  <c r="AP1104" i="3"/>
  <c r="AQ1104" i="3" s="1"/>
  <c r="AP1095" i="3"/>
  <c r="AQ1095" i="3" s="1"/>
  <c r="AP949" i="3"/>
  <c r="AQ949" i="3" s="1"/>
  <c r="AP1180" i="3"/>
  <c r="AQ1180" i="3" s="1"/>
  <c r="AP1130" i="3"/>
  <c r="AQ1130" i="3" s="1"/>
  <c r="AP1054" i="3"/>
  <c r="AQ1054" i="3" s="1"/>
  <c r="AP1039" i="3"/>
  <c r="AQ1039" i="3" s="1"/>
  <c r="AP958" i="3"/>
  <c r="AQ958" i="3" s="1"/>
  <c r="AP941" i="3"/>
  <c r="AQ941" i="3" s="1"/>
  <c r="AP885" i="3"/>
  <c r="AQ885" i="3" s="1"/>
  <c r="AP950" i="3"/>
  <c r="AQ950" i="3" s="1"/>
  <c r="AP933" i="3"/>
  <c r="AQ933" i="3" s="1"/>
  <c r="AP920" i="3"/>
  <c r="AQ920" i="3" s="1"/>
  <c r="AP1037" i="3"/>
  <c r="AQ1037" i="3" s="1"/>
  <c r="AP1032" i="3"/>
  <c r="AQ1032" i="3" s="1"/>
  <c r="AP1022" i="3"/>
  <c r="AQ1022" i="3" s="1"/>
  <c r="AP975" i="3"/>
  <c r="AQ975" i="3" s="1"/>
  <c r="AP942" i="3"/>
  <c r="AQ942" i="3" s="1"/>
  <c r="AP925" i="3"/>
  <c r="AQ925" i="3" s="1"/>
  <c r="AP1181" i="3"/>
  <c r="AQ1181" i="3" s="1"/>
  <c r="AP1135" i="3"/>
  <c r="AQ1135" i="3" s="1"/>
  <c r="AP934" i="3"/>
  <c r="AQ934" i="3" s="1"/>
  <c r="AP876" i="3"/>
  <c r="AQ876" i="3" s="1"/>
  <c r="AP1214" i="3"/>
  <c r="AQ1214" i="3" s="1"/>
  <c r="AP1171" i="3"/>
  <c r="AQ1171" i="3" s="1"/>
  <c r="AP1122" i="3"/>
  <c r="AQ1122" i="3" s="1"/>
  <c r="AP1115" i="3"/>
  <c r="AQ1115" i="3" s="1"/>
  <c r="AP1067" i="3"/>
  <c r="AQ1067" i="3" s="1"/>
  <c r="AP1064" i="3"/>
  <c r="AQ1064" i="3" s="1"/>
  <c r="AP981" i="3"/>
  <c r="AQ981" i="3" s="1"/>
  <c r="AP951" i="3"/>
  <c r="AQ951" i="3" s="1"/>
  <c r="AP926" i="3"/>
  <c r="AQ926" i="3" s="1"/>
  <c r="AP901" i="3"/>
  <c r="AQ901" i="3" s="1"/>
  <c r="AP1120" i="3"/>
  <c r="AQ1120" i="3" s="1"/>
  <c r="AP1074" i="3"/>
  <c r="AQ1074" i="3" s="1"/>
  <c r="AP1060" i="3"/>
  <c r="AQ1060" i="3" s="1"/>
  <c r="AP1035" i="3"/>
  <c r="AQ1035" i="3" s="1"/>
  <c r="AP1020" i="3"/>
  <c r="AQ1020" i="3" s="1"/>
  <c r="AP993" i="3"/>
  <c r="AQ993" i="3" s="1"/>
  <c r="AP943" i="3"/>
  <c r="AQ943" i="3" s="1"/>
  <c r="AP921" i="3"/>
  <c r="AQ921" i="3" s="1"/>
  <c r="AP906" i="3"/>
  <c r="AQ906" i="3" s="1"/>
  <c r="AP887" i="3"/>
  <c r="AQ887" i="3" s="1"/>
  <c r="AP872" i="3"/>
  <c r="AQ872" i="3" s="1"/>
  <c r="AP1172" i="3"/>
  <c r="AQ1172" i="3" s="1"/>
  <c r="AP1096" i="3"/>
  <c r="AQ1096" i="3" s="1"/>
  <c r="AP1038" i="3"/>
  <c r="AQ1038" i="3" s="1"/>
  <c r="AP1018" i="3"/>
  <c r="AQ1018" i="3" s="1"/>
  <c r="AP960" i="3"/>
  <c r="AQ960" i="3" s="1"/>
  <c r="AP1217" i="3"/>
  <c r="AQ1217" i="3" s="1"/>
  <c r="AP1123" i="3"/>
  <c r="AQ1123" i="3" s="1"/>
  <c r="AP1058" i="3"/>
  <c r="AQ1058" i="3" s="1"/>
  <c r="AP1005" i="3"/>
  <c r="AQ1005" i="3" s="1"/>
  <c r="AP994" i="3"/>
  <c r="AQ994" i="3" s="1"/>
  <c r="AP990" i="3"/>
  <c r="AQ990" i="3" s="1"/>
  <c r="AP982" i="3"/>
  <c r="AQ982" i="3" s="1"/>
  <c r="AP952" i="3"/>
  <c r="AQ952" i="3" s="1"/>
  <c r="AP1233" i="3"/>
  <c r="AQ1233" i="3" s="1"/>
  <c r="AP1231" i="3"/>
  <c r="AQ1231" i="3" s="1"/>
  <c r="AP1145" i="3"/>
  <c r="AQ1145" i="3" s="1"/>
  <c r="AP1112" i="3"/>
  <c r="AQ1112" i="3" s="1"/>
  <c r="AP1068" i="3"/>
  <c r="AQ1068" i="3" s="1"/>
  <c r="AP1000" i="3"/>
  <c r="AQ1000" i="3" s="1"/>
  <c r="AP988" i="3"/>
  <c r="AQ988" i="3" s="1"/>
  <c r="AP936" i="3"/>
  <c r="AQ936" i="3" s="1"/>
  <c r="AP913" i="3"/>
  <c r="AQ913" i="3" s="1"/>
  <c r="AP898" i="3"/>
  <c r="AQ898" i="3" s="1"/>
  <c r="AP1140" i="3"/>
  <c r="AQ1140" i="3" s="1"/>
  <c r="AP1041" i="3"/>
  <c r="AQ1041" i="3" s="1"/>
  <c r="AP999" i="3"/>
  <c r="AQ999" i="3" s="1"/>
  <c r="AP1056" i="3"/>
  <c r="AQ1056" i="3" s="1"/>
  <c r="AP976" i="3"/>
  <c r="AQ976" i="3" s="1"/>
  <c r="AP944" i="3"/>
  <c r="AQ944" i="3" s="1"/>
  <c r="AP930" i="3"/>
  <c r="AQ930" i="3" s="1"/>
  <c r="AP909" i="3"/>
  <c r="AQ909" i="3" s="1"/>
  <c r="AP1073" i="3"/>
  <c r="AQ1073" i="3" s="1"/>
  <c r="AP1059" i="3"/>
  <c r="AQ1059" i="3" s="1"/>
  <c r="AP1023" i="3"/>
  <c r="AQ1023" i="3" s="1"/>
  <c r="AP1019" i="3"/>
  <c r="AQ1019" i="3" s="1"/>
  <c r="AP1013" i="3"/>
  <c r="AQ1013" i="3" s="1"/>
  <c r="AP1211" i="3"/>
  <c r="AQ1211" i="3" s="1"/>
  <c r="AP1224" i="3"/>
  <c r="AQ1224" i="3" s="1"/>
  <c r="AP1221" i="3"/>
  <c r="AQ1221" i="3" s="1"/>
  <c r="AP1048" i="3"/>
  <c r="AQ1048" i="3" s="1"/>
  <c r="AP974" i="3"/>
  <c r="AQ974" i="3" s="1"/>
  <c r="AP811" i="3"/>
  <c r="AQ811" i="3" s="1"/>
  <c r="AP1151" i="3"/>
  <c r="AQ1151" i="3" s="1"/>
  <c r="AP1072" i="3"/>
  <c r="AQ1072" i="3" s="1"/>
  <c r="AP1166" i="3"/>
  <c r="AQ1166" i="3" s="1"/>
  <c r="AP1109" i="3"/>
  <c r="AQ1109" i="3" s="1"/>
  <c r="AP977" i="3"/>
  <c r="AQ977" i="3" s="1"/>
  <c r="AP1024" i="3"/>
  <c r="AQ1024" i="3" s="1"/>
  <c r="AP957" i="3"/>
  <c r="AQ957" i="3" s="1"/>
  <c r="AP825" i="3"/>
  <c r="AQ825" i="3" s="1"/>
  <c r="AP1062" i="3"/>
  <c r="AQ1062" i="3" s="1"/>
  <c r="AP927" i="3"/>
  <c r="AQ927" i="3" s="1"/>
  <c r="AP922" i="3"/>
  <c r="AQ922" i="3" s="1"/>
  <c r="AP902" i="3"/>
  <c r="AQ902" i="3" s="1"/>
  <c r="AP862" i="3"/>
  <c r="AQ862" i="3" s="1"/>
  <c r="AP842" i="3"/>
  <c r="AQ842" i="3" s="1"/>
  <c r="AP966" i="3"/>
  <c r="AQ966" i="3" s="1"/>
  <c r="AP918" i="3"/>
  <c r="AQ918" i="3" s="1"/>
  <c r="AP873" i="3"/>
  <c r="AQ873" i="3" s="1"/>
  <c r="AP837" i="3"/>
  <c r="AQ837" i="3" s="1"/>
  <c r="AP1033" i="3"/>
  <c r="AQ1033" i="3" s="1"/>
  <c r="AP878" i="3"/>
  <c r="AQ878" i="3" s="1"/>
  <c r="AP855" i="3"/>
  <c r="AQ855" i="3" s="1"/>
  <c r="AP845" i="3"/>
  <c r="AQ845" i="3" s="1"/>
  <c r="AP806" i="3"/>
  <c r="AQ806" i="3" s="1"/>
  <c r="AP775" i="3"/>
  <c r="AQ775" i="3" s="1"/>
  <c r="AP970" i="3"/>
  <c r="AQ970" i="3" s="1"/>
  <c r="AP894" i="3"/>
  <c r="AQ894" i="3" s="1"/>
  <c r="AP860" i="3"/>
  <c r="AQ860" i="3" s="1"/>
  <c r="AP813" i="3"/>
  <c r="AQ813" i="3" s="1"/>
  <c r="AP750" i="3"/>
  <c r="AQ750" i="3" s="1"/>
  <c r="AP882" i="3"/>
  <c r="AQ882" i="3" s="1"/>
  <c r="AP829" i="3"/>
  <c r="AQ829" i="3" s="1"/>
  <c r="AP799" i="3"/>
  <c r="AQ799" i="3" s="1"/>
  <c r="AP763" i="3"/>
  <c r="AQ763" i="3" s="1"/>
  <c r="AP738" i="3"/>
  <c r="AQ738" i="3" s="1"/>
  <c r="AP967" i="3"/>
  <c r="AQ967" i="3" s="1"/>
  <c r="AP903" i="3"/>
  <c r="AQ903" i="3" s="1"/>
  <c r="AP892" i="3"/>
  <c r="AQ892" i="3" s="1"/>
  <c r="AP869" i="3"/>
  <c r="AQ869" i="3" s="1"/>
  <c r="AP867" i="3"/>
  <c r="AQ867" i="3" s="1"/>
  <c r="AP789" i="3"/>
  <c r="AQ789" i="3" s="1"/>
  <c r="AP751" i="3"/>
  <c r="AQ751" i="3" s="1"/>
  <c r="AP716" i="3"/>
  <c r="AQ716" i="3" s="1"/>
  <c r="AP687" i="3"/>
  <c r="AQ687" i="3" s="1"/>
  <c r="AP912" i="3"/>
  <c r="AQ912" i="3" s="1"/>
  <c r="AP928" i="3"/>
  <c r="AQ928" i="3" s="1"/>
  <c r="AP905" i="3"/>
  <c r="AQ905" i="3" s="1"/>
  <c r="AP861" i="3"/>
  <c r="AQ861" i="3" s="1"/>
  <c r="AP820" i="3"/>
  <c r="AQ820" i="3" s="1"/>
  <c r="AP803" i="3"/>
  <c r="AQ803" i="3" s="1"/>
  <c r="AP800" i="3"/>
  <c r="AQ800" i="3" s="1"/>
  <c r="AP772" i="3"/>
  <c r="AQ772" i="3" s="1"/>
  <c r="AP768" i="3"/>
  <c r="AQ768" i="3" s="1"/>
  <c r="AP764" i="3"/>
  <c r="AQ764" i="3" s="1"/>
  <c r="AP743" i="3"/>
  <c r="AQ743" i="3" s="1"/>
  <c r="AP739" i="3"/>
  <c r="AQ739" i="3" s="1"/>
  <c r="AP730" i="3"/>
  <c r="AQ730" i="3" s="1"/>
  <c r="AP1006" i="3"/>
  <c r="AQ1006" i="3" s="1"/>
  <c r="AP1002" i="3"/>
  <c r="AQ1002" i="3" s="1"/>
  <c r="AP987" i="3"/>
  <c r="AQ987" i="3" s="1"/>
  <c r="AP893" i="3"/>
  <c r="AQ893" i="3" s="1"/>
  <c r="AP851" i="3"/>
  <c r="AQ851" i="3" s="1"/>
  <c r="AP814" i="3"/>
  <c r="AQ814" i="3" s="1"/>
  <c r="AP793" i="3"/>
  <c r="AQ793" i="3" s="1"/>
  <c r="AP919" i="3"/>
  <c r="AQ919" i="3" s="1"/>
  <c r="AP722" i="3"/>
  <c r="AQ722" i="3" s="1"/>
  <c r="AP682" i="3"/>
  <c r="AQ682" i="3" s="1"/>
  <c r="AP652" i="3"/>
  <c r="AQ652" i="3" s="1"/>
  <c r="AP890" i="3"/>
  <c r="AQ890" i="3" s="1"/>
  <c r="AP818" i="3"/>
  <c r="AQ818" i="3" s="1"/>
  <c r="AP735" i="3"/>
  <c r="AQ735" i="3" s="1"/>
  <c r="AP703" i="3"/>
  <c r="AQ703" i="3" s="1"/>
  <c r="AP688" i="3"/>
  <c r="AQ688" i="3" s="1"/>
  <c r="AP677" i="3"/>
  <c r="AQ677" i="3" s="1"/>
  <c r="AP662" i="3"/>
  <c r="AQ662" i="3" s="1"/>
  <c r="AP756" i="3"/>
  <c r="AQ756" i="3" s="1"/>
  <c r="AP877" i="3"/>
  <c r="AQ877" i="3" s="1"/>
  <c r="AP917" i="3"/>
  <c r="AQ917" i="3" s="1"/>
  <c r="AP846" i="3"/>
  <c r="AQ846" i="3" s="1"/>
  <c r="AP787" i="3"/>
  <c r="AQ787" i="3" s="1"/>
  <c r="AP777" i="3"/>
  <c r="AQ777" i="3" s="1"/>
  <c r="AP830" i="3"/>
  <c r="AQ830" i="3" s="1"/>
  <c r="AP854" i="3"/>
  <c r="AQ854" i="3" s="1"/>
  <c r="AP747" i="3"/>
  <c r="AQ747" i="3" s="1"/>
  <c r="AP823" i="3"/>
  <c r="AQ823" i="3" s="1"/>
  <c r="AP780" i="3"/>
  <c r="AQ780" i="3" s="1"/>
  <c r="AP761" i="3"/>
  <c r="AQ761" i="3" s="1"/>
  <c r="AP752" i="3"/>
  <c r="AQ752" i="3" s="1"/>
  <c r="AP701" i="3"/>
  <c r="AQ701" i="3" s="1"/>
  <c r="AP839" i="3"/>
  <c r="AQ839" i="3" s="1"/>
  <c r="AP807" i="3"/>
  <c r="AQ807" i="3" s="1"/>
  <c r="AP796" i="3"/>
  <c r="AQ796" i="3" s="1"/>
  <c r="AP790" i="3"/>
  <c r="AQ790" i="3" s="1"/>
  <c r="AP759" i="3"/>
  <c r="AQ759" i="3" s="1"/>
  <c r="AP736" i="3"/>
  <c r="AQ736" i="3" s="1"/>
  <c r="AP858" i="3"/>
  <c r="AQ858" i="3" s="1"/>
  <c r="AP821" i="3"/>
  <c r="AQ821" i="3" s="1"/>
  <c r="AP786" i="3"/>
  <c r="AQ786" i="3" s="1"/>
  <c r="AP783" i="3"/>
  <c r="AQ783" i="3" s="1"/>
  <c r="AP781" i="3"/>
  <c r="AQ781" i="3" s="1"/>
  <c r="AP734" i="3"/>
  <c r="AQ734" i="3" s="1"/>
  <c r="AP732" i="3"/>
  <c r="AQ732" i="3" s="1"/>
  <c r="AP721" i="3"/>
  <c r="AQ721" i="3" s="1"/>
  <c r="AP694" i="3"/>
  <c r="AQ694" i="3" s="1"/>
  <c r="AP692" i="3"/>
  <c r="AQ692" i="3" s="1"/>
  <c r="AP648" i="3"/>
  <c r="AQ648" i="3" s="1"/>
  <c r="AP618" i="3"/>
  <c r="AQ618" i="3" s="1"/>
  <c r="AP868" i="3"/>
  <c r="AQ868" i="3" s="1"/>
  <c r="AP935" i="3"/>
  <c r="AQ935" i="3" s="1"/>
  <c r="AP713" i="3"/>
  <c r="AQ713" i="3" s="1"/>
  <c r="AP706" i="3"/>
  <c r="AQ706" i="3" s="1"/>
  <c r="AP831" i="3"/>
  <c r="AQ831" i="3" s="1"/>
  <c r="AP717" i="3"/>
  <c r="AQ717" i="3" s="1"/>
  <c r="AP590" i="3"/>
  <c r="AQ590" i="3" s="1"/>
  <c r="AP667" i="3"/>
  <c r="AQ667" i="3" s="1"/>
  <c r="AP660" i="3"/>
  <c r="AQ660" i="3" s="1"/>
  <c r="AP655" i="3"/>
  <c r="AQ655" i="3" s="1"/>
  <c r="AP645" i="3"/>
  <c r="AQ645" i="3" s="1"/>
  <c r="AP633" i="3"/>
  <c r="AQ633" i="3" s="1"/>
  <c r="AP577" i="3"/>
  <c r="AQ577" i="3" s="1"/>
  <c r="AP573" i="3"/>
  <c r="AQ573" i="3" s="1"/>
  <c r="AP784" i="3"/>
  <c r="AQ784" i="3" s="1"/>
  <c r="AP626" i="3"/>
  <c r="AQ626" i="3" s="1"/>
  <c r="AP553" i="3"/>
  <c r="AQ553" i="3" s="1"/>
  <c r="AP658" i="3"/>
  <c r="AQ658" i="3" s="1"/>
  <c r="AP643" i="3"/>
  <c r="AQ643" i="3" s="1"/>
  <c r="AP601" i="3"/>
  <c r="AQ601" i="3" s="1"/>
  <c r="AP574" i="3"/>
  <c r="AQ574" i="3" s="1"/>
  <c r="AP471" i="3"/>
  <c r="AQ471" i="3" s="1"/>
  <c r="AP441" i="3"/>
  <c r="AQ441" i="3" s="1"/>
  <c r="AP888" i="3"/>
  <c r="AQ888" i="3" s="1"/>
  <c r="AP726" i="3"/>
  <c r="AQ726" i="3" s="1"/>
  <c r="AP707" i="3"/>
  <c r="AQ707" i="3" s="1"/>
  <c r="AP679" i="3"/>
  <c r="AQ679" i="3" s="1"/>
  <c r="AP676" i="3"/>
  <c r="AQ676" i="3" s="1"/>
  <c r="AP665" i="3"/>
  <c r="AQ665" i="3" s="1"/>
  <c r="AP597" i="3"/>
  <c r="AQ597" i="3" s="1"/>
  <c r="AP1008" i="3"/>
  <c r="AQ1008" i="3" s="1"/>
  <c r="AP621" i="3"/>
  <c r="AQ621" i="3" s="1"/>
  <c r="AP561" i="3"/>
  <c r="AQ561" i="3" s="1"/>
  <c r="AP541" i="3"/>
  <c r="AQ541" i="3" s="1"/>
  <c r="AP521" i="3"/>
  <c r="AQ521" i="3" s="1"/>
  <c r="AP508" i="3"/>
  <c r="AQ508" i="3" s="1"/>
  <c r="AP484" i="3"/>
  <c r="AQ484" i="3" s="1"/>
  <c r="AP478" i="3"/>
  <c r="AQ478" i="3" s="1"/>
  <c r="AP961" i="3"/>
  <c r="AQ961" i="3" s="1"/>
  <c r="AP769" i="3"/>
  <c r="AQ769" i="3" s="1"/>
  <c r="AP712" i="3"/>
  <c r="AQ712" i="3" s="1"/>
  <c r="AP773" i="3"/>
  <c r="AQ773" i="3" s="1"/>
  <c r="AP741" i="3"/>
  <c r="AQ741" i="3" s="1"/>
  <c r="AP718" i="3"/>
  <c r="AQ718" i="3" s="1"/>
  <c r="AP639" i="3"/>
  <c r="AQ639" i="3" s="1"/>
  <c r="AP616" i="3"/>
  <c r="AQ616" i="3" s="1"/>
  <c r="AP581" i="3"/>
  <c r="AQ581" i="3" s="1"/>
  <c r="AP538" i="3"/>
  <c r="AQ538" i="3" s="1"/>
  <c r="AP534" i="3"/>
  <c r="AQ534" i="3" s="1"/>
  <c r="AP517" i="3"/>
  <c r="AQ517" i="3" s="1"/>
  <c r="AP485" i="3"/>
  <c r="AQ485" i="3" s="1"/>
  <c r="AP731" i="3"/>
  <c r="AQ731" i="3" s="1"/>
  <c r="AP686" i="3"/>
  <c r="AQ686" i="3" s="1"/>
  <c r="AP672" i="3"/>
  <c r="AQ672" i="3" s="1"/>
  <c r="AP602" i="3"/>
  <c r="AQ602" i="3" s="1"/>
  <c r="AP558" i="3"/>
  <c r="AQ558" i="3" s="1"/>
  <c r="AP530" i="3"/>
  <c r="AQ530" i="3" s="1"/>
  <c r="AP526" i="3"/>
  <c r="AQ526" i="3" s="1"/>
  <c r="AP504" i="3"/>
  <c r="AQ504" i="3" s="1"/>
  <c r="AP838" i="3"/>
  <c r="AQ838" i="3" s="1"/>
  <c r="AP697" i="3"/>
  <c r="AQ697" i="3" s="1"/>
  <c r="AP684" i="3"/>
  <c r="AQ684" i="3" s="1"/>
  <c r="AP670" i="3"/>
  <c r="AQ670" i="3" s="1"/>
  <c r="AP668" i="3"/>
  <c r="AQ668" i="3" s="1"/>
  <c r="AP644" i="3"/>
  <c r="AQ644" i="3" s="1"/>
  <c r="AP627" i="3"/>
  <c r="AQ627" i="3" s="1"/>
  <c r="AP757" i="3"/>
  <c r="AQ757" i="3" s="1"/>
  <c r="AP659" i="3"/>
  <c r="AQ659" i="3" s="1"/>
  <c r="AP657" i="3"/>
  <c r="AQ657" i="3" s="1"/>
  <c r="AP589" i="3"/>
  <c r="AQ589" i="3" s="1"/>
  <c r="AP552" i="3"/>
  <c r="AQ552" i="3" s="1"/>
  <c r="AP497" i="3"/>
  <c r="AQ497" i="3" s="1"/>
  <c r="AP569" i="3"/>
  <c r="AQ569" i="3" s="1"/>
  <c r="AP562" i="3"/>
  <c r="AQ562" i="3" s="1"/>
  <c r="AP557" i="3"/>
  <c r="AQ557" i="3" s="1"/>
  <c r="AP492" i="3"/>
  <c r="AQ492" i="3" s="1"/>
  <c r="AP460" i="3"/>
  <c r="AQ460" i="3" s="1"/>
  <c r="AP421" i="3"/>
  <c r="AQ421" i="3" s="1"/>
  <c r="AP398" i="3"/>
  <c r="AQ398" i="3" s="1"/>
  <c r="AP608" i="3"/>
  <c r="AQ608" i="3" s="1"/>
  <c r="AP606" i="3"/>
  <c r="AQ606" i="3" s="1"/>
  <c r="AP578" i="3"/>
  <c r="AQ578" i="3" s="1"/>
  <c r="AP525" i="3"/>
  <c r="AQ525" i="3" s="1"/>
  <c r="AP593" i="3"/>
  <c r="AQ593" i="3" s="1"/>
  <c r="AP585" i="3"/>
  <c r="AQ585" i="3" s="1"/>
  <c r="AP448" i="3"/>
  <c r="AQ448" i="3" s="1"/>
  <c r="AP824" i="3"/>
  <c r="AQ824" i="3" s="1"/>
  <c r="AP702" i="3"/>
  <c r="AQ702" i="3" s="1"/>
  <c r="AP475" i="3"/>
  <c r="AQ475" i="3" s="1"/>
  <c r="AP414" i="3"/>
  <c r="AQ414" i="3" s="1"/>
  <c r="AP355" i="3"/>
  <c r="AQ355" i="3" s="1"/>
  <c r="AP349" i="3"/>
  <c r="AQ349" i="3" s="1"/>
  <c r="AP343" i="3"/>
  <c r="AQ343" i="3" s="1"/>
  <c r="AP337" i="3"/>
  <c r="AQ337" i="3" s="1"/>
  <c r="AP678" i="3"/>
  <c r="AQ678" i="3" s="1"/>
  <c r="AP632" i="3"/>
  <c r="AQ632" i="3" s="1"/>
  <c r="AP623" i="3"/>
  <c r="AQ623" i="3" s="1"/>
  <c r="AP598" i="3"/>
  <c r="AQ598" i="3" s="1"/>
  <c r="AP510" i="3"/>
  <c r="AQ510" i="3" s="1"/>
  <c r="AP704" i="3"/>
  <c r="AQ704" i="3" s="1"/>
  <c r="AP614" i="3"/>
  <c r="AQ614" i="3" s="1"/>
  <c r="AP609" i="3"/>
  <c r="AQ609" i="3" s="1"/>
  <c r="AP546" i="3"/>
  <c r="AQ546" i="3" s="1"/>
  <c r="AP637" i="3"/>
  <c r="AQ637" i="3" s="1"/>
  <c r="AP544" i="3"/>
  <c r="AQ544" i="3" s="1"/>
  <c r="AP493" i="3"/>
  <c r="AQ493" i="3" s="1"/>
  <c r="AP430" i="3"/>
  <c r="AQ430" i="3" s="1"/>
  <c r="AP391" i="3"/>
  <c r="AQ391" i="3" s="1"/>
  <c r="AP708" i="3"/>
  <c r="AQ708" i="3" s="1"/>
  <c r="AP625" i="3"/>
  <c r="AQ625" i="3" s="1"/>
  <c r="AP565" i="3"/>
  <c r="AQ565" i="3" s="1"/>
  <c r="AP456" i="3"/>
  <c r="AQ456" i="3" s="1"/>
  <c r="AP740" i="3"/>
  <c r="AQ740" i="3" s="1"/>
  <c r="AP755" i="3"/>
  <c r="AQ755" i="3" s="1"/>
  <c r="AP619" i="3"/>
  <c r="AQ619" i="3" s="1"/>
  <c r="AP586" i="3"/>
  <c r="AQ586" i="3" s="1"/>
  <c r="AP582" i="3"/>
  <c r="AQ582" i="3" s="1"/>
  <c r="AP568" i="3"/>
  <c r="AQ568" i="3" s="1"/>
  <c r="AP549" i="3"/>
  <c r="AQ549" i="3" s="1"/>
  <c r="AP533" i="3"/>
  <c r="AQ533" i="3" s="1"/>
  <c r="AP513" i="3"/>
  <c r="AQ513" i="3" s="1"/>
  <c r="AP689" i="3"/>
  <c r="AQ689" i="3" s="1"/>
  <c r="AP566" i="3"/>
  <c r="AQ566" i="3" s="1"/>
  <c r="AP527" i="3"/>
  <c r="AQ527" i="3" s="1"/>
  <c r="AP496" i="3"/>
  <c r="AQ496" i="3" s="1"/>
  <c r="AP474" i="3"/>
  <c r="AQ474" i="3" s="1"/>
  <c r="AP503" i="3"/>
  <c r="AQ503" i="3" s="1"/>
  <c r="AP491" i="3"/>
  <c r="AQ491" i="3" s="1"/>
  <c r="AP467" i="3"/>
  <c r="AQ467" i="3" s="1"/>
  <c r="AP406" i="3"/>
  <c r="AQ406" i="3" s="1"/>
  <c r="AP529" i="3"/>
  <c r="AQ529" i="3" s="1"/>
  <c r="AP511" i="3"/>
  <c r="AQ511" i="3" s="1"/>
  <c r="AP453" i="3"/>
  <c r="AQ453" i="3" s="1"/>
  <c r="AP344" i="3"/>
  <c r="AQ344" i="3" s="1"/>
  <c r="AP338" i="3"/>
  <c r="AQ338" i="3" s="1"/>
  <c r="AP307" i="3"/>
  <c r="AQ307" i="3" s="1"/>
  <c r="AP654" i="3"/>
  <c r="AQ654" i="3" s="1"/>
  <c r="AP472" i="3"/>
  <c r="AQ472" i="3" s="1"/>
  <c r="AP469" i="3"/>
  <c r="AQ469" i="3" s="1"/>
  <c r="AP442" i="3"/>
  <c r="AQ442" i="3" s="1"/>
  <c r="AP424" i="3"/>
  <c r="AQ424" i="3" s="1"/>
  <c r="AP385" i="3"/>
  <c r="AQ385" i="3" s="1"/>
  <c r="AP373" i="3"/>
  <c r="AQ373" i="3" s="1"/>
  <c r="AP367" i="3"/>
  <c r="AQ367" i="3" s="1"/>
  <c r="AP691" i="3"/>
  <c r="AQ691" i="3" s="1"/>
  <c r="AP673" i="3"/>
  <c r="AQ673" i="3" s="1"/>
  <c r="AP555" i="3"/>
  <c r="AQ555" i="3" s="1"/>
  <c r="AP356" i="3"/>
  <c r="AQ356" i="3" s="1"/>
  <c r="AP622" i="3"/>
  <c r="AQ622" i="3" s="1"/>
  <c r="AP592" i="3"/>
  <c r="AQ592" i="3" s="1"/>
  <c r="AP454" i="3"/>
  <c r="AQ454" i="3" s="1"/>
  <c r="AP308" i="3"/>
  <c r="AQ308" i="3" s="1"/>
  <c r="AP473" i="3"/>
  <c r="AQ473" i="3" s="1"/>
  <c r="AP449" i="3"/>
  <c r="AQ449" i="3" s="1"/>
  <c r="AP435" i="3"/>
  <c r="AQ435" i="3" s="1"/>
  <c r="AP362" i="3"/>
  <c r="AQ362" i="3" s="1"/>
  <c r="AP345" i="3"/>
  <c r="AQ345" i="3" s="1"/>
  <c r="AP433" i="3"/>
  <c r="AQ433" i="3" s="1"/>
  <c r="AP407" i="3"/>
  <c r="AQ407" i="3" s="1"/>
  <c r="AP309" i="3"/>
  <c r="AQ309" i="3" s="1"/>
  <c r="AP267" i="3"/>
  <c r="AQ267" i="3" s="1"/>
  <c r="AP250" i="3"/>
  <c r="AQ250" i="3" s="1"/>
  <c r="AP220" i="3"/>
  <c r="AQ220" i="3" s="1"/>
  <c r="AP605" i="3"/>
  <c r="AQ605" i="3" s="1"/>
  <c r="AP765" i="3"/>
  <c r="AQ765" i="3" s="1"/>
  <c r="AP502" i="3"/>
  <c r="AQ502" i="3" s="1"/>
  <c r="AP490" i="3"/>
  <c r="AQ490" i="3" s="1"/>
  <c r="AP486" i="3"/>
  <c r="AQ486" i="3" s="1"/>
  <c r="AP410" i="3"/>
  <c r="AQ410" i="3" s="1"/>
  <c r="AP397" i="3"/>
  <c r="AQ397" i="3" s="1"/>
  <c r="AP363" i="3"/>
  <c r="AQ363" i="3" s="1"/>
  <c r="AP647" i="3"/>
  <c r="AQ647" i="3" s="1"/>
  <c r="AP617" i="3"/>
  <c r="AQ617" i="3" s="1"/>
  <c r="AP550" i="3"/>
  <c r="AQ550" i="3" s="1"/>
  <c r="AP423" i="3"/>
  <c r="AQ423" i="3" s="1"/>
  <c r="AP415" i="3"/>
  <c r="AQ415" i="3" s="1"/>
  <c r="AP395" i="3"/>
  <c r="AQ395" i="3" s="1"/>
  <c r="AP382" i="3"/>
  <c r="AQ382" i="3" s="1"/>
  <c r="AP368" i="3"/>
  <c r="AQ368" i="3" s="1"/>
  <c r="AP302" i="3"/>
  <c r="AQ302" i="3" s="1"/>
  <c r="AP299" i="3"/>
  <c r="AQ299" i="3" s="1"/>
  <c r="AP292" i="3"/>
  <c r="AQ292" i="3" s="1"/>
  <c r="AP277" i="3"/>
  <c r="AQ277" i="3" s="1"/>
  <c r="AP487" i="3"/>
  <c r="AQ487" i="3" s="1"/>
  <c r="AP481" i="3"/>
  <c r="AQ481" i="3" s="1"/>
  <c r="AP429" i="3"/>
  <c r="AQ429" i="3" s="1"/>
  <c r="AP324" i="3"/>
  <c r="AQ324" i="3" s="1"/>
  <c r="AP285" i="3"/>
  <c r="AQ285" i="3" s="1"/>
  <c r="AP214" i="3"/>
  <c r="AQ214" i="3" s="1"/>
  <c r="AP178" i="3"/>
  <c r="AQ178" i="3" s="1"/>
  <c r="AP331" i="3"/>
  <c r="AQ331" i="3" s="1"/>
  <c r="AP300" i="3"/>
  <c r="AQ300" i="3" s="1"/>
  <c r="AP235" i="3"/>
  <c r="AQ235" i="3" s="1"/>
  <c r="AP584" i="3"/>
  <c r="AQ584" i="3" s="1"/>
  <c r="AP389" i="3"/>
  <c r="AQ389" i="3" s="1"/>
  <c r="AP317" i="3"/>
  <c r="AQ317" i="3" s="1"/>
  <c r="AP203" i="3"/>
  <c r="AQ203" i="3" s="1"/>
  <c r="AP179" i="3"/>
  <c r="AQ179" i="3" s="1"/>
  <c r="AP167" i="3"/>
  <c r="AQ167" i="3" s="1"/>
  <c r="AP161" i="3"/>
  <c r="AQ161" i="3" s="1"/>
  <c r="AP400" i="3"/>
  <c r="AQ400" i="3" s="1"/>
  <c r="AP376" i="3"/>
  <c r="AQ376" i="3" s="1"/>
  <c r="AP369" i="3"/>
  <c r="AQ369" i="3" s="1"/>
  <c r="AP353" i="3"/>
  <c r="AQ353" i="3" s="1"/>
  <c r="AP280" i="3"/>
  <c r="AQ280" i="3" s="1"/>
  <c r="AP436" i="3"/>
  <c r="AQ436" i="3" s="1"/>
  <c r="AP358" i="3"/>
  <c r="AQ358" i="3" s="1"/>
  <c r="AP236" i="3"/>
  <c r="AQ236" i="3" s="1"/>
  <c r="AP211" i="3"/>
  <c r="AQ211" i="3" s="1"/>
  <c r="AP194" i="3"/>
  <c r="AQ194" i="3" s="1"/>
  <c r="AP390" i="3"/>
  <c r="AQ390" i="3" s="1"/>
  <c r="AP295" i="3"/>
  <c r="AQ295" i="3" s="1"/>
  <c r="AP272" i="3"/>
  <c r="AQ272" i="3" s="1"/>
  <c r="AP226" i="3"/>
  <c r="AQ226" i="3" s="1"/>
  <c r="AP215" i="3"/>
  <c r="AQ215" i="3" s="1"/>
  <c r="AP519" i="3"/>
  <c r="AQ519" i="3" s="1"/>
  <c r="AP387" i="3"/>
  <c r="AQ387" i="3" s="1"/>
  <c r="AP374" i="3"/>
  <c r="AQ374" i="3" s="1"/>
  <c r="AP450" i="3"/>
  <c r="AQ450" i="3" s="1"/>
  <c r="AP394" i="3"/>
  <c r="AQ394" i="3" s="1"/>
  <c r="AP357" i="3"/>
  <c r="AQ357" i="3" s="1"/>
  <c r="AP346" i="3"/>
  <c r="AQ346" i="3" s="1"/>
  <c r="AP320" i="3"/>
  <c r="AQ320" i="3" s="1"/>
  <c r="AP315" i="3"/>
  <c r="AQ315" i="3" s="1"/>
  <c r="AP286" i="3"/>
  <c r="AQ286" i="3" s="1"/>
  <c r="AP260" i="3"/>
  <c r="AQ260" i="3" s="1"/>
  <c r="AP252" i="3"/>
  <c r="AQ252" i="3" s="1"/>
  <c r="AP248" i="3"/>
  <c r="AQ248" i="3" s="1"/>
  <c r="AP542" i="3"/>
  <c r="AQ542" i="3" s="1"/>
  <c r="AP455" i="3"/>
  <c r="AQ455" i="3" s="1"/>
  <c r="AP284" i="3"/>
  <c r="AQ284" i="3" s="1"/>
  <c r="AP276" i="3"/>
  <c r="AQ276" i="3" s="1"/>
  <c r="AP268" i="3"/>
  <c r="AQ268" i="3" s="1"/>
  <c r="AP801" i="3"/>
  <c r="AQ801" i="3" s="1"/>
  <c r="AP386" i="3"/>
  <c r="AQ386" i="3" s="1"/>
  <c r="AP381" i="3"/>
  <c r="AQ381" i="3" s="1"/>
  <c r="AP375" i="3"/>
  <c r="AQ375" i="3" s="1"/>
  <c r="AP318" i="3"/>
  <c r="AQ318" i="3" s="1"/>
  <c r="AP291" i="3"/>
  <c r="AQ291" i="3" s="1"/>
  <c r="AP554" i="3"/>
  <c r="AQ554" i="3" s="1"/>
  <c r="AP547" i="3"/>
  <c r="AQ547" i="3" s="1"/>
  <c r="AP506" i="3"/>
  <c r="AQ506" i="3" s="1"/>
  <c r="AP468" i="3"/>
  <c r="AQ468" i="3" s="1"/>
  <c r="AP466" i="3"/>
  <c r="AQ466" i="3" s="1"/>
  <c r="AP522" i="3"/>
  <c r="AQ522" i="3" s="1"/>
  <c r="AP518" i="3"/>
  <c r="AQ518" i="3" s="1"/>
  <c r="AP327" i="3"/>
  <c r="AQ327" i="3" s="1"/>
  <c r="AP180" i="3"/>
  <c r="AQ180" i="3" s="1"/>
  <c r="AP121" i="3"/>
  <c r="AQ121" i="3" s="1"/>
  <c r="AP66" i="3"/>
  <c r="AQ66" i="3" s="1"/>
  <c r="AP59" i="3"/>
  <c r="AQ59" i="3" s="1"/>
  <c r="AP18" i="3"/>
  <c r="AQ18" i="3" s="1"/>
  <c r="AP9" i="3"/>
  <c r="AQ9" i="3" s="1"/>
  <c r="AP288" i="3"/>
  <c r="AQ288" i="3" s="1"/>
  <c r="AP107" i="3"/>
  <c r="AQ107" i="3" s="1"/>
  <c r="AP75" i="3"/>
  <c r="AQ75" i="3" s="1"/>
  <c r="AP137" i="3"/>
  <c r="AQ137" i="3" s="1"/>
  <c r="AP134" i="3"/>
  <c r="AQ134" i="3" s="1"/>
  <c r="AP117" i="3"/>
  <c r="AQ117" i="3" s="1"/>
  <c r="AP89" i="3"/>
  <c r="AQ89" i="3" s="1"/>
  <c r="AP68" i="3"/>
  <c r="AQ68" i="3" s="1"/>
  <c r="AP323" i="3"/>
  <c r="AQ323" i="3" s="1"/>
  <c r="AP303" i="3"/>
  <c r="AQ303" i="3" s="1"/>
  <c r="AP243" i="3"/>
  <c r="AQ243" i="3" s="1"/>
  <c r="AP219" i="3"/>
  <c r="AQ219" i="3" s="1"/>
  <c r="AP163" i="3"/>
  <c r="AQ163" i="3" s="1"/>
  <c r="AP130" i="3"/>
  <c r="AQ130" i="3" s="1"/>
  <c r="AP32" i="3"/>
  <c r="AQ32" i="3" s="1"/>
  <c r="AP67" i="3"/>
  <c r="AQ67" i="3" s="1"/>
  <c r="AP45" i="3"/>
  <c r="AQ45" i="3" s="1"/>
  <c r="AP56" i="3"/>
  <c r="AQ56" i="3" s="1"/>
  <c r="AP325" i="3"/>
  <c r="AQ325" i="3" s="1"/>
  <c r="AP221" i="3"/>
  <c r="AQ221" i="3" s="1"/>
  <c r="AP216" i="3"/>
  <c r="AQ216" i="3" s="1"/>
  <c r="AP204" i="3"/>
  <c r="AQ204" i="3" s="1"/>
  <c r="AP157" i="3"/>
  <c r="AQ157" i="3" s="1"/>
  <c r="AP11" i="3"/>
  <c r="AQ11" i="3" s="1"/>
  <c r="AP416" i="3"/>
  <c r="AQ416" i="3" s="1"/>
  <c r="AP245" i="3"/>
  <c r="AQ245" i="3" s="1"/>
  <c r="AP230" i="3"/>
  <c r="AQ230" i="3" s="1"/>
  <c r="AP138" i="3"/>
  <c r="AQ138" i="3" s="1"/>
  <c r="AP129" i="3"/>
  <c r="AQ129" i="3" s="1"/>
  <c r="AP36" i="3"/>
  <c r="AQ36" i="3" s="1"/>
  <c r="AP19" i="3"/>
  <c r="AQ19" i="3" s="1"/>
  <c r="AP37" i="3"/>
  <c r="AQ37" i="3" s="1"/>
  <c r="AP53" i="3"/>
  <c r="AQ53" i="3" s="1"/>
  <c r="AP146" i="3"/>
  <c r="AQ146" i="3" s="1"/>
  <c r="AP422" i="3"/>
  <c r="AQ422" i="3" s="1"/>
  <c r="AP199" i="3"/>
  <c r="AQ199" i="3" s="1"/>
  <c r="AP185" i="3"/>
  <c r="AQ185" i="3" s="1"/>
  <c r="AP175" i="3"/>
  <c r="AQ175" i="3" s="1"/>
  <c r="AP168" i="3"/>
  <c r="AQ168" i="3" s="1"/>
  <c r="AP97" i="3"/>
  <c r="AQ97" i="3" s="1"/>
  <c r="AP65" i="3"/>
  <c r="AQ65" i="3" s="1"/>
  <c r="AP3" i="3"/>
  <c r="AQ3" i="3" s="1"/>
  <c r="AP20" i="3"/>
  <c r="AQ20" i="3" s="1"/>
  <c r="AP57" i="3"/>
  <c r="AQ57" i="3" s="1"/>
  <c r="AP190" i="3"/>
  <c r="AQ190" i="3" s="1"/>
  <c r="AP237" i="3"/>
  <c r="AQ237" i="3" s="1"/>
  <c r="AP13" i="3"/>
  <c r="AQ13" i="3" s="1"/>
  <c r="AP24" i="3"/>
  <c r="AQ24" i="3" s="1"/>
  <c r="AP29" i="3"/>
  <c r="AQ29" i="3" s="1"/>
  <c r="AP10" i="3"/>
  <c r="AQ10" i="3" s="1"/>
  <c r="AP5" i="3"/>
  <c r="AQ5" i="3" s="1"/>
  <c r="AP25" i="3"/>
  <c r="AQ25" i="3" s="1"/>
  <c r="AP15" i="3"/>
  <c r="AQ15" i="3" s="1"/>
  <c r="AP251" i="3"/>
  <c r="AQ251" i="3" s="1"/>
  <c r="AP187" i="3"/>
  <c r="AQ187" i="3" s="1"/>
  <c r="AP100" i="3"/>
  <c r="AQ100" i="3" s="1"/>
  <c r="AP46" i="3"/>
  <c r="AQ46" i="3" s="1"/>
  <c r="AP34" i="3"/>
  <c r="AQ34" i="3" s="1"/>
  <c r="AP480" i="3"/>
  <c r="AQ480" i="3" s="1"/>
  <c r="AP316" i="3"/>
  <c r="AQ316" i="3" s="1"/>
  <c r="AP207" i="3"/>
  <c r="AQ207" i="3" s="1"/>
  <c r="AP197" i="3"/>
  <c r="AQ197" i="3" s="1"/>
  <c r="AP195" i="3"/>
  <c r="AQ195" i="3" s="1"/>
  <c r="AP283" i="3"/>
  <c r="AQ283" i="3" s="1"/>
  <c r="AP246" i="3"/>
  <c r="AQ246" i="3" s="1"/>
  <c r="AP186" i="3"/>
  <c r="AQ186" i="3" s="1"/>
  <c r="AP98" i="3"/>
  <c r="AQ98" i="3" s="1"/>
  <c r="AP91" i="3"/>
  <c r="AQ91" i="3" s="1"/>
  <c r="AP33" i="3"/>
  <c r="AQ33" i="3" s="1"/>
  <c r="AP82" i="3"/>
  <c r="AQ82" i="3" s="1"/>
  <c r="AP279" i="3"/>
  <c r="AQ279" i="3" s="1"/>
  <c r="AP275" i="3"/>
  <c r="AQ275" i="3" s="1"/>
  <c r="AP231" i="3"/>
  <c r="AQ231" i="3" s="1"/>
  <c r="AP205" i="3"/>
  <c r="AQ205" i="3" s="1"/>
  <c r="AP181" i="3"/>
  <c r="AQ181" i="3" s="1"/>
  <c r="AP139" i="3"/>
  <c r="AQ139" i="3" s="1"/>
  <c r="AP105" i="3"/>
  <c r="AQ105" i="3" s="1"/>
  <c r="AP84" i="3"/>
  <c r="AQ84" i="3" s="1"/>
  <c r="AP73" i="3"/>
  <c r="AQ73" i="3" s="1"/>
  <c r="AP52" i="3"/>
  <c r="AQ52" i="3" s="1"/>
  <c r="AP28" i="3"/>
  <c r="AQ28" i="3" s="1"/>
  <c r="AP23" i="3"/>
  <c r="AQ23" i="3" s="1"/>
  <c r="AP8" i="3"/>
  <c r="AQ8" i="3" s="1"/>
  <c r="AP4" i="3"/>
  <c r="AQ4" i="3" s="1"/>
  <c r="AP169" i="3"/>
  <c r="AQ169" i="3" s="1"/>
  <c r="AP122" i="3"/>
  <c r="AQ122" i="3" s="1"/>
  <c r="AP116" i="3"/>
  <c r="AQ116" i="3" s="1"/>
  <c r="AP112" i="3"/>
  <c r="AQ112" i="3" s="1"/>
  <c r="AP80" i="3"/>
  <c r="AQ80" i="3" s="1"/>
  <c r="AP48" i="3"/>
  <c r="AQ48" i="3" s="1"/>
  <c r="AP40" i="3"/>
  <c r="AQ40" i="3" s="1"/>
  <c r="AP14" i="3"/>
  <c r="AQ14" i="3" s="1"/>
  <c r="AP85" i="3"/>
  <c r="AQ85" i="3" s="1"/>
  <c r="AP334" i="3"/>
  <c r="AQ334" i="3" s="1"/>
  <c r="AP223" i="3"/>
  <c r="AQ223" i="3" s="1"/>
  <c r="AP42" i="3"/>
  <c r="AQ42" i="3" s="1"/>
  <c r="AP242" i="3"/>
  <c r="AQ242" i="3" s="1"/>
  <c r="AP110" i="3"/>
  <c r="AQ110" i="3" s="1"/>
  <c r="AP78" i="3"/>
  <c r="AQ78" i="3" s="1"/>
  <c r="AP227" i="3"/>
  <c r="AQ227" i="3" s="1"/>
  <c r="AP153" i="3"/>
  <c r="AQ153" i="3" s="1"/>
  <c r="AP109" i="3"/>
  <c r="AQ109" i="3" s="1"/>
  <c r="AP77" i="3"/>
  <c r="AQ77" i="3" s="1"/>
  <c r="AP114" i="3"/>
  <c r="AQ114" i="3" s="1"/>
  <c r="AP50" i="3"/>
  <c r="AQ50" i="3" s="1"/>
  <c r="AP200" i="3"/>
  <c r="AQ200" i="3" s="1"/>
  <c r="AP148" i="3"/>
  <c r="AQ148" i="3" s="1"/>
  <c r="AP131" i="3"/>
  <c r="AQ131" i="3" s="1"/>
  <c r="AP125" i="3"/>
  <c r="AQ125" i="3" s="1"/>
  <c r="AP106" i="3"/>
  <c r="AQ106" i="3" s="1"/>
  <c r="AP99" i="3"/>
  <c r="AQ99" i="3" s="1"/>
  <c r="AP74" i="3"/>
  <c r="AQ74" i="3" s="1"/>
  <c r="AP365" i="3"/>
  <c r="AQ365" i="3" s="1"/>
  <c r="AP352" i="3"/>
  <c r="AQ352" i="3" s="1"/>
  <c r="AP208" i="3"/>
  <c r="AQ208" i="3" s="1"/>
  <c r="AP196" i="3"/>
  <c r="AQ196" i="3" s="1"/>
  <c r="AP176" i="3"/>
  <c r="AQ176" i="3" s="1"/>
  <c r="AP113" i="3"/>
  <c r="AQ113" i="3" s="1"/>
  <c r="AP102" i="3"/>
  <c r="AQ102" i="3" s="1"/>
  <c r="AP92" i="3"/>
  <c r="AQ92" i="3" s="1"/>
  <c r="AP81" i="3"/>
  <c r="AQ81" i="3" s="1"/>
  <c r="AP70" i="3"/>
  <c r="AQ70" i="3" s="1"/>
  <c r="AP60" i="3"/>
  <c r="AQ60" i="3" s="1"/>
  <c r="AP49" i="3"/>
  <c r="AQ49" i="3" s="1"/>
  <c r="AP41" i="3"/>
  <c r="AQ41" i="3" s="1"/>
  <c r="AP278" i="3"/>
  <c r="AQ278" i="3" s="1"/>
  <c r="AP255" i="3"/>
  <c r="AQ255" i="3" s="1"/>
  <c r="AP213" i="3"/>
  <c r="AQ213" i="3" s="1"/>
  <c r="AP191" i="3"/>
  <c r="AQ191" i="3" s="1"/>
  <c r="AP162" i="3"/>
  <c r="AQ162" i="3" s="1"/>
  <c r="AP154" i="3"/>
  <c r="AQ154" i="3" s="1"/>
  <c r="AP145" i="3"/>
  <c r="AQ145" i="3" s="1"/>
  <c r="AP142" i="3"/>
  <c r="AQ142" i="3" s="1"/>
  <c r="AP88" i="3"/>
  <c r="AQ88" i="3" s="1"/>
  <c r="AP259" i="3"/>
  <c r="AQ259" i="3" s="1"/>
  <c r="AP174" i="3"/>
  <c r="AQ174" i="3" s="1"/>
  <c r="AP140" i="3"/>
  <c r="AQ140" i="3" s="1"/>
  <c r="AP123" i="3"/>
  <c r="AQ123" i="3" s="1"/>
  <c r="AP171" i="3"/>
  <c r="AQ171" i="3" s="1"/>
  <c r="AP217" i="3"/>
  <c r="AQ217" i="3" s="1"/>
  <c r="AP256" i="3"/>
  <c r="AQ256" i="3" s="1"/>
  <c r="AP192" i="3"/>
  <c r="AQ192" i="3" s="1"/>
  <c r="AP159" i="3"/>
  <c r="AQ159" i="3" s="1"/>
  <c r="AP198" i="3"/>
  <c r="AQ198" i="3" s="1"/>
  <c r="AP43" i="3"/>
  <c r="AQ43" i="3" s="1"/>
  <c r="AP297" i="3"/>
  <c r="AQ297" i="3" s="1"/>
  <c r="AP289" i="3"/>
  <c r="AQ289" i="3" s="1"/>
  <c r="AP392" i="3"/>
  <c r="AQ392" i="3" s="1"/>
  <c r="AP340" i="3"/>
  <c r="AQ340" i="3" s="1"/>
  <c r="AP239" i="3"/>
  <c r="AQ239" i="3" s="1"/>
  <c r="AP332" i="3"/>
  <c r="AQ332" i="3" s="1"/>
  <c r="AP571" i="3"/>
  <c r="AQ571" i="3" s="1"/>
  <c r="AP489" i="3"/>
  <c r="AQ489" i="3" s="1"/>
  <c r="AP705" i="3"/>
  <c r="AQ705" i="3" s="1"/>
  <c r="AP404" i="3"/>
  <c r="AQ404" i="3" s="1"/>
  <c r="AP794" i="3"/>
  <c r="AQ794" i="3" s="1"/>
  <c r="AP575" i="3"/>
  <c r="AQ575" i="3" s="1"/>
  <c r="AP699" i="3"/>
  <c r="AQ699" i="3" s="1"/>
  <c r="AP636" i="3"/>
  <c r="AQ636" i="3" s="1"/>
  <c r="AP816" i="3"/>
  <c r="AQ816" i="3" s="1"/>
  <c r="AP674" i="3"/>
  <c r="AQ674" i="3" s="1"/>
  <c r="AP948" i="3"/>
  <c r="AQ948" i="3" s="1"/>
  <c r="AP984" i="3"/>
  <c r="AQ984" i="3" s="1"/>
  <c r="AP817" i="3"/>
  <c r="AQ817" i="3" s="1"/>
  <c r="AP908" i="3"/>
  <c r="AQ908" i="3" s="1"/>
  <c r="AP1007" i="3"/>
  <c r="AQ1007" i="3" s="1"/>
  <c r="AP953" i="3"/>
  <c r="AQ953" i="3" s="1"/>
  <c r="AP964" i="3"/>
  <c r="AQ964" i="3" s="1"/>
  <c r="AP859" i="3"/>
  <c r="AQ859" i="3" s="1"/>
  <c r="AP955" i="3"/>
  <c r="AQ955" i="3" s="1"/>
  <c r="AP1053" i="3"/>
  <c r="AQ1053" i="3" s="1"/>
  <c r="AP1206" i="3"/>
  <c r="AQ1206" i="3" s="1"/>
  <c r="AP1118" i="3"/>
  <c r="AQ1118" i="3" s="1"/>
  <c r="AP1092" i="3"/>
  <c r="AQ1092" i="3" s="1"/>
  <c r="AP1100" i="3"/>
  <c r="AQ1100" i="3" s="1"/>
  <c r="AP1190" i="3"/>
  <c r="AQ1190" i="3" s="1"/>
  <c r="AP1213" i="3"/>
  <c r="AQ1213" i="3" s="1"/>
  <c r="AP1255" i="3"/>
  <c r="AQ1255" i="3" s="1"/>
  <c r="AP1136" i="3"/>
  <c r="AQ1136" i="3" s="1"/>
  <c r="AP1001" i="3"/>
  <c r="AQ1001" i="3" s="1"/>
  <c r="AP1113" i="3"/>
  <c r="AQ1113" i="3" s="1"/>
  <c r="AP1165" i="3"/>
  <c r="AQ1165" i="3" s="1"/>
  <c r="AP1200" i="3"/>
  <c r="AQ1200" i="3" s="1"/>
  <c r="AP1164" i="3"/>
  <c r="AQ1164" i="3" s="1"/>
  <c r="AP1125" i="3"/>
  <c r="AQ1125" i="3" s="1"/>
  <c r="AP900" i="3"/>
  <c r="AQ900" i="3" s="1"/>
  <c r="AP880" i="3"/>
  <c r="AQ880" i="3" s="1"/>
  <c r="AP306" i="3"/>
  <c r="AQ306" i="3" s="1"/>
  <c r="AP1045" i="3"/>
  <c r="AQ1045" i="3" s="1"/>
  <c r="AP26" i="3"/>
  <c r="AQ26" i="3" s="1"/>
  <c r="AP224" i="3"/>
  <c r="AQ224" i="3" s="1"/>
  <c r="AP119" i="3"/>
  <c r="AQ119" i="3" s="1"/>
  <c r="AP12" i="3"/>
  <c r="AQ12" i="3" s="1"/>
  <c r="AP127" i="3"/>
  <c r="AQ127" i="3" s="1"/>
  <c r="AP264" i="3"/>
  <c r="AQ264" i="3" s="1"/>
  <c r="AP444" i="3"/>
  <c r="AQ444" i="3" s="1"/>
  <c r="AP326" i="3"/>
  <c r="AQ326" i="3" s="1"/>
  <c r="AP399" i="3"/>
  <c r="AQ399" i="3" s="1"/>
  <c r="AP212" i="3"/>
  <c r="AQ212" i="3" s="1"/>
  <c r="AP328" i="3"/>
  <c r="AQ328" i="3" s="1"/>
  <c r="AP184" i="3"/>
  <c r="AQ184" i="3" s="1"/>
  <c r="AP347" i="3"/>
  <c r="AQ347" i="3" s="1"/>
  <c r="AP348" i="3"/>
  <c r="AQ348" i="3" s="1"/>
  <c r="AP532" i="3"/>
  <c r="AQ532" i="3" s="1"/>
  <c r="AP802" i="3"/>
  <c r="AQ802" i="3" s="1"/>
  <c r="AP488" i="3"/>
  <c r="AQ488" i="3" s="1"/>
  <c r="AP594" i="3"/>
  <c r="AQ594" i="3" s="1"/>
  <c r="AP615" i="3"/>
  <c r="AQ615" i="3" s="1"/>
  <c r="AP600" i="3"/>
  <c r="AQ600" i="3" s="1"/>
  <c r="AP661" i="3"/>
  <c r="AQ661" i="3" s="1"/>
  <c r="AP523" i="3"/>
  <c r="AQ523" i="3" s="1"/>
  <c r="AP642" i="3"/>
  <c r="AQ642" i="3" s="1"/>
  <c r="AP770" i="3"/>
  <c r="AQ770" i="3" s="1"/>
  <c r="AP774" i="3"/>
  <c r="AQ774" i="3" s="1"/>
  <c r="AP863" i="3"/>
  <c r="AQ863" i="3" s="1"/>
  <c r="AP709" i="3"/>
  <c r="AQ709" i="3" s="1"/>
  <c r="AP628" i="3"/>
  <c r="AQ628" i="3" s="1"/>
  <c r="AP1029" i="3"/>
  <c r="AQ1029" i="3" s="1"/>
  <c r="AP767" i="3"/>
  <c r="AQ767" i="3" s="1"/>
  <c r="AP843" i="3"/>
  <c r="AQ843" i="3" s="1"/>
  <c r="AP865" i="3"/>
  <c r="AQ865" i="3" s="1"/>
  <c r="AP978" i="3"/>
  <c r="AQ978" i="3" s="1"/>
  <c r="AP1036" i="3"/>
  <c r="AQ1036" i="3" s="1"/>
  <c r="AP963" i="3"/>
  <c r="AQ963" i="3" s="1"/>
  <c r="AP945" i="3"/>
  <c r="AQ945" i="3" s="1"/>
  <c r="AP1121" i="3"/>
  <c r="AQ1121" i="3" s="1"/>
  <c r="AP1261" i="3"/>
  <c r="AQ1261" i="3" s="1"/>
  <c r="AP1169" i="3"/>
  <c r="AQ1169" i="3" s="1"/>
  <c r="AP1239" i="3"/>
  <c r="AQ1239" i="3" s="1"/>
  <c r="AP94" i="3"/>
  <c r="AQ94" i="3" s="1"/>
  <c r="AP103" i="3"/>
  <c r="AQ103" i="3" s="1"/>
  <c r="AP225" i="3"/>
  <c r="AQ225" i="3" s="1"/>
  <c r="AP111" i="3"/>
  <c r="AQ111" i="3" s="1"/>
  <c r="AP409" i="3"/>
  <c r="AQ409" i="3" s="1"/>
  <c r="AP261" i="3"/>
  <c r="AQ261" i="3" s="1"/>
  <c r="AP16" i="3"/>
  <c r="AQ16" i="3" s="1"/>
  <c r="AP314" i="3"/>
  <c r="AQ314" i="3" s="1"/>
  <c r="AP335" i="3"/>
  <c r="AQ335" i="3" s="1"/>
  <c r="AP377" i="3"/>
  <c r="AQ377" i="3" s="1"/>
  <c r="AP339" i="3"/>
  <c r="AQ339" i="3" s="1"/>
  <c r="AP431" i="3"/>
  <c r="AQ431" i="3" s="1"/>
  <c r="AP438" i="3"/>
  <c r="AQ438" i="3" s="1"/>
  <c r="AP501" i="3"/>
  <c r="AQ501" i="3" s="1"/>
  <c r="AP393" i="3"/>
  <c r="AQ393" i="3" s="1"/>
  <c r="AP531" i="3"/>
  <c r="AQ531" i="3" s="1"/>
  <c r="AP516" i="3"/>
  <c r="AQ516" i="3" s="1"/>
  <c r="AP748" i="3"/>
  <c r="AQ748" i="3" s="1"/>
  <c r="AP434" i="3"/>
  <c r="AQ434" i="3" s="1"/>
  <c r="AP439" i="3"/>
  <c r="AQ439" i="3" s="1"/>
  <c r="AP690" i="3"/>
  <c r="AQ690" i="3" s="1"/>
  <c r="AP746" i="3"/>
  <c r="AQ746" i="3" s="1"/>
  <c r="AP815" i="3"/>
  <c r="AQ815" i="3" s="1"/>
  <c r="AP836" i="3"/>
  <c r="AQ836" i="3" s="1"/>
  <c r="AP695" i="3"/>
  <c r="AQ695" i="3" s="1"/>
  <c r="AP588" i="3"/>
  <c r="AQ588" i="3" s="1"/>
  <c r="AP536" i="3"/>
  <c r="AQ536" i="3" s="1"/>
  <c r="AP742" i="3"/>
  <c r="AQ742" i="3" s="1"/>
  <c r="AP832" i="3"/>
  <c r="AQ832" i="3" s="1"/>
  <c r="AP758" i="3"/>
  <c r="AQ758" i="3" s="1"/>
  <c r="AP840" i="3"/>
  <c r="AQ840" i="3" s="1"/>
  <c r="AP929" i="3"/>
  <c r="AQ929" i="3" s="1"/>
  <c r="AP991" i="3"/>
  <c r="AQ991" i="3" s="1"/>
  <c r="AP911" i="3"/>
  <c r="AQ911" i="3" s="1"/>
  <c r="AP1025" i="3"/>
  <c r="AQ1025" i="3" s="1"/>
  <c r="AP1027" i="3"/>
  <c r="AQ1027" i="3" s="1"/>
  <c r="AP1149" i="3"/>
  <c r="AQ1149" i="3" s="1"/>
  <c r="AP997" i="3"/>
  <c r="AQ997" i="3" s="1"/>
  <c r="AP1070" i="3"/>
  <c r="AQ1070" i="3" s="1"/>
  <c r="AP939" i="3"/>
  <c r="AQ939" i="3" s="1"/>
  <c r="AP968" i="3"/>
  <c r="AQ968" i="3" s="1"/>
  <c r="AP1201" i="3"/>
  <c r="AQ1201" i="3" s="1"/>
  <c r="AP1106" i="3"/>
  <c r="AQ1106" i="3" s="1"/>
  <c r="AP1245" i="3"/>
  <c r="AQ1245" i="3" s="1"/>
  <c r="AP1267" i="3"/>
  <c r="AQ1267" i="3" s="1"/>
  <c r="AP1264" i="3"/>
  <c r="AQ1264" i="3" s="1"/>
  <c r="AP1198" i="3"/>
  <c r="AQ1198" i="3" s="1"/>
  <c r="AP1272" i="3"/>
  <c r="AQ1272" i="3" s="1"/>
  <c r="AP1189" i="3"/>
  <c r="AQ1189" i="3" s="1"/>
  <c r="AP1052" i="3"/>
  <c r="AQ1052" i="3" s="1"/>
  <c r="AP1183" i="3"/>
  <c r="AQ1183" i="3" s="1"/>
  <c r="AP1265" i="3"/>
  <c r="AQ1265" i="3" s="1"/>
  <c r="AP537" i="3"/>
  <c r="AQ537" i="3" s="1"/>
  <c r="AP559" i="3"/>
  <c r="AQ559" i="3" s="1"/>
  <c r="AP962" i="3"/>
  <c r="AQ962" i="3" s="1"/>
  <c r="AP135" i="3"/>
  <c r="AQ135" i="3" s="1"/>
  <c r="AP265" i="3"/>
  <c r="AQ265" i="3" s="1"/>
  <c r="AP1124" i="3"/>
  <c r="AQ1124" i="3" s="1"/>
  <c r="AP1083" i="3"/>
  <c r="AQ1083" i="3" s="1"/>
  <c r="AP58" i="3"/>
  <c r="AQ58" i="3" s="1"/>
  <c r="AP156" i="3"/>
  <c r="AQ156" i="3" s="1"/>
  <c r="AP263" i="3"/>
  <c r="AQ263" i="3" s="1"/>
  <c r="AP86" i="3"/>
  <c r="AQ86" i="3" s="1"/>
  <c r="AP124" i="3"/>
  <c r="AQ124" i="3" s="1"/>
  <c r="AP51" i="3"/>
  <c r="AQ51" i="3" s="1"/>
  <c r="AP182" i="3"/>
  <c r="AQ182" i="3" s="1"/>
  <c r="AP401" i="3"/>
  <c r="AQ401" i="3" s="1"/>
  <c r="AP560" i="3"/>
  <c r="AQ560" i="3" s="1"/>
  <c r="AP440" i="3"/>
  <c r="AQ440" i="3" s="1"/>
  <c r="AP432" i="3"/>
  <c r="AQ432" i="3" s="1"/>
  <c r="AP298" i="3"/>
  <c r="AQ298" i="3" s="1"/>
  <c r="AP361" i="3"/>
  <c r="AQ361" i="3" s="1"/>
  <c r="AP535" i="3"/>
  <c r="AQ535" i="3" s="1"/>
  <c r="AP612" i="3"/>
  <c r="AQ612" i="3" s="1"/>
  <c r="AP631" i="3"/>
  <c r="AQ631" i="3" s="1"/>
  <c r="AP452" i="3"/>
  <c r="AQ452" i="3" s="1"/>
  <c r="AP604" i="3"/>
  <c r="AQ604" i="3" s="1"/>
  <c r="AP551" i="3"/>
  <c r="AQ551" i="3" s="1"/>
  <c r="AP650" i="3"/>
  <c r="AQ650" i="3" s="1"/>
  <c r="AP1009" i="3"/>
  <c r="AQ1009" i="3" s="1"/>
  <c r="AP812" i="3"/>
  <c r="AQ812" i="3" s="1"/>
  <c r="AP762" i="3"/>
  <c r="AQ762" i="3" s="1"/>
  <c r="AP971" i="3"/>
  <c r="AQ971" i="3" s="1"/>
  <c r="AP1088" i="3"/>
  <c r="AQ1088" i="3" s="1"/>
  <c r="AP983" i="3"/>
  <c r="AQ983" i="3" s="1"/>
  <c r="AP986" i="3"/>
  <c r="AQ986" i="3" s="1"/>
  <c r="AP1193" i="3"/>
  <c r="AQ1193" i="3" s="1"/>
  <c r="AP1015" i="3"/>
  <c r="AQ1015" i="3" s="1"/>
  <c r="AP1040" i="3"/>
  <c r="AQ1040" i="3" s="1"/>
  <c r="AP1098" i="3"/>
  <c r="AQ1098" i="3" s="1"/>
  <c r="AP1175" i="3"/>
  <c r="AQ1175" i="3" s="1"/>
  <c r="AP1260" i="3"/>
  <c r="AQ1260" i="3" s="1"/>
  <c r="AP1069" i="3"/>
  <c r="AQ1069" i="3" s="1"/>
  <c r="AP1146" i="3"/>
  <c r="AQ1146" i="3" s="1"/>
  <c r="AP1228" i="3"/>
  <c r="AQ1228" i="3" s="1"/>
  <c r="AP1246" i="3"/>
  <c r="AQ1246" i="3" s="1"/>
  <c r="AP1185" i="3"/>
  <c r="AQ1185" i="3" s="1"/>
  <c r="AP1220" i="3"/>
  <c r="AQ1220" i="3" s="1"/>
  <c r="AP883" i="3"/>
  <c r="AQ883" i="3" s="1"/>
  <c r="AP1016" i="3"/>
  <c r="AQ1016" i="3" s="1"/>
  <c r="AP714" i="3"/>
  <c r="AQ714" i="3" s="1"/>
  <c r="AP1055" i="3"/>
  <c r="AQ1055" i="3" s="1"/>
  <c r="AP1178" i="3"/>
  <c r="AQ1178" i="3" s="1"/>
  <c r="AP274" i="3"/>
  <c r="AQ274" i="3" s="1"/>
  <c r="AP240" i="3"/>
  <c r="AQ240" i="3" s="1"/>
  <c r="AP165" i="3"/>
  <c r="AQ165" i="3" s="1"/>
  <c r="AP38" i="3"/>
  <c r="AQ38" i="3" s="1"/>
  <c r="AP998" i="3"/>
  <c r="AQ998" i="3" s="1"/>
  <c r="AP1066" i="3"/>
  <c r="AQ1066" i="3" s="1"/>
  <c r="AP1010" i="3"/>
  <c r="AQ1010" i="3" s="1"/>
  <c r="AP1105" i="3"/>
  <c r="AQ1105" i="3" s="1"/>
  <c r="AP62" i="3"/>
  <c r="AQ62" i="3" s="1"/>
  <c r="AP47" i="3"/>
  <c r="AQ47" i="3" s="1"/>
  <c r="AP371" i="3"/>
  <c r="AQ371" i="3" s="1"/>
  <c r="AP269" i="3"/>
  <c r="AQ269" i="3" s="1"/>
  <c r="AP411" i="3"/>
  <c r="AQ411" i="3" s="1"/>
  <c r="AP55" i="3"/>
  <c r="AQ55" i="3" s="1"/>
  <c r="AP149" i="3"/>
  <c r="AQ149" i="3" s="1"/>
  <c r="AP6" i="3"/>
  <c r="AQ6" i="3" s="1"/>
  <c r="AP413" i="3"/>
  <c r="AQ413" i="3" s="1"/>
  <c r="AP379" i="3"/>
  <c r="AQ379" i="3" s="1"/>
  <c r="AP354" i="3"/>
  <c r="AQ354" i="3" s="1"/>
  <c r="AP524" i="3"/>
  <c r="AQ524" i="3" s="1"/>
  <c r="AP545" i="3"/>
  <c r="AQ545" i="3" s="1"/>
  <c r="AP463" i="3"/>
  <c r="AQ463" i="3" s="1"/>
  <c r="AP451" i="3"/>
  <c r="AQ451" i="3" s="1"/>
  <c r="AP808" i="3"/>
  <c r="AQ808" i="3" s="1"/>
  <c r="AP635" i="3"/>
  <c r="AQ635" i="3" s="1"/>
  <c r="AP620" i="3"/>
  <c r="AQ620" i="3" s="1"/>
  <c r="AP611" i="3"/>
  <c r="AQ611" i="3" s="1"/>
  <c r="AP656" i="3"/>
  <c r="AQ656" i="3" s="1"/>
  <c r="AP745" i="3"/>
  <c r="AQ745" i="3" s="1"/>
  <c r="AP680" i="3"/>
  <c r="AQ680" i="3" s="1"/>
  <c r="AP914" i="3"/>
  <c r="AQ914" i="3" s="1"/>
  <c r="AP1097" i="3"/>
  <c r="AQ1097" i="3" s="1"/>
  <c r="AP916" i="3"/>
  <c r="AQ916" i="3" s="1"/>
  <c r="AP969" i="3"/>
  <c r="AQ969" i="3" s="1"/>
  <c r="AP870" i="3"/>
  <c r="AQ870" i="3" s="1"/>
  <c r="AP1131" i="3"/>
  <c r="AQ1131" i="3" s="1"/>
  <c r="AP1091" i="3"/>
  <c r="AQ1091" i="3" s="1"/>
  <c r="AP1148" i="3"/>
  <c r="AQ1148" i="3" s="1"/>
  <c r="AP1205" i="3"/>
  <c r="AQ1205" i="3" s="1"/>
  <c r="AP1063" i="3"/>
  <c r="AQ1063" i="3" s="1"/>
  <c r="AP1256" i="3"/>
  <c r="AQ1256" i="3" s="1"/>
  <c r="AP1268" i="3"/>
  <c r="AQ1268" i="3" s="1"/>
  <c r="AP1026" i="3"/>
  <c r="AQ1026" i="3" s="1"/>
  <c r="AP1061" i="3"/>
  <c r="AQ1061" i="3" s="1"/>
  <c r="AP244" i="3"/>
  <c r="AQ244" i="3" s="1"/>
  <c r="AP827" i="3"/>
  <c r="AQ827" i="3" s="1"/>
  <c r="AP1108" i="3"/>
  <c r="AQ1108" i="3" s="1"/>
  <c r="AP44" i="3"/>
  <c r="AQ44" i="3" s="1"/>
  <c r="AP69" i="3"/>
  <c r="AQ69" i="3" s="1"/>
  <c r="AP426" i="3"/>
  <c r="AQ426" i="3" s="1"/>
  <c r="AP445" i="3"/>
  <c r="AQ445" i="3" s="1"/>
  <c r="AP462" i="3"/>
  <c r="AQ462" i="3" s="1"/>
  <c r="AP640" i="3"/>
  <c r="AQ640" i="3" s="1"/>
  <c r="AP118" i="3"/>
  <c r="AQ118" i="3" s="1"/>
  <c r="AP188" i="3"/>
  <c r="AQ188" i="3" s="1"/>
  <c r="AP271" i="3"/>
  <c r="AQ271" i="3" s="1"/>
  <c r="AP143" i="3"/>
  <c r="AQ143" i="3" s="1"/>
  <c r="AP383" i="3"/>
  <c r="AQ383" i="3" s="1"/>
  <c r="AP402" i="3"/>
  <c r="AQ402" i="3" s="1"/>
  <c r="AP228" i="3"/>
  <c r="AQ228" i="3" s="1"/>
  <c r="AP95" i="3"/>
  <c r="AQ95" i="3" s="1"/>
  <c r="AP17" i="3"/>
  <c r="AQ17" i="3" s="1"/>
  <c r="AP144" i="3"/>
  <c r="AQ144" i="3" s="1"/>
  <c r="AP87" i="3"/>
  <c r="AQ87" i="3" s="1"/>
  <c r="AP253" i="3"/>
  <c r="AQ253" i="3" s="1"/>
  <c r="AP804" i="3"/>
  <c r="AQ804" i="3" s="1"/>
  <c r="AP447" i="3"/>
  <c r="AQ447" i="3" s="1"/>
  <c r="AP384" i="3"/>
  <c r="AQ384" i="3" s="1"/>
  <c r="AP310" i="3"/>
  <c r="AQ310" i="3" s="1"/>
  <c r="AP322" i="3"/>
  <c r="AQ322" i="3" s="1"/>
  <c r="AP254" i="3"/>
  <c r="AQ254" i="3" s="1"/>
  <c r="AP479" i="3"/>
  <c r="AQ479" i="3" s="1"/>
  <c r="AP458" i="3"/>
  <c r="AQ458" i="3" s="1"/>
  <c r="AP567" i="3"/>
  <c r="AQ567" i="3" s="1"/>
  <c r="AP580" i="3"/>
  <c r="AQ580" i="3" s="1"/>
  <c r="AP464" i="3"/>
  <c r="AQ464" i="3" s="1"/>
  <c r="AP607" i="3"/>
  <c r="AQ607" i="3" s="1"/>
  <c r="AP698" i="3"/>
  <c r="AQ698" i="3" s="1"/>
  <c r="AP792" i="3"/>
  <c r="AQ792" i="3" s="1"/>
  <c r="AP719" i="3"/>
  <c r="AQ719" i="3" s="1"/>
  <c r="AP723" i="3"/>
  <c r="AQ723" i="3" s="1"/>
  <c r="AP646" i="3"/>
  <c r="AQ646" i="3" s="1"/>
  <c r="AP729" i="3"/>
  <c r="AQ729" i="3" s="1"/>
  <c r="AP826" i="3"/>
  <c r="AQ826" i="3" s="1"/>
  <c r="AP895" i="3"/>
  <c r="AQ895" i="3" s="1"/>
  <c r="AP956" i="3"/>
  <c r="AQ956" i="3" s="1"/>
  <c r="AP856" i="3"/>
  <c r="AQ856" i="3" s="1"/>
  <c r="AP1047" i="3"/>
  <c r="AQ1047" i="3" s="1"/>
  <c r="AP931" i="3"/>
  <c r="AQ931" i="3" s="1"/>
  <c r="AP1208" i="3"/>
  <c r="AQ1208" i="3" s="1"/>
  <c r="AP1101" i="3"/>
  <c r="AQ1101" i="3" s="1"/>
  <c r="AP1107" i="3"/>
  <c r="AQ1107" i="3" s="1"/>
  <c r="AP1202" i="3"/>
  <c r="AQ1202" i="3" s="1"/>
  <c r="AP1241" i="3"/>
  <c r="AQ1241" i="3" s="1"/>
  <c r="AP1187" i="3"/>
  <c r="AQ1187" i="3" s="1"/>
  <c r="AP1226" i="3"/>
  <c r="AQ1226" i="3" s="1"/>
  <c r="AP1248" i="3"/>
  <c r="AQ1248" i="3" s="1"/>
  <c r="AP995" i="3"/>
  <c r="AQ995" i="3" s="1"/>
  <c r="AP437" i="3"/>
  <c r="AQ437" i="3" s="1"/>
  <c r="AP412" i="3"/>
  <c r="AQ412" i="3" s="1"/>
  <c r="AP427" i="3"/>
  <c r="AQ427" i="3" s="1"/>
  <c r="AP904" i="3"/>
  <c r="AQ904" i="3" s="1"/>
  <c r="AP938" i="3"/>
  <c r="AQ938" i="3" s="1"/>
  <c r="AP31" i="3"/>
  <c r="AQ31" i="3" s="1"/>
  <c r="AP290" i="3"/>
  <c r="AQ290" i="3" s="1"/>
  <c r="AP147" i="3"/>
  <c r="AQ147" i="3" s="1"/>
  <c r="AP287" i="3"/>
  <c r="AQ287" i="3" s="1"/>
  <c r="AP71" i="3"/>
  <c r="AQ71" i="3" s="1"/>
  <c r="AP321" i="3"/>
  <c r="AQ321" i="3" s="1"/>
  <c r="AP128" i="3"/>
  <c r="AQ128" i="3" s="1"/>
  <c r="AP364" i="3"/>
  <c r="AQ364" i="3" s="1"/>
  <c r="AP79" i="3"/>
  <c r="AQ79" i="3" s="1"/>
  <c r="AP155" i="3"/>
  <c r="AQ155" i="3" s="1"/>
  <c r="AP96" i="3"/>
  <c r="AQ96" i="3" s="1"/>
  <c r="AP461" i="3"/>
  <c r="AQ461" i="3" s="1"/>
  <c r="AP273" i="3"/>
  <c r="AQ273" i="3" s="1"/>
  <c r="AP296" i="3"/>
  <c r="AQ296" i="3" s="1"/>
  <c r="AP509" i="3"/>
  <c r="AQ509" i="3" s="1"/>
  <c r="AP543" i="3"/>
  <c r="AQ543" i="3" s="1"/>
  <c r="AP305" i="3"/>
  <c r="AQ305" i="3" s="1"/>
  <c r="AP638" i="3"/>
  <c r="AQ638" i="3" s="1"/>
  <c r="AP470" i="3"/>
  <c r="AQ470" i="3" s="1"/>
  <c r="AP380" i="3"/>
  <c r="AQ380" i="3" s="1"/>
  <c r="AP599" i="3"/>
  <c r="AQ599" i="3" s="1"/>
  <c r="AP797" i="3"/>
  <c r="AQ797" i="3" s="1"/>
  <c r="AP591" i="3"/>
  <c r="AQ591" i="3" s="1"/>
  <c r="AP795" i="3"/>
  <c r="AQ795" i="3" s="1"/>
  <c r="AP778" i="3"/>
  <c r="AQ778" i="3" s="1"/>
  <c r="AP675" i="3"/>
  <c r="AQ675" i="3" s="1"/>
  <c r="AP819" i="3"/>
  <c r="AQ819" i="3" s="1"/>
  <c r="AP866" i="3"/>
  <c r="AQ866" i="3" s="1"/>
  <c r="AP924" i="3"/>
  <c r="AQ924" i="3" s="1"/>
  <c r="AP833" i="3"/>
  <c r="AQ833" i="3" s="1"/>
  <c r="AP1186" i="3"/>
  <c r="AQ1186" i="3" s="1"/>
  <c r="AP1012" i="3"/>
  <c r="AQ1012" i="3" s="1"/>
  <c r="AP1271" i="3"/>
  <c r="AQ1271" i="3" s="1"/>
  <c r="AP847" i="3"/>
  <c r="AQ847" i="3" s="1"/>
  <c r="AP595" i="3"/>
  <c r="AQ595" i="3" s="1"/>
  <c r="AP150" i="3"/>
  <c r="AQ150" i="3" s="1"/>
  <c r="AP160" i="3"/>
  <c r="AQ160" i="3" s="1"/>
  <c r="AP405" i="3"/>
  <c r="AQ405" i="3" s="1"/>
  <c r="AP293" i="3"/>
  <c r="AQ293" i="3" s="1"/>
  <c r="AP177" i="3"/>
  <c r="AQ177" i="3" s="1"/>
  <c r="AP132" i="3"/>
  <c r="AQ132" i="3" s="1"/>
  <c r="AP258" i="3"/>
  <c r="AQ258" i="3" s="1"/>
  <c r="AP319" i="3"/>
  <c r="AQ319" i="3" s="1"/>
  <c r="AP351" i="3"/>
  <c r="AQ351" i="3" s="1"/>
  <c r="AP233" i="3"/>
  <c r="AQ233" i="3" s="1"/>
  <c r="AP408" i="3"/>
  <c r="AQ408" i="3" s="1"/>
  <c r="AP548" i="3"/>
  <c r="AQ548" i="3" s="1"/>
  <c r="AP482" i="3"/>
  <c r="AQ482" i="3" s="1"/>
  <c r="AP520" i="3"/>
  <c r="AQ520" i="3" s="1"/>
  <c r="AP728" i="3"/>
  <c r="AQ728" i="3" s="1"/>
  <c r="AP700" i="3"/>
  <c r="AQ700" i="3" s="1"/>
  <c r="AP596" i="3"/>
  <c r="AQ596" i="3" s="1"/>
  <c r="AP822" i="3"/>
  <c r="AQ822" i="3" s="1"/>
  <c r="AP737" i="3"/>
  <c r="AQ737" i="3" s="1"/>
  <c r="AP641" i="3"/>
  <c r="AQ641" i="3" s="1"/>
  <c r="AP711" i="3"/>
  <c r="AQ711" i="3" s="1"/>
  <c r="AP766" i="3"/>
  <c r="AQ766" i="3" s="1"/>
  <c r="AP897" i="3"/>
  <c r="AQ897" i="3" s="1"/>
  <c r="AP1031" i="3"/>
  <c r="AQ1031" i="3" s="1"/>
  <c r="AP1139" i="3"/>
  <c r="AQ1139" i="3" s="1"/>
  <c r="AP1014" i="3"/>
  <c r="AQ1014" i="3" s="1"/>
  <c r="AP937" i="3"/>
  <c r="AQ937" i="3" s="1"/>
  <c r="AP1147" i="3"/>
  <c r="AQ1147" i="3" s="1"/>
  <c r="AP853" i="3"/>
  <c r="AQ853" i="3" s="1"/>
  <c r="AP1093" i="3"/>
  <c r="AQ1093" i="3" s="1"/>
  <c r="AP979" i="3"/>
  <c r="AQ979" i="3" s="1"/>
  <c r="AP1154" i="3"/>
  <c r="AQ1154" i="3" s="1"/>
  <c r="AP270" i="3"/>
  <c r="AQ270" i="3" s="1"/>
  <c r="AP336" i="3"/>
  <c r="AQ336" i="3" s="1"/>
  <c r="AP425" i="3"/>
  <c r="AQ425" i="3" s="1"/>
  <c r="AP1132" i="3"/>
  <c r="AQ1132" i="3" s="1"/>
  <c r="AP164" i="3"/>
  <c r="AQ164" i="3" s="1"/>
  <c r="AP120" i="3"/>
  <c r="AQ120" i="3" s="1"/>
  <c r="AP172" i="3"/>
  <c r="AQ172" i="3" s="1"/>
  <c r="AP133" i="3"/>
  <c r="AQ133" i="3" s="1"/>
  <c r="AP101" i="3"/>
  <c r="AQ101" i="3" s="1"/>
  <c r="AP115" i="3"/>
  <c r="AQ115" i="3" s="1"/>
  <c r="AP61" i="3"/>
  <c r="AQ61" i="3" s="1"/>
  <c r="AP170" i="3"/>
  <c r="AQ170" i="3" s="1"/>
  <c r="AP257" i="3"/>
  <c r="AQ257" i="3" s="1"/>
  <c r="AP603" i="3"/>
  <c r="AQ603" i="3" s="1"/>
  <c r="AP359" i="3"/>
  <c r="AQ359" i="3" s="1"/>
  <c r="AP370" i="3"/>
  <c r="AQ370" i="3" s="1"/>
  <c r="AP301" i="3"/>
  <c r="AQ301" i="3" s="1"/>
  <c r="AP428" i="3"/>
  <c r="AQ428" i="3" s="1"/>
  <c r="AP443" i="3"/>
  <c r="AQ443" i="3" s="1"/>
  <c r="AP507" i="3"/>
  <c r="AQ507" i="3" s="1"/>
  <c r="AP465" i="3"/>
  <c r="AQ465" i="3" s="1"/>
  <c r="AP663" i="3"/>
  <c r="AQ663" i="3" s="1"/>
  <c r="AP733" i="3"/>
  <c r="AQ733" i="3" s="1"/>
  <c r="AP776" i="3"/>
  <c r="AQ776" i="3" s="1"/>
  <c r="AP572" i="3"/>
  <c r="AQ572" i="3" s="1"/>
  <c r="AP651" i="3"/>
  <c r="AQ651" i="3" s="1"/>
  <c r="AP809" i="3"/>
  <c r="AQ809" i="3" s="1"/>
  <c r="AP875" i="3"/>
  <c r="AQ875" i="3" s="1"/>
  <c r="AP881" i="3"/>
  <c r="AQ881" i="3" s="1"/>
  <c r="AP760" i="3"/>
  <c r="AQ760" i="3" s="1"/>
  <c r="AP980" i="3"/>
  <c r="AQ980" i="3" s="1"/>
  <c r="AP864" i="3"/>
  <c r="AQ864" i="3" s="1"/>
  <c r="AP1144" i="3"/>
  <c r="AQ1144" i="3" s="1"/>
  <c r="AP1003" i="3"/>
  <c r="AQ1003" i="3" s="1"/>
  <c r="AP972" i="3"/>
  <c r="AQ972" i="3" s="1"/>
  <c r="AP1128" i="3"/>
  <c r="AQ1128" i="3" s="1"/>
  <c r="AP1004" i="3"/>
  <c r="AQ1004" i="3" s="1"/>
  <c r="AP634" i="3"/>
  <c r="AQ634" i="3" s="1"/>
  <c r="AP771" i="3"/>
  <c r="AQ771" i="3" s="1"/>
  <c r="AP7" i="3"/>
  <c r="AQ7" i="3" s="1"/>
  <c r="AP899" i="3"/>
  <c r="AQ899" i="3" s="1"/>
  <c r="AP350" i="3"/>
  <c r="AQ350" i="3" s="1"/>
  <c r="AP249" i="3"/>
  <c r="AQ249" i="3" s="1"/>
  <c r="AP403" i="3"/>
  <c r="AQ403" i="3" s="1"/>
  <c r="AP419" i="3"/>
  <c r="AQ419" i="3" s="1"/>
  <c r="AP158" i="3"/>
  <c r="AQ158" i="3" s="1"/>
  <c r="AP232" i="3"/>
  <c r="AQ232" i="3" s="1"/>
  <c r="AP39" i="3"/>
  <c r="AQ39" i="3" s="1"/>
  <c r="AP266" i="3"/>
  <c r="AQ266" i="3" s="1"/>
  <c r="AP27" i="3"/>
  <c r="AQ27" i="3" s="1"/>
  <c r="AP76" i="3"/>
  <c r="AQ76" i="3" s="1"/>
  <c r="AP93" i="3"/>
  <c r="AQ93" i="3" s="1"/>
  <c r="AP64" i="3"/>
  <c r="AQ64" i="3" s="1"/>
  <c r="AP360" i="3"/>
  <c r="AQ360" i="3" s="1"/>
  <c r="AP294" i="3"/>
  <c r="AQ294" i="3" s="1"/>
  <c r="AP372" i="3"/>
  <c r="AQ372" i="3" s="1"/>
  <c r="AP505" i="3"/>
  <c r="AQ505" i="3" s="1"/>
  <c r="AP835" i="3"/>
  <c r="AQ835" i="3" s="1"/>
  <c r="AP613" i="3"/>
  <c r="AQ613" i="3" s="1"/>
  <c r="AP556" i="3"/>
  <c r="AQ556" i="3" s="1"/>
  <c r="AP653" i="3"/>
  <c r="AQ653" i="3" s="1"/>
  <c r="AP495" i="3"/>
  <c r="AQ495" i="3" s="1"/>
  <c r="AP624" i="3"/>
  <c r="AQ624" i="3" s="1"/>
  <c r="AP715" i="3"/>
  <c r="AQ715" i="3" s="1"/>
  <c r="AP749" i="3"/>
  <c r="AQ749" i="3" s="1"/>
  <c r="AP753" i="3"/>
  <c r="AQ753" i="3" s="1"/>
  <c r="AP871" i="3"/>
  <c r="AQ871" i="3" s="1"/>
  <c r="AP515" i="3"/>
  <c r="AQ515" i="3" s="1"/>
  <c r="AP710" i="3"/>
  <c r="AQ710" i="3" s="1"/>
  <c r="AP834" i="3"/>
  <c r="AQ834" i="3" s="1"/>
  <c r="AP696" i="3"/>
  <c r="AQ696" i="3" s="1"/>
  <c r="AP910" i="3"/>
  <c r="AQ910" i="3" s="1"/>
  <c r="AP884" i="3"/>
  <c r="AQ884" i="3" s="1"/>
  <c r="AP193" i="3"/>
  <c r="AQ193" i="3" s="1"/>
  <c r="AP210" i="3"/>
  <c r="AQ210" i="3" s="1"/>
  <c r="AP238" i="3"/>
  <c r="AQ238" i="3" s="1"/>
  <c r="AP152" i="3"/>
  <c r="AQ152" i="3" s="1"/>
  <c r="AP30" i="3"/>
  <c r="AQ30" i="3" s="1"/>
  <c r="AP173" i="3"/>
  <c r="AQ173" i="3" s="1"/>
  <c r="AP21" i="3"/>
  <c r="AQ21" i="3" s="1"/>
  <c r="AP388" i="3"/>
  <c r="AQ388" i="3" s="1"/>
  <c r="AP333" i="3"/>
  <c r="AQ333" i="3" s="1"/>
  <c r="AP209" i="3"/>
  <c r="AQ209" i="3" s="1"/>
  <c r="AP241" i="3"/>
  <c r="AQ241" i="3" s="1"/>
  <c r="AP330" i="3"/>
  <c r="AQ330" i="3" s="1"/>
  <c r="AP457" i="3"/>
  <c r="AQ457" i="3" s="1"/>
  <c r="AP564" i="3"/>
  <c r="AQ564" i="3" s="1"/>
  <c r="AP629" i="3"/>
  <c r="AQ629" i="3" s="1"/>
  <c r="AP664" i="3"/>
  <c r="AQ664" i="3" s="1"/>
  <c r="AP563" i="3"/>
  <c r="AQ563" i="3" s="1"/>
  <c r="AP724" i="3"/>
  <c r="AQ724" i="3" s="1"/>
  <c r="AP791" i="3"/>
  <c r="AQ791" i="3" s="1"/>
  <c r="AP940" i="3"/>
  <c r="AQ940" i="3" s="1"/>
  <c r="AP915" i="3"/>
  <c r="AQ915" i="3" s="1"/>
  <c r="AP946" i="3"/>
  <c r="AQ946" i="3" s="1"/>
  <c r="AP810" i="3"/>
  <c r="AQ810" i="3" s="1"/>
  <c r="AP896" i="3"/>
  <c r="AQ896" i="3" s="1"/>
  <c r="AP1174" i="3"/>
  <c r="AQ1174" i="3" s="1"/>
  <c r="AP907" i="3"/>
  <c r="AQ907" i="3" s="1"/>
  <c r="AP1215" i="3"/>
  <c r="AQ1215" i="3" s="1"/>
  <c r="AP1158" i="3"/>
  <c r="AQ1158" i="3" s="1"/>
  <c r="AP1242" i="3"/>
  <c r="AQ1242" i="3" s="1"/>
  <c r="AP1212" i="3"/>
  <c r="AQ1212" i="3" s="1"/>
  <c r="AP1191" i="3"/>
  <c r="AQ1191" i="3" s="1"/>
  <c r="AP1230" i="3"/>
  <c r="AQ1230" i="3" s="1"/>
  <c r="AP1263" i="3"/>
  <c r="AQ1263" i="3" s="1"/>
  <c r="AP1021" i="3"/>
  <c r="AQ1021" i="3" s="1"/>
  <c r="AP947" i="3"/>
  <c r="AQ947" i="3" s="1"/>
  <c r="AP1043" i="3"/>
  <c r="AQ1043" i="3" s="1"/>
  <c r="AP1150" i="3"/>
  <c r="AQ1150" i="3" s="1"/>
  <c r="AP1155" i="3"/>
  <c r="AQ1155" i="3" s="1"/>
  <c r="AP1209" i="3"/>
  <c r="AQ1209" i="3" s="1"/>
  <c r="AP1087" i="3"/>
  <c r="AQ1087" i="3" s="1"/>
  <c r="AP1114" i="3"/>
  <c r="AQ1114" i="3" s="1"/>
  <c r="AP1251" i="3"/>
  <c r="AQ1251" i="3" s="1"/>
  <c r="AP1133" i="3"/>
  <c r="AQ1133" i="3" s="1"/>
  <c r="AP418" i="3"/>
  <c r="AQ418" i="3" s="1"/>
  <c r="AP499" i="3"/>
  <c r="AQ499" i="3" s="1"/>
  <c r="AP90" i="3"/>
  <c r="AQ90" i="3" s="1"/>
  <c r="AP671" i="3"/>
  <c r="AQ671" i="3" s="1"/>
  <c r="AP852" i="3"/>
  <c r="AQ852" i="3" s="1"/>
  <c r="AP202" i="3"/>
  <c r="AQ202" i="3" s="1"/>
  <c r="AP366" i="3"/>
  <c r="AQ366" i="3" s="1"/>
  <c r="AP234" i="3"/>
  <c r="AQ234" i="3" s="1"/>
  <c r="AP183" i="3"/>
  <c r="AQ183" i="3" s="1"/>
  <c r="AP72" i="3"/>
  <c r="AQ72" i="3" s="1"/>
  <c r="AP104" i="3"/>
  <c r="AQ104" i="3" s="1"/>
  <c r="AP136" i="3"/>
  <c r="AQ136" i="3" s="1"/>
  <c r="AP312" i="3"/>
  <c r="AQ312" i="3" s="1"/>
  <c r="AP341" i="3"/>
  <c r="AQ341" i="3" s="1"/>
  <c r="AP218" i="3"/>
  <c r="AQ218" i="3" s="1"/>
  <c r="AP262" i="3"/>
  <c r="AQ262" i="3" s="1"/>
  <c r="AP201" i="3"/>
  <c r="AQ201" i="3" s="1"/>
  <c r="AP500" i="3"/>
  <c r="AQ500" i="3" s="1"/>
  <c r="AP494" i="3"/>
  <c r="AQ494" i="3" s="1"/>
  <c r="AP587" i="3"/>
  <c r="AQ587" i="3" s="1"/>
  <c r="AP420" i="3"/>
  <c r="AQ420" i="3" s="1"/>
  <c r="AP630" i="3"/>
  <c r="AQ630" i="3" s="1"/>
  <c r="AP476" i="3"/>
  <c r="AQ476" i="3" s="1"/>
  <c r="AP850" i="3"/>
  <c r="AQ850" i="3" s="1"/>
  <c r="AP685" i="3"/>
  <c r="AQ685" i="3" s="1"/>
  <c r="AP579" i="3"/>
  <c r="AQ579" i="3" s="1"/>
  <c r="AP683" i="3"/>
  <c r="AQ683" i="3" s="1"/>
  <c r="AP570" i="3"/>
  <c r="AQ570" i="3" s="1"/>
  <c r="AP857" i="3"/>
  <c r="AQ857" i="3" s="1"/>
  <c r="AP805" i="3"/>
  <c r="AQ805" i="3" s="1"/>
  <c r="AP782" i="3"/>
  <c r="AQ782" i="3" s="1"/>
  <c r="AP725" i="3"/>
  <c r="AQ725" i="3" s="1"/>
  <c r="AP798" i="3"/>
  <c r="AQ798" i="3" s="1"/>
  <c r="AP828" i="3"/>
  <c r="AQ828" i="3" s="1"/>
  <c r="AP996" i="3"/>
  <c r="AQ996" i="3" s="1"/>
  <c r="AP954" i="3"/>
  <c r="AQ954" i="3" s="1"/>
  <c r="AP1076" i="3"/>
  <c r="AQ1076" i="3" s="1"/>
  <c r="AP1276" i="3"/>
  <c r="AQ1276" i="3" s="1"/>
  <c r="AP222" i="3"/>
  <c r="AQ222" i="3" s="1"/>
  <c r="AP151" i="3"/>
  <c r="AQ151" i="3" s="1"/>
  <c r="AP206" i="3"/>
  <c r="AQ206" i="3" s="1"/>
  <c r="AP141" i="3"/>
  <c r="AQ141" i="3" s="1"/>
  <c r="AP54" i="3"/>
  <c r="AQ54" i="3" s="1"/>
  <c r="AP35" i="3"/>
  <c r="AQ35" i="3" s="1"/>
  <c r="AP126" i="3"/>
  <c r="AQ126" i="3" s="1"/>
  <c r="AP63" i="3"/>
  <c r="AQ63" i="3" s="1"/>
  <c r="AP229" i="3"/>
  <c r="AQ229" i="3" s="1"/>
  <c r="AP282" i="3"/>
  <c r="AQ282" i="3" s="1"/>
  <c r="AP539" i="3"/>
  <c r="AQ539" i="3" s="1"/>
  <c r="AP304" i="3"/>
  <c r="AQ304" i="3" s="1"/>
  <c r="AP247" i="3"/>
  <c r="AQ247" i="3" s="1"/>
  <c r="AP311" i="3"/>
  <c r="AQ311" i="3" s="1"/>
  <c r="AP514" i="3"/>
  <c r="AQ514" i="3" s="1"/>
  <c r="AP396" i="3"/>
  <c r="AQ396" i="3" s="1"/>
  <c r="AP528" i="3"/>
  <c r="AQ528" i="3" s="1"/>
  <c r="AP417" i="3"/>
  <c r="AQ417" i="3" s="1"/>
  <c r="AP583" i="3"/>
  <c r="AQ583" i="3" s="1"/>
  <c r="AP610" i="3"/>
  <c r="AQ610" i="3" s="1"/>
  <c r="AP693" i="3"/>
  <c r="AQ693" i="3" s="1"/>
  <c r="AP649" i="3"/>
  <c r="AQ649" i="3" s="1"/>
  <c r="AP779" i="3"/>
  <c r="AQ779" i="3" s="1"/>
  <c r="AP848" i="3"/>
  <c r="AQ848" i="3" s="1"/>
  <c r="AP727" i="3"/>
  <c r="AQ727" i="3" s="1"/>
  <c r="AP785" i="3"/>
  <c r="AQ785" i="3" s="1"/>
  <c r="AP849" i="3"/>
  <c r="AQ849" i="3" s="1"/>
  <c r="AP879" i="3"/>
  <c r="AQ879" i="3" s="1"/>
  <c r="AP874" i="3"/>
  <c r="AQ874" i="3" s="1"/>
  <c r="AP1034" i="3"/>
  <c r="AQ1034" i="3" s="1"/>
  <c r="AP932" i="3"/>
  <c r="AQ932" i="3" s="1"/>
  <c r="AP985" i="3"/>
  <c r="AQ985" i="3" s="1"/>
  <c r="AP1077" i="3"/>
  <c r="AQ1077" i="3" s="1"/>
  <c r="AP1081" i="3"/>
  <c r="AQ1081" i="3" s="1"/>
  <c r="AP1044" i="3"/>
  <c r="AQ1044" i="3" s="1"/>
  <c r="AP1170" i="3"/>
  <c r="AQ1170" i="3" s="1"/>
  <c r="AP1257" i="3"/>
  <c r="AQ1257" i="3" s="1"/>
  <c r="AP1152" i="3"/>
  <c r="AQ1152" i="3" s="1"/>
  <c r="AP1270" i="3"/>
  <c r="AQ1270" i="3" s="1"/>
  <c r="AP1225" i="3"/>
  <c r="AQ1225" i="3" s="1"/>
  <c r="AP166" i="3"/>
  <c r="AQ166" i="3" s="1"/>
  <c r="AP512" i="3"/>
  <c r="AQ512" i="3" s="1"/>
  <c r="AP378" i="3"/>
  <c r="AQ378" i="3" s="1"/>
  <c r="AP459" i="3"/>
  <c r="AQ459" i="3" s="1"/>
  <c r="AP342" i="3"/>
  <c r="AQ342" i="3" s="1"/>
  <c r="AP22" i="3"/>
  <c r="AQ22" i="3" s="1"/>
  <c r="AP108" i="3"/>
  <c r="AQ108" i="3" s="1"/>
  <c r="AP2" i="3"/>
  <c r="AQ2" i="3" s="1"/>
  <c r="AP83" i="3"/>
  <c r="AQ83" i="3" s="1"/>
  <c r="AP329" i="3"/>
  <c r="AQ329" i="3" s="1"/>
  <c r="AP446" i="3"/>
  <c r="AQ446" i="3" s="1"/>
  <c r="AP498" i="3"/>
  <c r="AQ498" i="3" s="1"/>
  <c r="AP313" i="3"/>
  <c r="AQ313" i="3" s="1"/>
  <c r="AP540" i="3"/>
  <c r="AQ540" i="3" s="1"/>
  <c r="AP477" i="3"/>
  <c r="AQ477" i="3" s="1"/>
  <c r="AP576" i="3"/>
  <c r="AQ576" i="3" s="1"/>
  <c r="AP483" i="3"/>
  <c r="AQ483" i="3" s="1"/>
  <c r="AP681" i="3"/>
  <c r="AQ681" i="3" s="1"/>
  <c r="AP923" i="3"/>
  <c r="AQ923" i="3" s="1"/>
  <c r="AP669" i="3"/>
  <c r="AQ669" i="3" s="1"/>
  <c r="AP666" i="3"/>
  <c r="AQ666" i="3" s="1"/>
  <c r="AP720" i="3"/>
  <c r="AQ720" i="3" s="1"/>
  <c r="AP788" i="3"/>
  <c r="AQ788" i="3" s="1"/>
  <c r="AP744" i="3"/>
  <c r="AQ744" i="3" s="1"/>
  <c r="AP754" i="3"/>
  <c r="AQ754" i="3" s="1"/>
  <c r="AP844" i="3"/>
  <c r="AQ844" i="3" s="1"/>
  <c r="AP886" i="3"/>
  <c r="AQ886" i="3" s="1"/>
  <c r="AP841" i="3"/>
  <c r="AQ841" i="3" s="1"/>
  <c r="AP959" i="3"/>
  <c r="AQ959" i="3" s="1"/>
  <c r="AP1030" i="3"/>
  <c r="AQ1030" i="3" s="1"/>
  <c r="AP1199" i="3"/>
  <c r="AQ1199" i="3" s="1"/>
  <c r="AP1167" i="3"/>
  <c r="AQ1167" i="3" s="1"/>
  <c r="AP1080" i="3"/>
  <c r="AQ1080" i="3" s="1"/>
  <c r="AP989" i="3"/>
  <c r="AQ989" i="3" s="1"/>
  <c r="AP891" i="3"/>
  <c r="AQ891" i="3" s="1"/>
  <c r="AP1089" i="3"/>
  <c r="AQ1089" i="3" s="1"/>
  <c r="AP1204" i="3"/>
  <c r="AQ1204" i="3" s="1"/>
  <c r="AP1273" i="3"/>
  <c r="AQ1273" i="3" s="1"/>
  <c r="AP189" i="3"/>
  <c r="AQ189" i="3" s="1"/>
  <c r="AP281" i="3"/>
  <c r="AQ281" i="3" s="1"/>
  <c r="AP889" i="3"/>
  <c r="AQ889" i="3" s="1"/>
  <c r="AP1127" i="3"/>
  <c r="AQ1127" i="3" s="1"/>
  <c r="C34" i="7" l="1"/>
  <c r="G33" i="7"/>
  <c r="E33" i="7"/>
  <c r="C33" i="7"/>
  <c r="G32" i="7"/>
  <c r="C27" i="7"/>
  <c r="E21" i="7"/>
  <c r="D34" i="7"/>
  <c r="E31" i="7"/>
  <c r="C31" i="7"/>
  <c r="G30" i="7"/>
  <c r="E30" i="7"/>
  <c r="C30" i="7"/>
  <c r="E24" i="7"/>
  <c r="G18" i="7"/>
  <c r="F31" i="7"/>
  <c r="G28" i="7"/>
  <c r="E28" i="7"/>
  <c r="C28" i="7"/>
  <c r="G27" i="7"/>
  <c r="E27" i="7"/>
  <c r="G21" i="7"/>
  <c r="F34" i="7"/>
  <c r="B29" i="7"/>
  <c r="C26" i="7"/>
  <c r="G25" i="7"/>
  <c r="E25" i="7"/>
  <c r="C25" i="7"/>
  <c r="G24" i="7"/>
  <c r="C19" i="7"/>
  <c r="B32" i="7"/>
  <c r="D26" i="7"/>
  <c r="E23" i="7"/>
  <c r="C23" i="7"/>
  <c r="G22" i="7"/>
  <c r="E22" i="7"/>
  <c r="C22" i="7"/>
  <c r="B35" i="7"/>
  <c r="D29" i="7"/>
  <c r="F23" i="7"/>
  <c r="G20" i="7"/>
  <c r="E20" i="7"/>
  <c r="C20" i="7"/>
  <c r="G19" i="7"/>
  <c r="E19" i="7"/>
  <c r="D32" i="7"/>
  <c r="F26" i="7"/>
  <c r="B21" i="7"/>
  <c r="C18" i="7"/>
  <c r="G17" i="7"/>
  <c r="E17" i="7"/>
  <c r="C17" i="7"/>
  <c r="D35" i="7"/>
  <c r="F29" i="7"/>
  <c r="B24" i="7"/>
  <c r="D18" i="7"/>
  <c r="E36" i="7"/>
  <c r="F36" i="7"/>
  <c r="D36" i="7"/>
  <c r="B36" i="7"/>
  <c r="F35" i="7"/>
  <c r="F32" i="7"/>
  <c r="B27" i="7"/>
  <c r="D21" i="7"/>
  <c r="G36" i="7"/>
  <c r="B34" i="7"/>
  <c r="F33" i="7"/>
  <c r="D33" i="7"/>
  <c r="B33" i="7"/>
  <c r="B30" i="7"/>
  <c r="D24" i="7"/>
  <c r="F18" i="7"/>
  <c r="E18" i="7"/>
  <c r="D31" i="7"/>
  <c r="B31" i="7"/>
  <c r="F30" i="7"/>
  <c r="D30" i="7"/>
  <c r="D27" i="7"/>
  <c r="F21" i="7"/>
  <c r="E34" i="7"/>
  <c r="G29" i="7"/>
  <c r="F28" i="7"/>
  <c r="D28" i="7"/>
  <c r="B28" i="7"/>
  <c r="F27" i="7"/>
  <c r="F24" i="7"/>
  <c r="B19" i="7"/>
  <c r="G31" i="7"/>
  <c r="B26" i="7"/>
  <c r="F25" i="7"/>
  <c r="D25" i="7"/>
  <c r="B25" i="7"/>
  <c r="B22" i="7"/>
  <c r="G34" i="7"/>
  <c r="C29" i="7"/>
  <c r="C24" i="7"/>
  <c r="D23" i="7"/>
  <c r="B23" i="7"/>
  <c r="F22" i="7"/>
  <c r="D22" i="7"/>
  <c r="D19" i="7"/>
  <c r="C32" i="7"/>
  <c r="E26" i="7"/>
  <c r="E35" i="7"/>
  <c r="F20" i="7"/>
  <c r="D20" i="7"/>
  <c r="B20" i="7"/>
  <c r="F19" i="7"/>
  <c r="C35" i="7"/>
  <c r="E29" i="7"/>
  <c r="G23" i="7"/>
  <c r="G35" i="7"/>
  <c r="B18" i="7"/>
  <c r="F17" i="7"/>
  <c r="D17" i="7"/>
  <c r="B17" i="7"/>
  <c r="E32" i="7"/>
  <c r="G26" i="7"/>
  <c r="C21" i="7"/>
  <c r="C36" i="7"/>
</calcChain>
</file>

<file path=xl/sharedStrings.xml><?xml version="1.0" encoding="utf-8"?>
<sst xmlns="http://schemas.openxmlformats.org/spreadsheetml/2006/main" count="15521" uniqueCount="1722">
  <si>
    <t>QUICK GUIDE – Excel AHP chọn laptop cho sinh viên</t>
  </si>
  <si>
    <t>1) Laptop_Data: chứa danh sách laptop (phương án). Bạn có thể sửa/nhập thêm dữ liệu.</t>
  </si>
  <si>
    <t xml:space="preserve">   - Các cột Battery/Durability/Upgradability/Ports/Release Year/Condition là cột bạn bổ sung.</t>
  </si>
  <si>
    <t xml:space="preserve">   - Các cột CPU/GPU/Screen Score là điểm gợi ý (heuristic). Bạn có thể thay bằng cách tính khác.</t>
  </si>
  <si>
    <t xml:space="preserve">   - Cột PassFilter trong Laptop_Data sẽ tự cập nhật TRUE/FALSE.</t>
  </si>
  <si>
    <t>3) AHP_Setup: nhập so sánh cặp 8 tiêu chí theo thang Saaty (1–9) ở phần tam giác trên.</t>
  </si>
  <si>
    <t xml:space="preserve">   - Tam giác dưới tự tính nghịch đảo. Hệ thống tính trọng số, CI, CR.</t>
  </si>
  <si>
    <t xml:space="preserve">   - Nếu CR ≥ 0.1, nên điều chỉnh lại so sánh cặp để nhất quán hơn.</t>
  </si>
  <si>
    <t>4) AI_Suggestions: trả lời vài câu hỏi để nhận 'gợi ý trọng số' (mô phỏng AI).</t>
  </si>
  <si>
    <t xml:space="preserve">   - Bạn có thể dùng trọng số gợi ý làm điểm khởi đầu cho AHP_Setup.</t>
  </si>
  <si>
    <t>5) Ranking: xem top laptop theo trọng số AHP và lọc hiện tại. Có biểu đồ top 10.</t>
  </si>
  <si>
    <t>Ghi chú: Template phục vụ môn Hệ hỗ trợ ra quyết định.</t>
  </si>
  <si>
    <t>Company_List</t>
  </si>
  <si>
    <t>Condition_List</t>
  </si>
  <si>
    <t>Saaty_1_to_9</t>
  </si>
  <si>
    <t>Scale_1_to_5</t>
  </si>
  <si>
    <t>All</t>
  </si>
  <si>
    <t>Acer</t>
  </si>
  <si>
    <t>New</t>
  </si>
  <si>
    <t>Apple</t>
  </si>
  <si>
    <t>Used</t>
  </si>
  <si>
    <t>Asus</t>
  </si>
  <si>
    <t>Chuwi</t>
  </si>
  <si>
    <t>Dell</t>
  </si>
  <si>
    <t>Fujitsu</t>
  </si>
  <si>
    <t>Google</t>
  </si>
  <si>
    <t>HP</t>
  </si>
  <si>
    <t>Huawei</t>
  </si>
  <si>
    <t>LG</t>
  </si>
  <si>
    <t>Lenovo</t>
  </si>
  <si>
    <t>MSI</t>
  </si>
  <si>
    <t>Mediacom</t>
  </si>
  <si>
    <t>Microsoft</t>
  </si>
  <si>
    <t>Razer</t>
  </si>
  <si>
    <t>Samsung</t>
  </si>
  <si>
    <t>Toshiba</t>
  </si>
  <si>
    <t>Vero</t>
  </si>
  <si>
    <t>Xiaomi</t>
  </si>
  <si>
    <t>ID</t>
  </si>
  <si>
    <t>Company</t>
  </si>
  <si>
    <t>Full Name</t>
  </si>
  <si>
    <t>Product</t>
  </si>
  <si>
    <t>TypeName</t>
  </si>
  <si>
    <t>Release Year</t>
  </si>
  <si>
    <t>Condition</t>
  </si>
  <si>
    <t>Price (VND)</t>
  </si>
  <si>
    <t>SSD (GB)</t>
  </si>
  <si>
    <t>HDD (GB)</t>
  </si>
  <si>
    <t>RAM (GB)</t>
  </si>
  <si>
    <t>CPU Score (1-10)</t>
  </si>
  <si>
    <t>GPU Score (1-10)</t>
  </si>
  <si>
    <t>Screen Score (1-10)</t>
  </si>
  <si>
    <t>Inches</t>
  </si>
  <si>
    <t>Weight (kg)</t>
  </si>
  <si>
    <t>Battery (hrs)</t>
  </si>
  <si>
    <t>Durability (1-10)</t>
  </si>
  <si>
    <t>Upgradability (1-10)</t>
  </si>
  <si>
    <t>Ports (#)</t>
  </si>
  <si>
    <t>CPU_Company</t>
  </si>
  <si>
    <t>CPU_Type</t>
  </si>
  <si>
    <t>CPU_Frequency (GHz)</t>
  </si>
  <si>
    <t>GPU_Company</t>
  </si>
  <si>
    <t>GPU_Type</t>
  </si>
  <si>
    <t>Memory</t>
  </si>
  <si>
    <t>ScreenResolution</t>
  </si>
  <si>
    <t>OpSys</t>
  </si>
  <si>
    <t>Price (Euro)</t>
  </si>
  <si>
    <t>PassFilter</t>
  </si>
  <si>
    <t>Battery_Fill</t>
  </si>
  <si>
    <t>Durability_Fill</t>
  </si>
  <si>
    <t>Upgradability_Fill</t>
  </si>
  <si>
    <t>Norm_CPU</t>
  </si>
  <si>
    <t>Norm_RAM</t>
  </si>
  <si>
    <t>Norm_GPU</t>
  </si>
  <si>
    <t>Norm_Screen</t>
  </si>
  <si>
    <t>Norm_Weight</t>
  </si>
  <si>
    <t>Norm_Battery</t>
  </si>
  <si>
    <t>Norm_Durability</t>
  </si>
  <si>
    <t>Norm_Upgrade</t>
  </si>
  <si>
    <t>AHP Score</t>
  </si>
  <si>
    <t>Score_Adjusted</t>
  </si>
  <si>
    <t>Apple MacBook Pro (Ultrabook)</t>
  </si>
  <si>
    <t>MacBook Pro</t>
  </si>
  <si>
    <t>Ultrabook</t>
  </si>
  <si>
    <t>Intel</t>
  </si>
  <si>
    <t>Core i5</t>
  </si>
  <si>
    <t>Iris Plus Graphics 640</t>
  </si>
  <si>
    <t>128GB SSD</t>
  </si>
  <si>
    <t>IPS Panel Retina Display 2560x1600</t>
  </si>
  <si>
    <t>macOS</t>
  </si>
  <si>
    <t>Apple Macbook Air (Ultrabook)</t>
  </si>
  <si>
    <t>Macbook Air</t>
  </si>
  <si>
    <t>HD Graphics 6000</t>
  </si>
  <si>
    <t>128GB Flash Storage</t>
  </si>
  <si>
    <t>1440x900</t>
  </si>
  <si>
    <t>HP 250 G6 (Notebook)</t>
  </si>
  <si>
    <t>250 G6</t>
  </si>
  <si>
    <t>Notebook</t>
  </si>
  <si>
    <t>Core i5 7200U</t>
  </si>
  <si>
    <t>HD Graphics 620</t>
  </si>
  <si>
    <t>256GB SSD</t>
  </si>
  <si>
    <t>Full HD 1920x1080</t>
  </si>
  <si>
    <t>No OS</t>
  </si>
  <si>
    <t>Core i7</t>
  </si>
  <si>
    <t>AMD</t>
  </si>
  <si>
    <t>Radeon Pro 455</t>
  </si>
  <si>
    <t>512GB SSD</t>
  </si>
  <si>
    <t>IPS Panel Retina Display 2880x1800</t>
  </si>
  <si>
    <t>Iris Plus Graphics 650</t>
  </si>
  <si>
    <t>Acer Aspire 3 (Notebook)</t>
  </si>
  <si>
    <t>Aspire 3</t>
  </si>
  <si>
    <t>A9-Series 9420</t>
  </si>
  <si>
    <t>Radeon R5</t>
  </si>
  <si>
    <t>500GB HDD</t>
  </si>
  <si>
    <t>1366x768</t>
  </si>
  <si>
    <t>Windows 10</t>
  </si>
  <si>
    <t>Iris Pro Graphics</t>
  </si>
  <si>
    <t>256GB Flash Storage</t>
  </si>
  <si>
    <t>Mac OS X</t>
  </si>
  <si>
    <t>Asus ZenBook UX430UN (Ultrabook)</t>
  </si>
  <si>
    <t>ZenBook UX430UN</t>
  </si>
  <si>
    <t>Core i7 8550U</t>
  </si>
  <si>
    <t>Nvidia</t>
  </si>
  <si>
    <t>GeForce MX150</t>
  </si>
  <si>
    <t>Acer Swift 3 (Ultrabook)</t>
  </si>
  <si>
    <t>Swift 3</t>
  </si>
  <si>
    <t>Core i5 8250U</t>
  </si>
  <si>
    <t>UHD Graphics 620</t>
  </si>
  <si>
    <t>IPS Panel Full HD 1920x1080</t>
  </si>
  <si>
    <t>Core i3 6006U</t>
  </si>
  <si>
    <t>HD Graphics 520</t>
  </si>
  <si>
    <t>Radeon Pro 555</t>
  </si>
  <si>
    <t>Dell Inspiron 3567 (Notebook)</t>
  </si>
  <si>
    <t>Inspiron 3567</t>
  </si>
  <si>
    <t>Radeon R5 M430</t>
  </si>
  <si>
    <t>Apple MacBook 12" (Ultrabook)</t>
  </si>
  <si>
    <t>MacBook 12"</t>
  </si>
  <si>
    <t>Core M m3</t>
  </si>
  <si>
    <t>HD Graphics 615</t>
  </si>
  <si>
    <t>IPS Panel Retina Display 2304x1440</t>
  </si>
  <si>
    <t>Core i7 7500U</t>
  </si>
  <si>
    <t>Radeon Pro 560</t>
  </si>
  <si>
    <t>Lenovo IdeaPad 320-15IKB (Notebook)</t>
  </si>
  <si>
    <t>IdeaPad 320-15IKB</t>
  </si>
  <si>
    <t>Core i3 7100U</t>
  </si>
  <si>
    <t>GeForce 940MX</t>
  </si>
  <si>
    <t>1TB HDD</t>
  </si>
  <si>
    <t>Dell XPS 13 (Ultrabook)</t>
  </si>
  <si>
    <t>XPS 13</t>
  </si>
  <si>
    <t>IPS Panel Full HD / Touchscreen 1920x1080</t>
  </si>
  <si>
    <t>Asus Vivobook E200HA (Netbook)</t>
  </si>
  <si>
    <t>Vivobook E200HA</t>
  </si>
  <si>
    <t>Netbook</t>
  </si>
  <si>
    <t>Atom x5-Z8350</t>
  </si>
  <si>
    <t>HD Graphics 400</t>
  </si>
  <si>
    <t>32GB Flash Storage</t>
  </si>
  <si>
    <t>Lenovo Legion Y520-15IKBN (Gaming)</t>
  </si>
  <si>
    <t>Legion Y520-15IKBN</t>
  </si>
  <si>
    <t>Gaming</t>
  </si>
  <si>
    <t>Core i5 7300HQ</t>
  </si>
  <si>
    <t>GeForce GTX 1050</t>
  </si>
  <si>
    <t>128GB SSD +  1TB HDD</t>
  </si>
  <si>
    <t>HP 255 G6 (Notebook)</t>
  </si>
  <si>
    <t>255 G6</t>
  </si>
  <si>
    <t>E-Series E2-9000e</t>
  </si>
  <si>
    <t>Radeon R2</t>
  </si>
  <si>
    <t>Dell Inspiron 5379 (2 in 1 Convertible)</t>
  </si>
  <si>
    <t>Inspiron 5379</t>
  </si>
  <si>
    <t>2 in 1 Convertible</t>
  </si>
  <si>
    <t>Full HD / Touchscreen 1920x1080</t>
  </si>
  <si>
    <t>HP 15-BS101nv (i7-8550U/8GB/256GB/FHD/W10) (Ultrabook)</t>
  </si>
  <si>
    <t>15-BS101nv (i7-8550U/8GB/256GB/FHD/W10)</t>
  </si>
  <si>
    <t>Apple MacBook Air (Ultrabook)</t>
  </si>
  <si>
    <t>MacBook Air</t>
  </si>
  <si>
    <t>Dell Inspiron 5570 (Notebook)</t>
  </si>
  <si>
    <t>Inspiron 5570</t>
  </si>
  <si>
    <t>Radeon 530</t>
  </si>
  <si>
    <t>Dell Latitude 5590 (Ultrabook)</t>
  </si>
  <si>
    <t>Latitude 5590</t>
  </si>
  <si>
    <t>Core i7 8650U</t>
  </si>
  <si>
    <t>256GB SSD +  256GB SSD</t>
  </si>
  <si>
    <t>HP ProBook 470 (Notebook)</t>
  </si>
  <si>
    <t>ProBook 470</t>
  </si>
  <si>
    <t>GeForce 930MX</t>
  </si>
  <si>
    <t>Chuwi LapBook 15.6" (Notebook)</t>
  </si>
  <si>
    <t>LapBook 15.6"</t>
  </si>
  <si>
    <t>Atom x5-Z8300</t>
  </si>
  <si>
    <t>HD Graphics</t>
  </si>
  <si>
    <t>64GB Flash Storage</t>
  </si>
  <si>
    <t>Asus E402WA-GA010T (E2-6110/2GB/32GB/W10) (Notebook)</t>
  </si>
  <si>
    <t>E402WA-GA010T (E2-6110/2GB/32GB/W10)</t>
  </si>
  <si>
    <t>E-Series E2-6110</t>
  </si>
  <si>
    <t>HP 17-ak001nv (A6-9220/4GB/500GB/Radeon (Notebook)</t>
  </si>
  <si>
    <t>17-ak001nv (A6-9220/4GB/500GB/Radeon</t>
  </si>
  <si>
    <t>A6-Series 9220</t>
  </si>
  <si>
    <t>Touchscreen / Quad HD+ 3200x1800</t>
  </si>
  <si>
    <t>Lenovo IdeaPad 120S-14IAP (Notebook)</t>
  </si>
  <si>
    <t>IdeaPad 120S-14IAP</t>
  </si>
  <si>
    <t>Celeron Dual Core N3350</t>
  </si>
  <si>
    <t>HD Graphics 500</t>
  </si>
  <si>
    <t>Core i3 7130U</t>
  </si>
  <si>
    <t>Linux</t>
  </si>
  <si>
    <t>Dell Inspiron 5770 (Notebook)</t>
  </si>
  <si>
    <t>Inspiron 5770</t>
  </si>
  <si>
    <t>HP ProBook 450 (Notebook)</t>
  </si>
  <si>
    <t>ProBook 450</t>
  </si>
  <si>
    <t>Asus X540UA-DM186 (i3-6006U/4GB/1TB/FHD/Linux) (Notebook)</t>
  </si>
  <si>
    <t>X540UA-DM186 (i3-6006U/4GB/1TB/FHD/Linux)</t>
  </si>
  <si>
    <t>Dell Inspiron 7577 (Gaming)</t>
  </si>
  <si>
    <t>Inspiron 7577</t>
  </si>
  <si>
    <t>Core i7 7700HQ</t>
  </si>
  <si>
    <t>GeForce GTX 1060</t>
  </si>
  <si>
    <t>256GB SSD +  1TB HDD</t>
  </si>
  <si>
    <t>Asus X542UQ-GO005 (i5-7200U/8GB/1TB/GeForce (Notebook)</t>
  </si>
  <si>
    <t>X542UQ-GO005 (i5-7200U/8GB/1TB/GeForce</t>
  </si>
  <si>
    <t>Acer Aspire A515-51G (Notebook)</t>
  </si>
  <si>
    <t>Aspire A515-51G</t>
  </si>
  <si>
    <t>Dell Inspiron 7773 (2 in 1 Convertible)</t>
  </si>
  <si>
    <t>Inspiron 7773</t>
  </si>
  <si>
    <t>GeForce 150MX</t>
  </si>
  <si>
    <t>Iris Graphics 540</t>
  </si>
  <si>
    <t>Lenovo IdeaPad 320-15ISK (Notebook)</t>
  </si>
  <si>
    <t>IdeaPad 320-15ISK</t>
  </si>
  <si>
    <t>Asus Rog Strix (Gaming)</t>
  </si>
  <si>
    <t>Rog Strix</t>
  </si>
  <si>
    <t>Ryzen 1700</t>
  </si>
  <si>
    <t>Radeon RX 580</t>
  </si>
  <si>
    <t>Asus X751NV-TY001T (N4200/4GB/1TB/GeForce (Notebook)</t>
  </si>
  <si>
    <t>X751NV-TY001T (N4200/4GB/1TB/GeForce</t>
  </si>
  <si>
    <t>Pentium Quad Core N4200</t>
  </si>
  <si>
    <t>GeForce 920MX</t>
  </si>
  <si>
    <t>Lenovo Yoga Book (2 in 1 Convertible)</t>
  </si>
  <si>
    <t>Yoga Book</t>
  </si>
  <si>
    <t>Atom x5-Z8550</t>
  </si>
  <si>
    <t>IPS Panel Touchscreen 1920x1200</t>
  </si>
  <si>
    <t>Android</t>
  </si>
  <si>
    <t>Radeon R4 Graphics</t>
  </si>
  <si>
    <t>HP ProBook 430 (Notebook)</t>
  </si>
  <si>
    <t>ProBook 430</t>
  </si>
  <si>
    <t>Dell Inspiron 3576 (Notebook)</t>
  </si>
  <si>
    <t>Inspiron 3576</t>
  </si>
  <si>
    <t>Radeon 520</t>
  </si>
  <si>
    <t>HP 15-bs002nv (i3-6006U/4GB/128GB/FHD/W10) (Notebook)</t>
  </si>
  <si>
    <t>15-bs002nv (i3-6006U/4GB/128GB/FHD/W10)</t>
  </si>
  <si>
    <t>Asus VivoBook Max (Notebook)</t>
  </si>
  <si>
    <t>VivoBook Max</t>
  </si>
  <si>
    <t>MSI GS73VR 7RG (Gaming)</t>
  </si>
  <si>
    <t>GS73VR 7RG</t>
  </si>
  <si>
    <t>GeForce GTX 1070</t>
  </si>
  <si>
    <t>256GB SSD +  2TB HDD</t>
  </si>
  <si>
    <t>Asus X541UA-DM1897 (i3-6006U/4GB/256GB/FHD/Linux) (Notebook)</t>
  </si>
  <si>
    <t>X541UA-DM1897 (i3-6006U/4GB/256GB/FHD/Linux)</t>
  </si>
  <si>
    <t>Dell Vostro 5471 (Ultrabook)</t>
  </si>
  <si>
    <t>Vostro 5471</t>
  </si>
  <si>
    <t>Lenovo IdeaPad 520S-14IKB (Notebook)</t>
  </si>
  <si>
    <t>IdeaPad 520S-14IKB</t>
  </si>
  <si>
    <t>Asus UX410UA-GV350T (i5-8250U/8GB/256GB/FHD/W10) (Notebook)</t>
  </si>
  <si>
    <t>UX410UA-GV350T (i5-8250U/8GB/256GB/FHD/W10)</t>
  </si>
  <si>
    <t>Asus ZenBook Pro (Ultrabook)</t>
  </si>
  <si>
    <t>ZenBook Pro</t>
  </si>
  <si>
    <t>GeForce GTX 1050 Ti</t>
  </si>
  <si>
    <t>HP Stream 14-AX040wm (Notebook)</t>
  </si>
  <si>
    <t>Stream 14-AX040wm</t>
  </si>
  <si>
    <t>Celeron Dual Core N3060</t>
  </si>
  <si>
    <t>32GB SSD</t>
  </si>
  <si>
    <t>Lenovo V310-15ISK (i5-7200U/4GB/1TB/FHD/W10) (Notebook)</t>
  </si>
  <si>
    <t>V310-15ISK (i5-7200U/4GB/1TB/FHD/W10)</t>
  </si>
  <si>
    <t>Asus FX753VE-GC093 (i7-7700HQ/12GB/1TB/GeForce (Gaming)</t>
  </si>
  <si>
    <t>FX753VE-GC093 (i7-7700HQ/12GB/1TB/GeForce</t>
  </si>
  <si>
    <t>Microsoft Surface Laptop (Ultrabook)</t>
  </si>
  <si>
    <t>Surface Laptop</t>
  </si>
  <si>
    <t>Touchscreen 2256x1504</t>
  </si>
  <si>
    <t>Windows 10 S</t>
  </si>
  <si>
    <t>Dell Inspiron 5370 (Ultrabook)</t>
  </si>
  <si>
    <t>Inspiron 5370</t>
  </si>
  <si>
    <t>MSI GL72M 7RDX (Gaming)</t>
  </si>
  <si>
    <t>GL72M 7RDX</t>
  </si>
  <si>
    <t>Acer Aspire E5-475 (Notebook)</t>
  </si>
  <si>
    <t>Aspire E5-475</t>
  </si>
  <si>
    <t>Asus FX503VD-E4022T (i7-7700HQ/8GB/1TB/GeForce (Gaming)</t>
  </si>
  <si>
    <t>FX503VD-E4022T (i7-7700HQ/8GB/1TB/GeForce</t>
  </si>
  <si>
    <t>Lenovo IdeaPad 320-15IKBN (Notebook)</t>
  </si>
  <si>
    <t>IdeaPad 320-15IKBN</t>
  </si>
  <si>
    <t>2TB HDD</t>
  </si>
  <si>
    <t>Acer Aspire A515-51G-32MX (Notebook)</t>
  </si>
  <si>
    <t>Aspire A515-51G-32MX</t>
  </si>
  <si>
    <t>GeForce MX130</t>
  </si>
  <si>
    <t>HP ProBook 440 (Notebook)</t>
  </si>
  <si>
    <t>ProBook 440</t>
  </si>
  <si>
    <t>Lenovo IdeaPad 320-15AST (Notebook)</t>
  </si>
  <si>
    <t>IdeaPad 320-15AST</t>
  </si>
  <si>
    <t>R4 Graphics</t>
  </si>
  <si>
    <t>HP Pavilion 15-CK000nv (Ultrabook)</t>
  </si>
  <si>
    <t>Pavilion 15-CK000nv</t>
  </si>
  <si>
    <t>GeForce GTX 940MX</t>
  </si>
  <si>
    <t>Asus FX503VM-E4007T (i7-7700HQ/16GB/1TB (Gaming)</t>
  </si>
  <si>
    <t>FX503VM-E4007T (i7-7700HQ/16GB/1TB</t>
  </si>
  <si>
    <t>Asus FX550IK-DM018T (FX-9830P/8GB/1TB/Radeon (Gaming)</t>
  </si>
  <si>
    <t>FX550IK-DM018T (FX-9830P/8GB/1TB/Radeon</t>
  </si>
  <si>
    <t>FX 9830P</t>
  </si>
  <si>
    <t>Radeon RX 560</t>
  </si>
  <si>
    <t>Acer Aspire 5 (Notebook)</t>
  </si>
  <si>
    <t>Aspire 5</t>
  </si>
  <si>
    <t>HP Probook 430 (Notebook)</t>
  </si>
  <si>
    <t>Probook 430</t>
  </si>
  <si>
    <t>Asus Zenbook UX430UA (Ultrabook)</t>
  </si>
  <si>
    <t>Zenbook UX430UA</t>
  </si>
  <si>
    <t>Acer Spin 5 (2 in 1 Convertible)</t>
  </si>
  <si>
    <t>Spin 5</t>
  </si>
  <si>
    <t>Asus X541UV-DM1439T (i3-7100U/6GB/256GB/GeForce (Notebook)</t>
  </si>
  <si>
    <t>X541UV-DM1439T (i3-7100U/6GB/256GB/GeForce</t>
  </si>
  <si>
    <t>GeForce 920M</t>
  </si>
  <si>
    <t>HP Omen 15-ce007nv (Gaming)</t>
  </si>
  <si>
    <t>Omen 15-ce007nv</t>
  </si>
  <si>
    <t>HP 15-bs017nv (i7-7500U/8GB/256GB/Radeon (Notebook)</t>
  </si>
  <si>
    <t>15-bs017nv (i7-7500U/8GB/256GB/Radeon</t>
  </si>
  <si>
    <t>HP 15-bw000nv (E2-9000e/4GB/500GB/Radeon (Notebook)</t>
  </si>
  <si>
    <t>15-bw000nv (E2-9000e/4GB/500GB/Radeon</t>
  </si>
  <si>
    <t>HP Envy 13-ad009n (Ultrabook)</t>
  </si>
  <si>
    <t>Envy 13-ad009n</t>
  </si>
  <si>
    <t>HP Pavilion 14-BK001nv (Notebook)</t>
  </si>
  <si>
    <t>Pavilion 14-BK001nv</t>
  </si>
  <si>
    <t>Lenovo Ideapad 310-15ISK (Notebook)</t>
  </si>
  <si>
    <t>Ideapad 310-15ISK</t>
  </si>
  <si>
    <t>Asus UX430UQ-GV209R (i7-7500U/8GB/256GB/GeForce (Ultrabook)</t>
  </si>
  <si>
    <t>UX430UQ-GV209R (i7-7500U/8GB/256GB/GeForce</t>
  </si>
  <si>
    <t>MSI GP62M 7REX (Gaming)</t>
  </si>
  <si>
    <t>GP62M 7REX</t>
  </si>
  <si>
    <t>Lenovo Thinkpad T470 (Notebook)</t>
  </si>
  <si>
    <t>Thinkpad T470</t>
  </si>
  <si>
    <t>Asus VivoBook S15 (Ultrabook)</t>
  </si>
  <si>
    <t>VivoBook S15</t>
  </si>
  <si>
    <t>Core i7 7560U</t>
  </si>
  <si>
    <t>Quad HD+ / Touchscreen 3200x1800</t>
  </si>
  <si>
    <t>Lenovo ThinkPad Yoga (2 in 1 Convertible)</t>
  </si>
  <si>
    <t>ThinkPad Yoga</t>
  </si>
  <si>
    <t>HP Probook 440 (Notebook)</t>
  </si>
  <si>
    <t>Probook 440</t>
  </si>
  <si>
    <t>IPS Panel 1366x768</t>
  </si>
  <si>
    <t>HP Spectre x360 (2 in 1 Convertible)</t>
  </si>
  <si>
    <t>Spectre x360</t>
  </si>
  <si>
    <t>Dell Inspiron 7570 (Notebook)</t>
  </si>
  <si>
    <t>Inspiron 7570</t>
  </si>
  <si>
    <t>Asus X705UV-BX074T (i3-6006U/4GB/1TB/GeForce (Notebook)</t>
  </si>
  <si>
    <t>X705UV-BX074T (i3-6006U/4GB/1TB/GeForce</t>
  </si>
  <si>
    <t>Asus VivoBook S15 (Notebook)</t>
  </si>
  <si>
    <t>Acer Spin 3 (Notebook)</t>
  </si>
  <si>
    <t>Spin 3</t>
  </si>
  <si>
    <t>MSI GS63VR 7RG (Gaming)</t>
  </si>
  <si>
    <t>GS63VR 7RG</t>
  </si>
  <si>
    <t>HP Probook 470 (Notebook)</t>
  </si>
  <si>
    <t>Probook 470</t>
  </si>
  <si>
    <t>Asus E402WA-GA007T (E2-6110/4GB/64GB/W10 (Notebook)</t>
  </si>
  <si>
    <t>E402WA-GA007T (E2-6110/4GB/64GB/W10</t>
  </si>
  <si>
    <t>E-Series 6110</t>
  </si>
  <si>
    <t>64GB SSD</t>
  </si>
  <si>
    <t>Dell Inspiron 5567 (Notebook)</t>
  </si>
  <si>
    <t>Inspiron 5567</t>
  </si>
  <si>
    <t>Radeon R7 M445</t>
  </si>
  <si>
    <t>Acer Aspire A515-51G-37JS (Notebook)</t>
  </si>
  <si>
    <t>Aspire A515-51G-37JS</t>
  </si>
  <si>
    <t>HP 15-BS078nr (i7-7500U/8GB/1TB/W10) (Notebook)</t>
  </si>
  <si>
    <t>15-BS078nr (i7-7500U/8GB/1TB/W10)</t>
  </si>
  <si>
    <t>Lenovo V110-15IAP (N3350/4GB/1TB/No (Notebook)</t>
  </si>
  <si>
    <t>V110-15IAP (N3350/4GB/1TB/No</t>
  </si>
  <si>
    <t>Asus FX753VD-GC086T (i5-7300HQ/8GB/1TB (Gaming)</t>
  </si>
  <si>
    <t>FX753VD-GC086T (i5-7300HQ/8GB/1TB</t>
  </si>
  <si>
    <t>HP Envy 13-AD007nv (Notebook)</t>
  </si>
  <si>
    <t>Envy 13-AD007nv</t>
  </si>
  <si>
    <t>Lenovo ThinkPad E480 (Notebook)</t>
  </si>
  <si>
    <t>ThinkPad E480</t>
  </si>
  <si>
    <t>Radeon RX 550</t>
  </si>
  <si>
    <t>GeForce GTX 1050M</t>
  </si>
  <si>
    <t>Toshiba Satellite Pro (Notebook)</t>
  </si>
  <si>
    <t>Satellite Pro</t>
  </si>
  <si>
    <t>Core i5 6200U</t>
  </si>
  <si>
    <t>Asus ZenBook UX430UA (Ultrabook)</t>
  </si>
  <si>
    <t>ZenBook UX430UA</t>
  </si>
  <si>
    <t>HP EliteBook Folio (Ultrabook)</t>
  </si>
  <si>
    <t>EliteBook Folio</t>
  </si>
  <si>
    <t>Core M 6Y75</t>
  </si>
  <si>
    <t>HD Graphics 515</t>
  </si>
  <si>
    <t>IPS Panel 4K Ultra HD / Touchscreen 3840x2160</t>
  </si>
  <si>
    <t>Asus X541NA (N3350/4GB/1TB/FHD/W10) (Notebook)</t>
  </si>
  <si>
    <t>X541NA (N3350/4GB/1TB/FHD/W10)</t>
  </si>
  <si>
    <t>MSI GE72MVR 7RG (Gaming)</t>
  </si>
  <si>
    <t>GE72MVR 7RG</t>
  </si>
  <si>
    <t>Acer Aspire A315-51 (Notebook)</t>
  </si>
  <si>
    <t>Aspire A315-51</t>
  </si>
  <si>
    <t>Dell Inspiron 5577 (Gaming)</t>
  </si>
  <si>
    <t>Inspiron 5577</t>
  </si>
  <si>
    <t>Dell Inspiron 7567 (Gaming)</t>
  </si>
  <si>
    <t>Inspiron 7567</t>
  </si>
  <si>
    <t>1.0TB Hybrid</t>
  </si>
  <si>
    <t>Lenovo V110-15IKB (i5-7200U/4GB/128GB/W10) (Notebook)</t>
  </si>
  <si>
    <t>V110-15IKB (i5-7200U/4GB/128GB/W10)</t>
  </si>
  <si>
    <t>MSI GE73VR 7RE (Gaming)</t>
  </si>
  <si>
    <t>GE73VR 7RE</t>
  </si>
  <si>
    <t>HP EliteBook 840 (Ultrabook)</t>
  </si>
  <si>
    <t>EliteBook 840</t>
  </si>
  <si>
    <t>Core i5 7500U</t>
  </si>
  <si>
    <t>HP 15-BS103nv (i5-8250U/6GB/256GB/Radeon (Notebook)</t>
  </si>
  <si>
    <t>15-BS103nv (i5-8250U/6GB/256GB/Radeon</t>
  </si>
  <si>
    <t>Lenovo Yoga 520-14IKB (2 in 1 Convertible)</t>
  </si>
  <si>
    <t>Yoga 520-14IKB</t>
  </si>
  <si>
    <t>Asus ZenBook Flip (2 in 1 Convertible)</t>
  </si>
  <si>
    <t>ZenBook Flip</t>
  </si>
  <si>
    <t>Dell Inspiron 5579 (2 in 1 Convertible)</t>
  </si>
  <si>
    <t>Inspiron 5579</t>
  </si>
  <si>
    <t>Asus X555BP-XX180T (A9-9420/4GB/1TB/Radeon (Notebook)</t>
  </si>
  <si>
    <t>X555BP-XX180T (A9-9420/4GB/1TB/Radeon</t>
  </si>
  <si>
    <t>Radeon R5 M420</t>
  </si>
  <si>
    <t>Acer Aspire A517-51G (Notebook)</t>
  </si>
  <si>
    <t>Aspire A517-51G</t>
  </si>
  <si>
    <t>Acer Aspire A315-31 (Notebook)</t>
  </si>
  <si>
    <t>Aspire A315-31</t>
  </si>
  <si>
    <t>MSI GE63VR 7RE (Gaming)</t>
  </si>
  <si>
    <t>GE63VR 7RE</t>
  </si>
  <si>
    <t>HD Graphics 505</t>
  </si>
  <si>
    <t>Huawei MateBook X (Ultrabook)</t>
  </si>
  <si>
    <t>MateBook X</t>
  </si>
  <si>
    <t>IPS Panel Full HD 2160x1440</t>
  </si>
  <si>
    <t>HP 17-bs001nv (i5-7200U/6GB/2TB/Radeon (Notebook)</t>
  </si>
  <si>
    <t>17-bs001nv (i5-7200U/6GB/2TB/Radeon</t>
  </si>
  <si>
    <t>MSI GT80S 6QF-074US (Gaming)</t>
  </si>
  <si>
    <t>GT80S 6QF-074US</t>
  </si>
  <si>
    <t>Core i7 6920HQ</t>
  </si>
  <si>
    <t>GTX 980 SLI</t>
  </si>
  <si>
    <t>512GB SSD +  1TB HDD</t>
  </si>
  <si>
    <t>Lenovo V310-15IKB (i5-7200U/8GB/1TB (Notebook)</t>
  </si>
  <si>
    <t>V310-15IKB (i5-7200U/8GB/1TB</t>
  </si>
  <si>
    <t>R17M-M1-70</t>
  </si>
  <si>
    <t>Lenovo Yoga 920-13IKB (2 in 1 Convertible)</t>
  </si>
  <si>
    <t>Yoga 920-13IKB</t>
  </si>
  <si>
    <t>Xiaomi Mi Notebook (Notebook)</t>
  </si>
  <si>
    <t>Mi Notebook</t>
  </si>
  <si>
    <t>Dell Inspiron 7773 (Notebook)</t>
  </si>
  <si>
    <t>Dell XPS 15 (Notebook)</t>
  </si>
  <si>
    <t>XPS 15</t>
  </si>
  <si>
    <t>4K Ultra HD / Touchscreen 3840x2160</t>
  </si>
  <si>
    <t>Acer Swift 7 (Ultrabook)</t>
  </si>
  <si>
    <t>Swift 7</t>
  </si>
  <si>
    <t>Core i5 7Y54</t>
  </si>
  <si>
    <t>Lenovo Thinkpad Yoga (2 in 1 Convertible)</t>
  </si>
  <si>
    <t>Thinkpad Yoga</t>
  </si>
  <si>
    <t>1TB SSD</t>
  </si>
  <si>
    <t>Touchscreen 2560x1440</t>
  </si>
  <si>
    <t>Vero K147 (N3350/4GB/32GB/FHD/W10) (Notebook)</t>
  </si>
  <si>
    <t>K147 (N3350/4GB/32GB/FHD/W10)</t>
  </si>
  <si>
    <t>Xiaomi Mi Notebook (Ultrabook)</t>
  </si>
  <si>
    <t>Lenovo IdeaPad 320-17IKBR (Notebook)</t>
  </si>
  <si>
    <t>IdeaPad 320-17IKBR</t>
  </si>
  <si>
    <t>1600x900</t>
  </si>
  <si>
    <t>Razer Blade Pro (Gaming)</t>
  </si>
  <si>
    <t>Blade Pro</t>
  </si>
  <si>
    <t>Core i7 7820HK</t>
  </si>
  <si>
    <t>GeForce GTX 1080</t>
  </si>
  <si>
    <t>HP Omen 17-W295 (Gaming)</t>
  </si>
  <si>
    <t>Omen 17-W295</t>
  </si>
  <si>
    <t>IPS Panel 4K Ultra HD 3840x2160</t>
  </si>
  <si>
    <t>Lenovo V110-15ISK (i5-6200U/4GB/128GB/W10) (Notebook)</t>
  </si>
  <si>
    <t>V110-15ISK (i5-6200U/4GB/128GB/W10)</t>
  </si>
  <si>
    <t>Acer Aspire E5-576G (Notebook)</t>
  </si>
  <si>
    <t>Aspire E5-576G</t>
  </si>
  <si>
    <t>Lenovo Legion Y720-15IKB (Gaming)</t>
  </si>
  <si>
    <t>Legion Y720-15IKB</t>
  </si>
  <si>
    <t>Dell Precision 7520 (Workstation)</t>
  </si>
  <si>
    <t>Precision 7520</t>
  </si>
  <si>
    <t>Workstation</t>
  </si>
  <si>
    <t>Xeon E3-1505M V6</t>
  </si>
  <si>
    <t>Quadro M1200</t>
  </si>
  <si>
    <t>4K Ultra HD 3840x2160</t>
  </si>
  <si>
    <t>Touchscreen 1366x768</t>
  </si>
  <si>
    <t>Acer Aspire 7 (Notebook)</t>
  </si>
  <si>
    <t>Aspire 7</t>
  </si>
  <si>
    <t>Asus ROG GL703VD-GC028T (Gaming)</t>
  </si>
  <si>
    <t>ROG GL703VD-GC028T</t>
  </si>
  <si>
    <t>HP 15-bs018nq (i3-6006U/4GB/500GB/FHD/No (Notebook)</t>
  </si>
  <si>
    <t>15-bs018nq (i3-6006U/4GB/500GB/FHD/No</t>
  </si>
  <si>
    <t>Lenovo IdeaPad 320-17IKB (Notebook)</t>
  </si>
  <si>
    <t>IdeaPad 320-17IKB</t>
  </si>
  <si>
    <t>Dell Latitude 5490 (Ultrabook)</t>
  </si>
  <si>
    <t>Latitude 5490</t>
  </si>
  <si>
    <t>Toshiba Portege Z30-C-16L (Ultrabook)</t>
  </si>
  <si>
    <t>Portege Z30-C-16L</t>
  </si>
  <si>
    <t>Core i7 6500U</t>
  </si>
  <si>
    <t>Dell Alienware 17 (Gaming)</t>
  </si>
  <si>
    <t>Alienware 17</t>
  </si>
  <si>
    <t>Asus Vivobook X541UV-DM1217T (Notebook)</t>
  </si>
  <si>
    <t>Vivobook X541UV-DM1217T</t>
  </si>
  <si>
    <t>Asus K756UX-T4340T (i5-7200U/8GB/500GB (Notebook)</t>
  </si>
  <si>
    <t>K756UX-T4340T (i5-7200U/8GB/500GB</t>
  </si>
  <si>
    <t>GeForce GTX 950M</t>
  </si>
  <si>
    <t>256GB SSD +  500GB HDD</t>
  </si>
  <si>
    <t>HP ZBook 15u (Notebook)</t>
  </si>
  <si>
    <t>ZBook 15u</t>
  </si>
  <si>
    <t>FirePro W4190M</t>
  </si>
  <si>
    <t>Asus Pro P2540UA-XO0198T (Notebook)</t>
  </si>
  <si>
    <t>Pro P2540UA-XO0198T</t>
  </si>
  <si>
    <t>HP 15-rb013nv (E2-9000e/4GB/500GB/W10) (Notebook)</t>
  </si>
  <si>
    <t>15-rb013nv (E2-9000e/4GB/500GB/W10)</t>
  </si>
  <si>
    <t>E-Series 9000e</t>
  </si>
  <si>
    <t>Dell Vostro 5468 (Notebook)</t>
  </si>
  <si>
    <t>Vostro 5468</t>
  </si>
  <si>
    <t>Acer Aspire R7 (2 in 1 Convertible)</t>
  </si>
  <si>
    <t>Aspire R7</t>
  </si>
  <si>
    <t>Asus X555QG-DM242T (A10-9620P/4GB/1TB (Notebook)</t>
  </si>
  <si>
    <t>X555QG-DM242T (A10-9620P/4GB/1TB</t>
  </si>
  <si>
    <t>A10-Series A10-9620P</t>
  </si>
  <si>
    <t>Asus ROG G703VI-E5062T (Gaming)</t>
  </si>
  <si>
    <t>ROG G703VI-E5062T</t>
  </si>
  <si>
    <t>Acer Nitro AN515-51 (Gaming)</t>
  </si>
  <si>
    <t>Nitro AN515-51</t>
  </si>
  <si>
    <t>Asus VivoBook Pro (Notebook)</t>
  </si>
  <si>
    <t>VivoBook Pro</t>
  </si>
  <si>
    <t>Asus F756UX-T4201D (i7-7500U/8GB/128GB (Notebook)</t>
  </si>
  <si>
    <t>F756UX-T4201D (i7-7500U/8GB/128GB</t>
  </si>
  <si>
    <t>Lenovo Yoga 910-13IKB (2 in 1 Convertible)</t>
  </si>
  <si>
    <t>Yoga 910-13IKB</t>
  </si>
  <si>
    <t>128GB SSD +  2TB HDD</t>
  </si>
  <si>
    <t>HP 15-bs015dx (i5-7200U/8GB/1TB/W10) (Notebook)</t>
  </si>
  <si>
    <t>15-bs015dx (i5-7200U/8GB/1TB/W10)</t>
  </si>
  <si>
    <t>Asus Rog G701VIK-BA060T (Gaming)</t>
  </si>
  <si>
    <t>Rog G701VIK-BA060T</t>
  </si>
  <si>
    <t>Asus ROG G752VSK-GC493T (Gaming)</t>
  </si>
  <si>
    <t>ROG G752VSK-GC493T</t>
  </si>
  <si>
    <t>GeForce GTX 980M</t>
  </si>
  <si>
    <t>Asus X505BP-BR019T (A9-9420/4GB/1TB/Radeon (Notebook)</t>
  </si>
  <si>
    <t>X505BP-BR019T (A9-9420/4GB/1TB/Radeon</t>
  </si>
  <si>
    <t>Dell Vostro 5370 (Ultrabook)</t>
  </si>
  <si>
    <t>Vostro 5370</t>
  </si>
  <si>
    <t>HP 15-BW094nd (A6-9220/8GB/128GB/W10) (Notebook)</t>
  </si>
  <si>
    <t>15-BW094nd (A6-9220/8GB/128GB/W10)</t>
  </si>
  <si>
    <t>A6-Series A6-9220</t>
  </si>
  <si>
    <t>HP Envy 17-U275cl (Notebook)</t>
  </si>
  <si>
    <t>Envy 17-U275cl</t>
  </si>
  <si>
    <t>MSI GT73EVR 7RE (Gaming)</t>
  </si>
  <si>
    <t>GT73EVR 7RE</t>
  </si>
  <si>
    <t>Lenovo Yoga 720-15IKB (2 in 1 Convertible)</t>
  </si>
  <si>
    <t>Yoga 720-15IKB</t>
  </si>
  <si>
    <t>Dell Vostro 3568 (Notebook)</t>
  </si>
  <si>
    <t>Vostro 3568</t>
  </si>
  <si>
    <t>512GB SSD +  512GB SSD</t>
  </si>
  <si>
    <t>Lenovo V330-15IKB (i7-8550U/8GB/256GB/FHD/W10) (Notebook)</t>
  </si>
  <si>
    <t>V330-15IKB (i7-8550U/8GB/256GB/FHD/W10)</t>
  </si>
  <si>
    <t>Iris Graphics 550</t>
  </si>
  <si>
    <t>Lenovo ThinkPad X1 (2 in 1 Convertible)</t>
  </si>
  <si>
    <t>ThinkPad X1</t>
  </si>
  <si>
    <t>Core i7 6600U</t>
  </si>
  <si>
    <t>GeForce 930M</t>
  </si>
  <si>
    <t>Lenovo IdeaPad 320-17ISK (Notebook)</t>
  </si>
  <si>
    <t>IdeaPad 320-17ISK</t>
  </si>
  <si>
    <t>Lenovo Ideapad 320-15IKBN (Notebook)</t>
  </si>
  <si>
    <t>Ideapad 320-15IKBN</t>
  </si>
  <si>
    <t>Acer SP315-51 (i7-7500U/12GB/1TB/FHD/W10) (Notebook)</t>
  </si>
  <si>
    <t>SP315-51 (i7-7500U/12GB/1TB/FHD/W10)</t>
  </si>
  <si>
    <t>Lenovo Thinkpad T570 (Notebook)</t>
  </si>
  <si>
    <t>Thinkpad T570</t>
  </si>
  <si>
    <t>HD Graphics 630</t>
  </si>
  <si>
    <t>Acer Chromebook C910-C2ST (Notebook)</t>
  </si>
  <si>
    <t>Chromebook C910-C2ST</t>
  </si>
  <si>
    <t>Celeron Dual Core 3205U</t>
  </si>
  <si>
    <t>16GB SSD</t>
  </si>
  <si>
    <t>Chrome OS</t>
  </si>
  <si>
    <t>Asus FX753VD-GC071T (i7-7700HQ/8GB/1TB/GeForce (Gaming)</t>
  </si>
  <si>
    <t>FX753VD-GC071T (i7-7700HQ/8GB/1TB/GeForce</t>
  </si>
  <si>
    <t>HP 17-BS037cl (i3-6006U/8GB/1TB/W10) (Notebook)</t>
  </si>
  <si>
    <t>17-BS037cl (i3-6006U/8GB/1TB/W10)</t>
  </si>
  <si>
    <t>Lenovo V330-15IKB (i5-8250U/8GB/256GB/FHD/W10) (Notebook)</t>
  </si>
  <si>
    <t>V330-15IKB (i5-8250U/8GB/256GB/FHD/W10)</t>
  </si>
  <si>
    <t>Acer Aspire A715-71G (Notebook)</t>
  </si>
  <si>
    <t>Aspire A715-71G</t>
  </si>
  <si>
    <t>Dell Precision 7720 (Workstation)</t>
  </si>
  <si>
    <t>Precision 7720</t>
  </si>
  <si>
    <t>Core i7 7820HQ</t>
  </si>
  <si>
    <t>Lenovo IdeaPad 310-15ABR (Notebook)</t>
  </si>
  <si>
    <t>IdeaPad 310-15ABR</t>
  </si>
  <si>
    <t>A10-Series 9600P</t>
  </si>
  <si>
    <t>Radeon R5 430</t>
  </si>
  <si>
    <t>Asus ZenBook UX530UQ-PRO (Ultrabook)</t>
  </si>
  <si>
    <t>ZenBook UX530UQ-PRO</t>
  </si>
  <si>
    <t>Asus VivoBook S14 (Notebook)</t>
  </si>
  <si>
    <t>VivoBook S14</t>
  </si>
  <si>
    <t>Asus Rog GL702VS-GC095T (Gaming)</t>
  </si>
  <si>
    <t>Rog GL702VS-GC095T</t>
  </si>
  <si>
    <t>GeForce GTX 940M</t>
  </si>
  <si>
    <t>Asus GL553VE-FY082T (i7-7700HQ/8GB/1TB (Gaming)</t>
  </si>
  <si>
    <t>GL553VE-FY082T (i7-7700HQ/8GB/1TB</t>
  </si>
  <si>
    <t>Lenovo IdeaPad 320-15IAP (Notebook)</t>
  </si>
  <si>
    <t>IdeaPad 320-15IAP</t>
  </si>
  <si>
    <t>HP EliteBook x360 (2 in 1 Convertible)</t>
  </si>
  <si>
    <t>EliteBook x360</t>
  </si>
  <si>
    <t>Core i7 7600U</t>
  </si>
  <si>
    <t>Lenovo IdeaPad 720S-13IKB (Notebook)</t>
  </si>
  <si>
    <t>IdeaPad 720S-13IKB</t>
  </si>
  <si>
    <t>MSI GE63VR 7RF (Gaming)</t>
  </si>
  <si>
    <t>GE63VR 7RF</t>
  </si>
  <si>
    <t>Acer ES1-523-84K7 (A8-7410/8GB/256GB/FHD/W10) (Notebook)</t>
  </si>
  <si>
    <t>ES1-523-84K7 (A8-7410/8GB/256GB/FHD/W10)</t>
  </si>
  <si>
    <t>A8-Series 7410</t>
  </si>
  <si>
    <t>Asus VivoBook Flip (2 in 1 Convertible)</t>
  </si>
  <si>
    <t>VivoBook Flip</t>
  </si>
  <si>
    <t>Lenovo ThinkPad 13 (Notebook)</t>
  </si>
  <si>
    <t>ThinkPad 13</t>
  </si>
  <si>
    <t>Celeron Dual Core 3855U</t>
  </si>
  <si>
    <t>HD Graphics 510</t>
  </si>
  <si>
    <t>16GB Flash Storage</t>
  </si>
  <si>
    <t>HP ProBook 640 (Notebook)</t>
  </si>
  <si>
    <t>ProBook 640</t>
  </si>
  <si>
    <t>Acer TravelMate B (Notebook)</t>
  </si>
  <si>
    <t>TravelMate B</t>
  </si>
  <si>
    <t>Pentium Quad Core N3710</t>
  </si>
  <si>
    <t>HD Graphics 405</t>
  </si>
  <si>
    <t>HP Elitebook 840 (Notebook)</t>
  </si>
  <si>
    <t>Elitebook 840</t>
  </si>
  <si>
    <t>Asus ZenBook UX410UA-GV183T (Notebook)</t>
  </si>
  <si>
    <t>ZenBook UX410UA-GV183T</t>
  </si>
  <si>
    <t>IPS Panel Full HD 1366x768</t>
  </si>
  <si>
    <t>A12-Series 9720P</t>
  </si>
  <si>
    <t>Radeon RX 540</t>
  </si>
  <si>
    <t>Acer Aspire E5-575 (Notebook)</t>
  </si>
  <si>
    <t>Aspire E5-575</t>
  </si>
  <si>
    <t>HP Elitebook 820 (Ultrabook)</t>
  </si>
  <si>
    <t>Elitebook 820</t>
  </si>
  <si>
    <t>MSI GL72M 7REX (Gaming)</t>
  </si>
  <si>
    <t>GL72M 7REX</t>
  </si>
  <si>
    <t>Asus UX510UX-CN269T (i7-7500U/8GB/256GB (Notebook)</t>
  </si>
  <si>
    <t>UX510UX-CN269T (i7-7500U/8GB/256GB</t>
  </si>
  <si>
    <t>Lenovo V310-15ISK (i3-6006U/4GB/1TB/FHD/W10) (Notebook)</t>
  </si>
  <si>
    <t>V310-15ISK (i3-6006U/4GB/1TB/FHD/W10)</t>
  </si>
  <si>
    <t>Asus FX553VD-FY647T (i7-7700HQ/8GB/256GB/GeForce (Gaming)</t>
  </si>
  <si>
    <t>FX553VD-FY647T (i7-7700HQ/8GB/256GB/GeForce</t>
  </si>
  <si>
    <t>HP EliteBook 840 (Notebook)</t>
  </si>
  <si>
    <t>Core i5 7300U</t>
  </si>
  <si>
    <t>Dell Inspiron 7570 (Ultrabook)</t>
  </si>
  <si>
    <t>HP Elitebook 850 (Notebook)</t>
  </si>
  <si>
    <t>Elitebook 850</t>
  </si>
  <si>
    <t>Asus X541NA (N3350/4GB/1TB/Linux) (Notebook)</t>
  </si>
  <si>
    <t>X541NA (N3350/4GB/1TB/Linux)</t>
  </si>
  <si>
    <t>Dell Inspiron 3552 (Notebook)</t>
  </si>
  <si>
    <t>Inspiron 3552</t>
  </si>
  <si>
    <t>Lenovo IdeaPad 320-15ABR (Notebook)</t>
  </si>
  <si>
    <t>IdeaPad 320-15ABR</t>
  </si>
  <si>
    <t>HP Stream 14-AX001nv (Notebook)</t>
  </si>
  <si>
    <t>Stream 14-AX001nv</t>
  </si>
  <si>
    <t>512GB SSD +  256GB SSD</t>
  </si>
  <si>
    <t>Dell Inspiron 5570 (Ultrabook)</t>
  </si>
  <si>
    <t>MSI GP72MVR 7RFX (Gaming)</t>
  </si>
  <si>
    <t>GP72MVR 7RFX</t>
  </si>
  <si>
    <t>HP Zbook 15 (Workstation)</t>
  </si>
  <si>
    <t>Zbook 15</t>
  </si>
  <si>
    <t>Toshiba Tecra A50-C-21G (Notebook)</t>
  </si>
  <si>
    <t>Tecra A50-C-21G</t>
  </si>
  <si>
    <t>Dell Latitude 7480 (Notebook)</t>
  </si>
  <si>
    <t>Latitude 7480</t>
  </si>
  <si>
    <t>Asus Zenbook UX410UA-GV027T (Notebook)</t>
  </si>
  <si>
    <t>Zenbook UX410UA-GV027T</t>
  </si>
  <si>
    <t>HP 15-AY023na (N3710/8GB/2TB/W10) (Notebook)</t>
  </si>
  <si>
    <t>15-AY023na (N3710/8GB/2TB/W10)</t>
  </si>
  <si>
    <t>HP Elitebook 1040 (Ultrabook)</t>
  </si>
  <si>
    <t>Elitebook 1040</t>
  </si>
  <si>
    <t>GeForce GT 940MX</t>
  </si>
  <si>
    <t>512GB SSD +  2TB HDD</t>
  </si>
  <si>
    <t>Lenovo IdeaPad 110-17ACL (Notebook)</t>
  </si>
  <si>
    <t>IdeaPad 110-17ACL</t>
  </si>
  <si>
    <t>HP 15-bw003nv (A9-Series-9420/4GB/256GB/FHD/W10) (Notebook)</t>
  </si>
  <si>
    <t>15-bw003nv (A9-Series-9420/4GB/256GB/FHD/W10)</t>
  </si>
  <si>
    <t>Lenovo Yoga 11e (Netbook)</t>
  </si>
  <si>
    <t>Yoga 11e</t>
  </si>
  <si>
    <t>Celeron Quad Core N3450</t>
  </si>
  <si>
    <t>Asus VivoBook E403NA (Notebook)</t>
  </si>
  <si>
    <t>VivoBook E403NA</t>
  </si>
  <si>
    <t>HP Omen 17-w212nv (Gaming)</t>
  </si>
  <si>
    <t>Omen 17-w212nv</t>
  </si>
  <si>
    <t>Lenovo V310-15ISK (i3-6006U/4GB/128GB/FHD/No (Notebook)</t>
  </si>
  <si>
    <t>V310-15ISK (i3-6006U/4GB/128GB/FHD/No</t>
  </si>
  <si>
    <t>Asus ROG Strix (Gaming)</t>
  </si>
  <si>
    <t>ROG Strix</t>
  </si>
  <si>
    <t>Lenovo IdeaPad 720S-14IKB (Notebook)</t>
  </si>
  <si>
    <t>IdeaPad 720S-14IKB</t>
  </si>
  <si>
    <t>Asus Zenbook Flip (Ultrabook)</t>
  </si>
  <si>
    <t>Zenbook Flip</t>
  </si>
  <si>
    <t>Lenovo Thinkpad X1 (Ultrabook)</t>
  </si>
  <si>
    <t>Thinkpad X1</t>
  </si>
  <si>
    <t>IPS Panel 2560x1440</t>
  </si>
  <si>
    <t>Lenovo Ideapad 510S-13IKB (Notebook)</t>
  </si>
  <si>
    <t>Ideapad 510S-13IKB</t>
  </si>
  <si>
    <t>Dell Precision 3510 (Workstation)</t>
  </si>
  <si>
    <t>Precision 3510</t>
  </si>
  <si>
    <t>Core i5 6440HQ</t>
  </si>
  <si>
    <t>FirePro W5130M</t>
  </si>
  <si>
    <t>Dell Precision 5520 (Workstation)</t>
  </si>
  <si>
    <t>Precision 5520</t>
  </si>
  <si>
    <t>Core i7 6820HQ</t>
  </si>
  <si>
    <t>Asus Rog GL753VD-GC042T (Gaming)</t>
  </si>
  <si>
    <t>Rog GL753VD-GC042T</t>
  </si>
  <si>
    <t>Asus Rog GL753VE-GC070T (Gaming)</t>
  </si>
  <si>
    <t>Rog GL753VE-GC070T</t>
  </si>
  <si>
    <t>MSI Leopard GP72M (Gaming)</t>
  </si>
  <si>
    <t>Leopard GP72M</t>
  </si>
  <si>
    <t>HP 15-BW004nv (A9-9420/4GB/256GB/Radeon (Ultrabook)</t>
  </si>
  <si>
    <t>15-BW004nv (A9-9420/4GB/256GB/Radeon</t>
  </si>
  <si>
    <t>Lenovo ThinkPad E580 (Notebook)</t>
  </si>
  <si>
    <t>ThinkPad E580</t>
  </si>
  <si>
    <t>Lenovo ThinkPad L470 (Notebook)</t>
  </si>
  <si>
    <t>ThinkPad L470</t>
  </si>
  <si>
    <t>Dell Precision M5520 (Workstation)</t>
  </si>
  <si>
    <t>Precision M5520</t>
  </si>
  <si>
    <t>Asus FX753VD-GC461T (i7-7700HQ/16GB/1TB (Gaming)</t>
  </si>
  <si>
    <t>FX753VD-GC461T (i7-7700HQ/16GB/1TB</t>
  </si>
  <si>
    <t>MSI GE73VR 7RF (Gaming)</t>
  </si>
  <si>
    <t>GE73VR 7RF</t>
  </si>
  <si>
    <t>Asus Zenbook 3 (Ultrabook)</t>
  </si>
  <si>
    <t>Zenbook 3</t>
  </si>
  <si>
    <t>Toshiba Portege Z30-C-16P (Ultrabook)</t>
  </si>
  <si>
    <t>Portege Z30-C-16P</t>
  </si>
  <si>
    <t>Dell Latitude 7480 (Ultrabook)</t>
  </si>
  <si>
    <t>Lenovo Lenovo IdeaPad (Notebook)</t>
  </si>
  <si>
    <t>Lenovo IdeaPad</t>
  </si>
  <si>
    <t>Lenovo ThinkPad P51 (Workstation)</t>
  </si>
  <si>
    <t>ThinkPad P51</t>
  </si>
  <si>
    <t>Lenovo Thinkpad T470p (Ultrabook)</t>
  </si>
  <si>
    <t>Thinkpad T470p</t>
  </si>
  <si>
    <t>IPS Panel Full HD 2560x1440</t>
  </si>
  <si>
    <t>HP 15-BS028nv (i3-6006U/4GB/1TB/Radeon (Notebook)</t>
  </si>
  <si>
    <t>15-BS028nv (i3-6006U/4GB/1TB/Radeon</t>
  </si>
  <si>
    <t>Dell Latitude 3380 (Notebook)</t>
  </si>
  <si>
    <t>Latitude 3380</t>
  </si>
  <si>
    <t>HP EliteBook 1040 (Ultrabook)</t>
  </si>
  <si>
    <t>EliteBook 1040</t>
  </si>
  <si>
    <t>Lenovo ThinkPad E480 (Ultrabook)</t>
  </si>
  <si>
    <t>Chuwi LapBook 12.3 (Notebook)</t>
  </si>
  <si>
    <t>LapBook 12.3</t>
  </si>
  <si>
    <t>IPS Panel Retina Display 2736x1824</t>
  </si>
  <si>
    <t>HP ProBook 650 (Notebook)</t>
  </si>
  <si>
    <t>ProBook 650</t>
  </si>
  <si>
    <t>Asus X542UQ-DM117 (i3-7100U/8GB/1TB/GeForce (Notebook)</t>
  </si>
  <si>
    <t>X542UQ-DM117 (i3-7100U/8GB/1TB/GeForce</t>
  </si>
  <si>
    <t>Dell Latitude 5480 (Ultrabook)</t>
  </si>
  <si>
    <t>Latitude 5480</t>
  </si>
  <si>
    <t>HP Omen 17-w207nv (Gaming)</t>
  </si>
  <si>
    <t>Omen 17-w207nv</t>
  </si>
  <si>
    <t>Mediacom FlexBook Edge (2 in 1 Convertible)</t>
  </si>
  <si>
    <t>FlexBook Edge</t>
  </si>
  <si>
    <t>Samsung Chromebook 3 (Netbook)</t>
  </si>
  <si>
    <t>Chromebook 3</t>
  </si>
  <si>
    <t>Lenovo Thinkpad 13 (Notebook)</t>
  </si>
  <si>
    <t>Thinkpad 13</t>
  </si>
  <si>
    <t>Lenovo IdeaPad 320s-14IKB (Notebook)</t>
  </si>
  <si>
    <t>IdeaPad 320s-14IKB</t>
  </si>
  <si>
    <t>Lenovo Thinkpad T570 (Workstation)</t>
  </si>
  <si>
    <t>Lenovo Thinkpad P51 (Notebook)</t>
  </si>
  <si>
    <t>Thinkpad P51</t>
  </si>
  <si>
    <t>Quadro M2200M</t>
  </si>
  <si>
    <t>Ryzen 1600</t>
  </si>
  <si>
    <t>HP 15-ra044nv (N3060/4GB/500GB/W10) (Notebook)</t>
  </si>
  <si>
    <t>15-ra044nv (N3060/4GB/500GB/W10)</t>
  </si>
  <si>
    <t>Google Pixelbook (Core (Ultrabook)</t>
  </si>
  <si>
    <t>Pixelbook (Core</t>
  </si>
  <si>
    <t>Core i7 7Y75</t>
  </si>
  <si>
    <t>Touchscreen 2400x1600</t>
  </si>
  <si>
    <t>Lenovo ThinkPad T470s (Ultrabook)</t>
  </si>
  <si>
    <t>ThinkPad T470s</t>
  </si>
  <si>
    <t>2560x1440</t>
  </si>
  <si>
    <t>Radeon R4</t>
  </si>
  <si>
    <t>Lenovo ThinkPad X270 (Ultrabook)</t>
  </si>
  <si>
    <t>ThinkPad X270</t>
  </si>
  <si>
    <t>HP Omen 15-AX205na (Gaming)</t>
  </si>
  <si>
    <t>Omen 15-AX205na</t>
  </si>
  <si>
    <t>Dell Latitude 5480 (Notebook)</t>
  </si>
  <si>
    <t>Core i5 7440HQ</t>
  </si>
  <si>
    <t>Acer Aspire ES1-572 (Notebook)</t>
  </si>
  <si>
    <t>Aspire ES1-572</t>
  </si>
  <si>
    <t>Dell Precision 3520 (Workstation)</t>
  </si>
  <si>
    <t>Precision 3520</t>
  </si>
  <si>
    <t>Quadro M620</t>
  </si>
  <si>
    <t>64GB Flash Storage +  1TB HDD</t>
  </si>
  <si>
    <t>MSI GV62 7RD-1686NL (Gaming)</t>
  </si>
  <si>
    <t>GV62 7RD-1686NL</t>
  </si>
  <si>
    <t>Core i7 7660U</t>
  </si>
  <si>
    <t>HP 15-bs024nv (i5-7200U/8GB/128GB/W10) (Notebook)</t>
  </si>
  <si>
    <t>15-bs024nv (i5-7200U/8GB/128GB/W10)</t>
  </si>
  <si>
    <t>HP ProBook 650 (Workstation)</t>
  </si>
  <si>
    <t>Lenovo ThinkPad T470 (Notebook)</t>
  </si>
  <si>
    <t>ThinkPad T470</t>
  </si>
  <si>
    <t>Dell Inspiron 3168 (2 in 1 Convertible)</t>
  </si>
  <si>
    <t>Inspiron 3168</t>
  </si>
  <si>
    <t>Dell Alienware 17 (Notebook)</t>
  </si>
  <si>
    <t>Core M m3-7Y30</t>
  </si>
  <si>
    <t>HP 17-BS092ND (i3-6006U/8GB/256GB/W10) (Notebook)</t>
  </si>
  <si>
    <t>17-BS092ND (i3-6006U/8GB/256GB/W10)</t>
  </si>
  <si>
    <t>Acer TravelMate B (Netbook)</t>
  </si>
  <si>
    <t>Asus Pro P2540UA-AB51 (Notebook)</t>
  </si>
  <si>
    <t>Pro P2540UA-AB51</t>
  </si>
  <si>
    <t>Lenovo IdeaPad 510s-14IKB (Notebook)</t>
  </si>
  <si>
    <t>IdeaPad 510s-14IKB</t>
  </si>
  <si>
    <t>Radeon R7 M460</t>
  </si>
  <si>
    <t>Asus X541NA-PD1003Y (N4200/4GB/500GB/W10) (Notebook)</t>
  </si>
  <si>
    <t>X541NA-PD1003Y (N4200/4GB/500GB/W10)</t>
  </si>
  <si>
    <t>HP Omen 17-an006nv (Gaming)</t>
  </si>
  <si>
    <t>Omen 17-an006nv</t>
  </si>
  <si>
    <t>Lenovo Thinkpad T460s (Ultrabook)</t>
  </si>
  <si>
    <t>Thinkpad T460s</t>
  </si>
  <si>
    <t>IPS Panel Quad HD+ 2560x1440</t>
  </si>
  <si>
    <t>Core i5 7Y57</t>
  </si>
  <si>
    <t>Dell Latitude 7390 (Ultrabook)</t>
  </si>
  <si>
    <t>Latitude 7390</t>
  </si>
  <si>
    <t>Asus ZenBook Pro (Notebook)</t>
  </si>
  <si>
    <t>Core i7 6700HQ</t>
  </si>
  <si>
    <t>HD Graphics 530</t>
  </si>
  <si>
    <t>Dell Latitude E5470 (Notebook)</t>
  </si>
  <si>
    <t>Latitude E5470</t>
  </si>
  <si>
    <t>Core i3 6100U</t>
  </si>
  <si>
    <t>180GB SSD</t>
  </si>
  <si>
    <t>Toshiba Portege X30-D-10J (Notebook)</t>
  </si>
  <si>
    <t>Portege X30-D-10J</t>
  </si>
  <si>
    <t>Chuwi Lapbook 15,6 (Notebook)</t>
  </si>
  <si>
    <t>Lapbook 15,6</t>
  </si>
  <si>
    <t>Lenovo ThinkPad E570 (Notebook)</t>
  </si>
  <si>
    <t>ThinkPad E570</t>
  </si>
  <si>
    <t>Lenovo Thinkpad X270 (Ultrabook)</t>
  </si>
  <si>
    <t>Thinkpad X270</t>
  </si>
  <si>
    <t>Asus Zenbook UX390UA (Ultrabook)</t>
  </si>
  <si>
    <t>Zenbook UX390UA</t>
  </si>
  <si>
    <t>Lenovo Thinkpad E570 (Notebook)</t>
  </si>
  <si>
    <t>Thinkpad E570</t>
  </si>
  <si>
    <t>Toshiba Portege X30-D-10L (Ultrabook)</t>
  </si>
  <si>
    <t>Portege X30-D-10L</t>
  </si>
  <si>
    <t>Asus VivoBook Pro (Gaming)</t>
  </si>
  <si>
    <t>A10-Series 9620P</t>
  </si>
  <si>
    <t>Asus Rog G752VL-UH71T (Gaming)</t>
  </si>
  <si>
    <t>Rog G752VL-UH71T</t>
  </si>
  <si>
    <t>GeForce GTX 965M</t>
  </si>
  <si>
    <t>Lenovo Thinkpad X260 (Ultrabook)</t>
  </si>
  <si>
    <t>Thinkpad X260</t>
  </si>
  <si>
    <t>Lenovo Ideapad 520-15IKBR (Notebook)</t>
  </si>
  <si>
    <t>Ideapad 520-15IKBR</t>
  </si>
  <si>
    <t>Lenovo ThinkPad L570 (Notebook)</t>
  </si>
  <si>
    <t>ThinkPad L570</t>
  </si>
  <si>
    <t>Asus VivoBook E201NA (Netbook)</t>
  </si>
  <si>
    <t>VivoBook E201NA</t>
  </si>
  <si>
    <t>HP 15-BS026nv (i5-7200U/8GB/256GB/Radeon (Notebook)</t>
  </si>
  <si>
    <t>15-BS026nv (i5-7200U/8GB/256GB/Radeon</t>
  </si>
  <si>
    <t>Lenovo IdeaPad 320-14IAP (Notebook)</t>
  </si>
  <si>
    <t>IdeaPad 320-14IAP</t>
  </si>
  <si>
    <t>Lenovo Chromebook N23 (Netbook)</t>
  </si>
  <si>
    <t>Chromebook N23</t>
  </si>
  <si>
    <t>Asus ZenBook UX510UX-CN211T (Notebook)</t>
  </si>
  <si>
    <t>ZenBook UX510UX-CN211T</t>
  </si>
  <si>
    <t>Acer Aspire A515-51G-59QF (Notebook)</t>
  </si>
  <si>
    <t>Aspire A515-51G-59QF</t>
  </si>
  <si>
    <t>HP Envy 13-AB002nv (Ultrabook)</t>
  </si>
  <si>
    <t>Envy 13-AB002nv</t>
  </si>
  <si>
    <t>Dell Vostro 5568 (Notebook)</t>
  </si>
  <si>
    <t>Vostro 5568</t>
  </si>
  <si>
    <t>Asus VivoBook E12 (Netbook)</t>
  </si>
  <si>
    <t>VivoBook E12</t>
  </si>
  <si>
    <t>HP 15-bs190od (i5-8250U/4GB/1TB/W10) (Notebook)</t>
  </si>
  <si>
    <t>15-bs190od (i5-8250U/4GB/1TB/W10)</t>
  </si>
  <si>
    <t>Asus ROG Zephyrus (Gaming)</t>
  </si>
  <si>
    <t>ROG Zephyrus</t>
  </si>
  <si>
    <t>GeForce GTX1080</t>
  </si>
  <si>
    <t>HP Probook 450 (Notebook)</t>
  </si>
  <si>
    <t>Probook 450</t>
  </si>
  <si>
    <t>Asus FX753VE-GC155T (i7-7700HQ/16GB/1TB (Gaming)</t>
  </si>
  <si>
    <t>FX753VE-GC155T (i7-7700HQ/16GB/1TB</t>
  </si>
  <si>
    <t>GeForce GTX1050 Ti</t>
  </si>
  <si>
    <t>HP Spectre X360 (Ultrabook)</t>
  </si>
  <si>
    <t>Spectre X360</t>
  </si>
  <si>
    <t>Windows 7</t>
  </si>
  <si>
    <t>Dell Latitude 5580 (Notebook)</t>
  </si>
  <si>
    <t>Latitude 5580</t>
  </si>
  <si>
    <t>Asus Zenbook UX510UW-FI095T (Notebook)</t>
  </si>
  <si>
    <t>Zenbook UX510UW-FI095T</t>
  </si>
  <si>
    <t>GeForce GTX 960M</t>
  </si>
  <si>
    <t>Mediacom SmartBook Edge (Notebook)</t>
  </si>
  <si>
    <t>SmartBook Edge</t>
  </si>
  <si>
    <t>HP Omen 15-ce006nv (Gaming)</t>
  </si>
  <si>
    <t>Omen 15-ce006nv</t>
  </si>
  <si>
    <t>Lenovo Thinkpad E470 (Notebook)</t>
  </si>
  <si>
    <t>Thinkpad E470</t>
  </si>
  <si>
    <t>HP Envy 13-AB020nr (Ultrabook)</t>
  </si>
  <si>
    <t>Envy 13-AB020nr</t>
  </si>
  <si>
    <t>IPS Panel Quad HD+ 3200x1800</t>
  </si>
  <si>
    <t>Acer Aspire 7 (Gaming)</t>
  </si>
  <si>
    <t>Asus VivoBook X540YA-XX519T (Notebook)</t>
  </si>
  <si>
    <t>VivoBook X540YA-XX519T</t>
  </si>
  <si>
    <t>E-Series 7110</t>
  </si>
  <si>
    <t>Radeon R2 Graphics</t>
  </si>
  <si>
    <t>Lenovo ThinkPad E470 (Notebook)</t>
  </si>
  <si>
    <t>ThinkPad E470</t>
  </si>
  <si>
    <t>Lenovo V310-15ISK (i5-6200U/4GB/1TB/FHD/No (Notebook)</t>
  </si>
  <si>
    <t>V310-15ISK (i5-6200U/4GB/1TB/FHD/No</t>
  </si>
  <si>
    <t>Lenovo ThinkPad T570 (Notebook)</t>
  </si>
  <si>
    <t>ThinkPad T570</t>
  </si>
  <si>
    <t>HP 17-X047na (i3-6006U/8GB/1TB/W10) (Notebook)</t>
  </si>
  <si>
    <t>17-X047na (i3-6006U/8GB/1TB/W10)</t>
  </si>
  <si>
    <t>Asus A541NA-GO342 (N3350/4GB/500GB/Linux) (Notebook)</t>
  </si>
  <si>
    <t>A541NA-GO342 (N3350/4GB/500GB/Linux)</t>
  </si>
  <si>
    <t>Mediacom SmartBook 130 (Notebook)</t>
  </si>
  <si>
    <t>SmartBook 130</t>
  </si>
  <si>
    <t>HP 15-bw007nv (A10-9620P/6GB/128GB/Radeon (Notebook)</t>
  </si>
  <si>
    <t>15-bw007nv (A10-9620P/6GB/128GB/Radeon</t>
  </si>
  <si>
    <t>Acer Spin SP111-31 (2 in 1 Convertible)</t>
  </si>
  <si>
    <t>Spin SP111-31</t>
  </si>
  <si>
    <t>Lenovo V330-15IKB (i3-7130U/4GB/128GB/FHD/W10) (Notebook)</t>
  </si>
  <si>
    <t>V330-15IKB (i3-7130U/4GB/128GB/FHD/W10)</t>
  </si>
  <si>
    <t>HP EliteBook 1030 (Ultrabook)</t>
  </si>
  <si>
    <t>EliteBook 1030</t>
  </si>
  <si>
    <t>IPS Panel Quad HD+ / Touchscreen 3200x1800</t>
  </si>
  <si>
    <t>Lenovo Thinkpad P71 (Notebook)</t>
  </si>
  <si>
    <t>Thinkpad P71</t>
  </si>
  <si>
    <t>Quadro M620M</t>
  </si>
  <si>
    <t>Asus FX553VD-DM627T (i5-7300HQ/8GB/1TB (Notebook)</t>
  </si>
  <si>
    <t>FX553VD-DM627T (i5-7300HQ/8GB/1TB</t>
  </si>
  <si>
    <t>Fujitsu Lifebook A557 (Notebook)</t>
  </si>
  <si>
    <t>Lifebook A557</t>
  </si>
  <si>
    <t>HP ZBook 17 (Workstation)</t>
  </si>
  <si>
    <t>ZBook 17</t>
  </si>
  <si>
    <t>HP 14-am079na (N3710/8GB/2TB/W10) (Notebook)</t>
  </si>
  <si>
    <t>14-am079na (N3710/8GB/2TB/W10)</t>
  </si>
  <si>
    <t>HP 15-cd005nv (A9-9420/6GB/256GB/Radeon (Notebook)</t>
  </si>
  <si>
    <t>15-cd005nv (A9-9420/6GB/256GB/Radeon</t>
  </si>
  <si>
    <t>A9-Series A9-9420</t>
  </si>
  <si>
    <t>Lenovo V330-15IKB (i5-8250U/4GB/500GB/FHD/W10) (Notebook)</t>
  </si>
  <si>
    <t>V330-15IKB (i5-8250U/4GB/500GB/FHD/W10)</t>
  </si>
  <si>
    <t>Mediacom SmartBook 141 (Notebook)</t>
  </si>
  <si>
    <t>SmartBook 141</t>
  </si>
  <si>
    <t>Toshiba Tecra X40-D-10H (Ultrabook)</t>
  </si>
  <si>
    <t>Tecra X40-D-10H</t>
  </si>
  <si>
    <t>Lenovo IdeaPad Y910-17ISK (Gaming)</t>
  </si>
  <si>
    <t>IdeaPad Y910-17ISK</t>
  </si>
  <si>
    <t>Core i7 6820HK</t>
  </si>
  <si>
    <t>MSI GT73VR Titan (Gaming)</t>
  </si>
  <si>
    <t>GT73VR Titan</t>
  </si>
  <si>
    <t>Dell Chromebook 11 (Netbook)</t>
  </si>
  <si>
    <t>Chromebook 11</t>
  </si>
  <si>
    <t>MSI GT80S 6QE (Gaming)</t>
  </si>
  <si>
    <t>GT80S 6QE</t>
  </si>
  <si>
    <t>HP Omen 17-AN010nv (Gaming)</t>
  </si>
  <si>
    <t>Omen 17-AN010nv</t>
  </si>
  <si>
    <t>Lenovo Ideapad 320-15IKBR (Notebook)</t>
  </si>
  <si>
    <t>Ideapad 320-15IKBR</t>
  </si>
  <si>
    <t>Asus TP501UA-CJ131T (i5-7200U/8GB/1TB/W10) (2 in 1 Convertible)</t>
  </si>
  <si>
    <t>TP501UA-CJ131T (i5-7200U/8GB/1TB/W10)</t>
  </si>
  <si>
    <t>Dell Inspiron 3179 (2 in 1 Convertible)</t>
  </si>
  <si>
    <t>Inspiron 3179</t>
  </si>
  <si>
    <t>Core M 7Y30</t>
  </si>
  <si>
    <t>Samsung Notebook Odyssey (Notebook)</t>
  </si>
  <si>
    <t>Notebook Odyssey</t>
  </si>
  <si>
    <t>Lenovo V320-17ISK (i3-6006U/4GB/500GB/FHD/No (Notebook)</t>
  </si>
  <si>
    <t>V320-17ISK (i3-6006U/4GB/500GB/FHD/No</t>
  </si>
  <si>
    <t>Lenovo IdeaPad 110-15ISK (Notebook)</t>
  </si>
  <si>
    <t>IdeaPad 110-15ISK</t>
  </si>
  <si>
    <t>Lenovo Thinkpad T470p (Notebook)</t>
  </si>
  <si>
    <t>Dell Latitude 5289 (2 in 1 Convertible)</t>
  </si>
  <si>
    <t>Latitude 5289</t>
  </si>
  <si>
    <t>HP EliteBook 850 (Notebook)</t>
  </si>
  <si>
    <t>EliteBook 850</t>
  </si>
  <si>
    <t>Acer Aspire 1 (Notebook)</t>
  </si>
  <si>
    <t>Aspire 1</t>
  </si>
  <si>
    <t>MSI Laptop MSI (Gaming)</t>
  </si>
  <si>
    <t>Laptop MSI</t>
  </si>
  <si>
    <t>GeForce GTX 970M</t>
  </si>
  <si>
    <t>MSI GS63VR 7RF (Gaming)</t>
  </si>
  <si>
    <t>GS63VR 7RF</t>
  </si>
  <si>
    <t>Toshiba Tecra Z50-C-144 (Notebook)</t>
  </si>
  <si>
    <t>Tecra Z50-C-144</t>
  </si>
  <si>
    <t>Lenovo IdeaPad 310-15IKB (Notebook)</t>
  </si>
  <si>
    <t>IdeaPad 310-15IKB</t>
  </si>
  <si>
    <t>Acer Swift SF114-31-P5HY (Notebook)</t>
  </si>
  <si>
    <t>Swift SF114-31-P5HY</t>
  </si>
  <si>
    <t>Xeon E3-1535M v6</t>
  </si>
  <si>
    <t>Dell Inspiron 7559 (Gaming)</t>
  </si>
  <si>
    <t>Inspiron 7559</t>
  </si>
  <si>
    <t>GeForce GTX 960&lt;U+039C&gt;</t>
  </si>
  <si>
    <t>Asus FX753VD-GC007T (i7-7700HQ/8GB/1TB (Gaming)</t>
  </si>
  <si>
    <t>FX753VD-GC007T (i7-7700HQ/8GB/1TB</t>
  </si>
  <si>
    <t>HP EliteBook 850 (Ultrabook)</t>
  </si>
  <si>
    <t>MSI GT62VR 7RE (Gaming)</t>
  </si>
  <si>
    <t>GT62VR 7RE</t>
  </si>
  <si>
    <t>Acer CB5-132T-C9KK (N3160/4GB/32GB/Chrome (2 in 1 Convertible)</t>
  </si>
  <si>
    <t>CB5-132T-C9KK (N3160/4GB/32GB/Chrome</t>
  </si>
  <si>
    <t>Celeron Quad Core N3160</t>
  </si>
  <si>
    <t>IPS Panel Touchscreen 1366x768</t>
  </si>
  <si>
    <t>Fujitsu LifeBook A557 (Notebook)</t>
  </si>
  <si>
    <t>LifeBook A557</t>
  </si>
  <si>
    <t>Mediacom SmartBook 140 (Notebook)</t>
  </si>
  <si>
    <t>SmartBook 140</t>
  </si>
  <si>
    <t>Asus Q304UA-BHI5T11 (i5-7200U/6GB/1TB/FHD/W10) (2 in 1 Convertible)</t>
  </si>
  <si>
    <t>Q304UA-BHI5T11 (i5-7200U/6GB/1TB/FHD/W10)</t>
  </si>
  <si>
    <t>Asus ZenBook 3 (Ultrabook)</t>
  </si>
  <si>
    <t>ZenBook 3</t>
  </si>
  <si>
    <t>Lenovo V330-15IKB (i5-8250U/4GB/256GB/FHD/W10) (Notebook)</t>
  </si>
  <si>
    <t>V330-15IKB (i5-8250U/4GB/256GB/FHD/W10)</t>
  </si>
  <si>
    <t>Lenovo Ideapad 320-15ISK (Notebook)</t>
  </si>
  <si>
    <t>Ideapad 320-15ISK</t>
  </si>
  <si>
    <t>Asus X541NA-GO414T (N3350/8GB/1TB/W10) (Notebook)</t>
  </si>
  <si>
    <t>X541NA-GO414T (N3350/8GB/1TB/W10)</t>
  </si>
  <si>
    <t>Lenovo IdeaPad 100S-14IBR (Notebook)</t>
  </si>
  <si>
    <t>IdeaPad 100S-14IBR</t>
  </si>
  <si>
    <t>HP 17-AK091ND (A9-9420/8GB/1TB/W10) (Notebook)</t>
  </si>
  <si>
    <t>17-AK091ND (A9-9420/8GB/1TB/W10)</t>
  </si>
  <si>
    <t>Lenovo ThinkPad X1 (Ultrabook)</t>
  </si>
  <si>
    <t>Asus ROG GL553VE-FY022 (Gaming)</t>
  </si>
  <si>
    <t>ROG GL553VE-FY022</t>
  </si>
  <si>
    <t>Acer Extensa EX2540 (Notebook)</t>
  </si>
  <si>
    <t>Extensa EX2540</t>
  </si>
  <si>
    <t>Graphics 620</t>
  </si>
  <si>
    <t>Toshiba Portege Z30-C-16J (Notebook)</t>
  </si>
  <si>
    <t>Portege Z30-C-16J</t>
  </si>
  <si>
    <t>Asus ROG G701VI (Gaming)</t>
  </si>
  <si>
    <t>ROG G701VI</t>
  </si>
  <si>
    <t>Acer A715-71G-59DH (i5-7300HQ/8GB/1TB/GeForce (Gaming)</t>
  </si>
  <si>
    <t>A715-71G-59DH (i5-7300HQ/8GB/1TB/GeForce</t>
  </si>
  <si>
    <t>MSI GL62M 7REX (Gaming)</t>
  </si>
  <si>
    <t>GL62M 7REX</t>
  </si>
  <si>
    <t>Toshiba Tecra A50-D-11M (Notebook)</t>
  </si>
  <si>
    <t>Tecra A50-D-11M</t>
  </si>
  <si>
    <t>Lenovo IdeaPad Y700-15ISK (Gaming)</t>
  </si>
  <si>
    <t>IdeaPad Y700-15ISK</t>
  </si>
  <si>
    <t>GeForce GTX 960</t>
  </si>
  <si>
    <t>Dell Latitude E7470 (Notebook)</t>
  </si>
  <si>
    <t>Latitude E7470</t>
  </si>
  <si>
    <t>Core i5 6300U</t>
  </si>
  <si>
    <t>Lenovo Ideapad 320-15IAP (Notebook)</t>
  </si>
  <si>
    <t>Ideapad 320-15IAP</t>
  </si>
  <si>
    <t>HP 15-ay047nv (i3-6006U/6GB/1TB/Radeon (Notebook)</t>
  </si>
  <si>
    <t>15-ay047nv (i3-6006U/6GB/1TB/Radeon</t>
  </si>
  <si>
    <t>1920x1080</t>
  </si>
  <si>
    <t>MSI GP72VR Leopard (Gaming)</t>
  </si>
  <si>
    <t>GP72VR Leopard</t>
  </si>
  <si>
    <t>Dell Latitude 3580 (Notebook)</t>
  </si>
  <si>
    <t>Latitude 3580</t>
  </si>
  <si>
    <t>HP 15-bs012nv (i7-7500U/8GB/1TB/Radeon (Notebook)</t>
  </si>
  <si>
    <t>15-bs012nv (i7-7500U/8GB/1TB/Radeon</t>
  </si>
  <si>
    <t>Toshiba Tecra Z50-D-10E (Notebook)</t>
  </si>
  <si>
    <t>Tecra Z50-D-10E</t>
  </si>
  <si>
    <t>Lenovo V310-15ISK (i5-7200U/8GB/1TB (Notebook)</t>
  </si>
  <si>
    <t>V310-15ISK (i5-7200U/8GB/1TB</t>
  </si>
  <si>
    <t>Lenovo Yoga 720-13IKB (2 in 1 Convertible)</t>
  </si>
  <si>
    <t>Yoga 720-13IKB</t>
  </si>
  <si>
    <t>E-Series E2-9000</t>
  </si>
  <si>
    <t>HP Pavilion X360 (2 in 1 Convertible)</t>
  </si>
  <si>
    <t>Pavilion X360</t>
  </si>
  <si>
    <t>MSI GP62 7RDX (Gaming)</t>
  </si>
  <si>
    <t>GP62 7RDX</t>
  </si>
  <si>
    <t>HP Chromebook X360 (2 in 1 Convertible)</t>
  </si>
  <si>
    <t>Chromebook X360</t>
  </si>
  <si>
    <t>LG Gram 15Z975 (Ultrabook)</t>
  </si>
  <si>
    <t>Gram 15Z975</t>
  </si>
  <si>
    <t>Acer Aspire VX5-591G (Gaming)</t>
  </si>
  <si>
    <t>Aspire VX5-591G</t>
  </si>
  <si>
    <t>MSI GV62M 7RD (Gaming)</t>
  </si>
  <si>
    <t>GV62M 7RD</t>
  </si>
  <si>
    <t>Asus L502NA-GO052T (N3350/4GB/128GB/W10) (Notebook)</t>
  </si>
  <si>
    <t>L502NA-GO052T (N3350/4GB/128GB/W10)</t>
  </si>
  <si>
    <t>Dell Alienware 15 (Gaming)</t>
  </si>
  <si>
    <t>Alienware 15</t>
  </si>
  <si>
    <t>HP 17-bs000nv I3 (Notebook)</t>
  </si>
  <si>
    <t>17-bs000nv I3</t>
  </si>
  <si>
    <t>Radeon R5 520</t>
  </si>
  <si>
    <t>Lenovo Yoga 730 (2 in 1 Convertible)</t>
  </si>
  <si>
    <t>Yoga 730</t>
  </si>
  <si>
    <t>HP 17-Y002nv (A10-9600P/6GB/2TB/Radeon (Notebook)</t>
  </si>
  <si>
    <t>17-Y002nv (A10-9600P/6GB/2TB/Radeon</t>
  </si>
  <si>
    <t>Radeon R7 M440</t>
  </si>
  <si>
    <t>Lenovo V110-15ISK (3855U/4GB/500GB/W10) (Notebook)</t>
  </si>
  <si>
    <t>V110-15ISK (3855U/4GB/500GB/W10)</t>
  </si>
  <si>
    <t>Acer Chromebook 14 (Notebook)</t>
  </si>
  <si>
    <t>Chromebook 14</t>
  </si>
  <si>
    <t>Lenovo IdeaPad 520s-14IKB (Notebook)</t>
  </si>
  <si>
    <t>IdeaPad 520s-14IKB</t>
  </si>
  <si>
    <t>Acer TravelMate B117-M (Netbook)</t>
  </si>
  <si>
    <t>TravelMate B117-M</t>
  </si>
  <si>
    <t>Celeron Dual Core N3050</t>
  </si>
  <si>
    <t>Asus Chromebook Flip (2 in 1 Convertible)</t>
  </si>
  <si>
    <t>Chromebook Flip</t>
  </si>
  <si>
    <t>Core M M3-6Y30</t>
  </si>
  <si>
    <t>Toshiba Portege Z30T-C-133 (Ultrabook)</t>
  </si>
  <si>
    <t>Portege Z30T-C-133</t>
  </si>
  <si>
    <t>HP 15-bs011nv (i7-7500U/4GB/500GB/Radeon (Notebook)</t>
  </si>
  <si>
    <t>15-bs011nv (i7-7500U/4GB/500GB/Radeon</t>
  </si>
  <si>
    <t>Radeon R7</t>
  </si>
  <si>
    <t>Lenovo V310-15IKB (i5-7200U/4GB/1TB/FHD/W10) (Notebook)</t>
  </si>
  <si>
    <t>V310-15IKB (i5-7200U/4GB/1TB/FHD/W10)</t>
  </si>
  <si>
    <t>1TB HDD +  1TB HDD</t>
  </si>
  <si>
    <t>Lenovo V310-15ISK (i3-6006U/4GB/500GB/No (Notebook)</t>
  </si>
  <si>
    <t>V310-15ISK (i3-6006U/4GB/500GB/No</t>
  </si>
  <si>
    <t>Lenovo ThinkPad P51s (Workstation)</t>
  </si>
  <si>
    <t>ThinkPad P51s</t>
  </si>
  <si>
    <t>Quadro M520M</t>
  </si>
  <si>
    <t>Lenovo Thinkpad T460p (Notebook)</t>
  </si>
  <si>
    <t>Thinkpad T460p</t>
  </si>
  <si>
    <t>Core i5 6300HQ</t>
  </si>
  <si>
    <t>HP 17-ak002nv (A10-9620P/6GB/2TB/Radeon (Notebook)</t>
  </si>
  <si>
    <t>17-ak002nv (A10-9620P/6GB/2TB/Radeon</t>
  </si>
  <si>
    <t>Lenovo 110-15ACL (A6-7310/4GB/500GB/W10) (Notebook)</t>
  </si>
  <si>
    <t>110-15ACL (A6-7310/4GB/500GB/W10)</t>
  </si>
  <si>
    <t>A6-Series 7310</t>
  </si>
  <si>
    <t>Mediacom Smartbook 142 (Notebook)</t>
  </si>
  <si>
    <t>Smartbook 142</t>
  </si>
  <si>
    <t>Atom Z8350</t>
  </si>
  <si>
    <t>32GB HDD</t>
  </si>
  <si>
    <t>IPS Panel Full HD 1920x1200</t>
  </si>
  <si>
    <t>1TB SSD +  1TB HDD</t>
  </si>
  <si>
    <t>Lenovo V310-15IKB (i5-7200U/4GB/1TB/No (Notebook)</t>
  </si>
  <si>
    <t>V310-15IKB (i5-7200U/4GB/1TB/No</t>
  </si>
  <si>
    <t>Dell Inspiron 5378 (2 in 1 Convertible)</t>
  </si>
  <si>
    <t>Inspiron 5378</t>
  </si>
  <si>
    <t>HP 15-BW037na (A9-9420/4GB/1TB/Radeon (Notebook)</t>
  </si>
  <si>
    <t>15-BW037na (A9-9420/4GB/1TB/Radeon</t>
  </si>
  <si>
    <t>Acer Predator 17 (Gaming)</t>
  </si>
  <si>
    <t>Predator 17</t>
  </si>
  <si>
    <t>HP 15-BW091ND (A9-9420/6GB/1TB (Notebook)</t>
  </si>
  <si>
    <t>15-BW091ND (A9-9420/6GB/1TB</t>
  </si>
  <si>
    <t>Acer Extensa EX2540-58KR (Notebook)</t>
  </si>
  <si>
    <t>Extensa EX2540-58KR</t>
  </si>
  <si>
    <t>Lenovo V310-15IKB (i7-7500U/4GB/1TB/FHD/W10) (Notebook)</t>
  </si>
  <si>
    <t>V310-15IKB (i7-7500U/4GB/1TB/FHD/W10)</t>
  </si>
  <si>
    <t>HP ZBook 15 (Workstation)</t>
  </si>
  <si>
    <t>ZBook 15</t>
  </si>
  <si>
    <t>Quadro M2200</t>
  </si>
  <si>
    <t>Dell Inspiron 7560 (Notebook)</t>
  </si>
  <si>
    <t>Inspiron 7560</t>
  </si>
  <si>
    <t>Toshiba Tecra X40-D-10G (Notebook)</t>
  </si>
  <si>
    <t>Tecra X40-D-10G</t>
  </si>
  <si>
    <t>Lenovo Flex 5 (2 in 1 Convertible)</t>
  </si>
  <si>
    <t>Flex 5</t>
  </si>
  <si>
    <t>Lenovo Thinkpad P51s (Workstation)</t>
  </si>
  <si>
    <t>Thinkpad P51s</t>
  </si>
  <si>
    <t>Samsung Notebook 9 (Ultrabook)</t>
  </si>
  <si>
    <t>Notebook 9</t>
  </si>
  <si>
    <t>HP Zbook 17 (Workstation)</t>
  </si>
  <si>
    <t>Zbook 17</t>
  </si>
  <si>
    <t>Xeon E3-1535M v5</t>
  </si>
  <si>
    <t>Quadro M2000M</t>
  </si>
  <si>
    <t>Lenovo N23 (N3060/4GB/128GB/W10) (Netbook)</t>
  </si>
  <si>
    <t>N23 (N3060/4GB/128GB/W10)</t>
  </si>
  <si>
    <t>Asus X550VX-XX015D (i5-6300HQ/4GB/1TB/GeForce (Notebook)</t>
  </si>
  <si>
    <t>X550VX-XX015D (i5-6300HQ/4GB/1TB/GeForce</t>
  </si>
  <si>
    <t>Lenovo Thinkpad T460 (Ultrabook)</t>
  </si>
  <si>
    <t>Thinkpad T460</t>
  </si>
  <si>
    <t>Asus Pro P2540UA-XO0192R (Notebook)</t>
  </si>
  <si>
    <t>Pro P2540UA-XO0192R</t>
  </si>
  <si>
    <t>Lenovo Yoga 900-13ISK (2 in 1 Convertible)</t>
  </si>
  <si>
    <t>Yoga 900-13ISK</t>
  </si>
  <si>
    <t>Core i5 6260U</t>
  </si>
  <si>
    <t>HD Graphics 540</t>
  </si>
  <si>
    <t>HP 15-cb003na (i5-7300HQ/8GB/1TB (Notebook)</t>
  </si>
  <si>
    <t>15-cb003na (i5-7300HQ/8GB/1TB</t>
  </si>
  <si>
    <t>Quadro M1000M</t>
  </si>
  <si>
    <t>Dell Latitude 7280 (Ultrabook)</t>
  </si>
  <si>
    <t>Latitude 7280</t>
  </si>
  <si>
    <t>Asus Zenbook UX330UA-AH5Q (Ultrabook)</t>
  </si>
  <si>
    <t>Zenbook UX330UA-AH5Q</t>
  </si>
  <si>
    <t>Acer TravelMate P238-M (Notebook)</t>
  </si>
  <si>
    <t>TravelMate P238-M</t>
  </si>
  <si>
    <t>Asus X751NV-TY001 (N4200/4GB/1TB/GeForce (Notebook)</t>
  </si>
  <si>
    <t>X751NV-TY001 (N4200/4GB/1TB/GeForce</t>
  </si>
  <si>
    <t>IPS Panel Touchscreen / 4K Ultra HD 3840x2160</t>
  </si>
  <si>
    <t>Samsung Notebook 9 (2 in 1 Convertible)</t>
  </si>
  <si>
    <t>Radeon 540</t>
  </si>
  <si>
    <t>Toshiba Tecra A40-C-1E5 (Notebook)</t>
  </si>
  <si>
    <t>Tecra A40-C-1E5</t>
  </si>
  <si>
    <t>HP EliteBook 820 (Ultrabook)</t>
  </si>
  <si>
    <t>EliteBook 820</t>
  </si>
  <si>
    <t>Asus Q524UQ-BHI7T15 (i7-7500U/12GB/2TB/GeForce (2 in 1 Convertible)</t>
  </si>
  <si>
    <t>Q524UQ-BHI7T15 (i7-7500U/12GB/2TB/GeForce</t>
  </si>
  <si>
    <t>Lenovo Thinkpad P50 (Notebook)</t>
  </si>
  <si>
    <t>Thinkpad P50</t>
  </si>
  <si>
    <t>Acer Swift 3 (Notebook)</t>
  </si>
  <si>
    <t>Asus Vivobook Max (Notebook)</t>
  </si>
  <si>
    <t>Vivobook Max</t>
  </si>
  <si>
    <t>Pentium Dual Core N4200</t>
  </si>
  <si>
    <t>GeForce GTX 1070M</t>
  </si>
  <si>
    <t>Asus Rog G752VS-BA171T (Gaming)</t>
  </si>
  <si>
    <t>Rog G752VS-BA171T</t>
  </si>
  <si>
    <t>Toshiba Tecra Z40-C-161 (Ultrabook)</t>
  </si>
  <si>
    <t>Tecra Z40-C-161</t>
  </si>
  <si>
    <t>Lenovo IdeaPad 110-15IBR (Notebook)</t>
  </si>
  <si>
    <t>IdeaPad 110-15IBR</t>
  </si>
  <si>
    <t>Celeron Quad Core N3710</t>
  </si>
  <si>
    <t>MSI GS43VR 7RE (Gaming)</t>
  </si>
  <si>
    <t>GS43VR 7RE</t>
  </si>
  <si>
    <t>MSI GL62M (i5-7300HQ/8GB/1TB (Gaming)</t>
  </si>
  <si>
    <t>GL62M (i5-7300HQ/8GB/1TB</t>
  </si>
  <si>
    <t>Acer Predator G9-793 (Gaming)</t>
  </si>
  <si>
    <t>Predator G9-793</t>
  </si>
  <si>
    <t>Asus FX502VM-DM560T (i7-7700HQ/8GB/1TB (Gaming)</t>
  </si>
  <si>
    <t>FX502VM-DM560T (i7-7700HQ/8GB/1TB</t>
  </si>
  <si>
    <t>GeForce GTX1060</t>
  </si>
  <si>
    <t>Vero K146 (N3350/4GB/32GB/W10) (Notebook)</t>
  </si>
  <si>
    <t>K146 (N3350/4GB/32GB/W10)</t>
  </si>
  <si>
    <t>Lenovo Yoga 510-15IKB (2 in 1 Convertible)</t>
  </si>
  <si>
    <t>Yoga 510-15IKB</t>
  </si>
  <si>
    <t>Core M</t>
  </si>
  <si>
    <t>HD Graphics 5300</t>
  </si>
  <si>
    <t>512GB Flash Storage</t>
  </si>
  <si>
    <t>IPS Panel Touchscreen 2560x1440</t>
  </si>
  <si>
    <t>Asus R417NA-RS01 (N3350/4GB/32GB/W10) (Notebook)</t>
  </si>
  <si>
    <t>R417NA-RS01 (N3350/4GB/32GB/W10)</t>
  </si>
  <si>
    <t>Radeon R5 M420X</t>
  </si>
  <si>
    <t>Asus Pro P2540UA-XS51 (Notebook)</t>
  </si>
  <si>
    <t>Pro P2540UA-XS51</t>
  </si>
  <si>
    <t>Dell Latitude 3180 (Netbook)</t>
  </si>
  <si>
    <t>Latitude 3180</t>
  </si>
  <si>
    <t>HP EliteBook 820 (Netbook)</t>
  </si>
  <si>
    <t>HP 15-ba043na (A12-9700P/8GB/2TB/W10) (Notebook)</t>
  </si>
  <si>
    <t>15-ba043na (A12-9700P/8GB/2TB/W10)</t>
  </si>
  <si>
    <t>A12-Series 9700P</t>
  </si>
  <si>
    <t>Radeon R7 Graphics</t>
  </si>
  <si>
    <t>HP Omen 17-an012dx (Gaming)</t>
  </si>
  <si>
    <t>Omen 17-an012dx</t>
  </si>
  <si>
    <t>Lenovo Thinkpad T470s (Ultrabook)</t>
  </si>
  <si>
    <t>Thinkpad T470s</t>
  </si>
  <si>
    <t>Razer Blade Stealth (Ultrabook)</t>
  </si>
  <si>
    <t>Blade Stealth</t>
  </si>
  <si>
    <t>HP Chromebook 11 (Netbook)</t>
  </si>
  <si>
    <t>Dell Latitude 3480 (Notebook)</t>
  </si>
  <si>
    <t>Latitude 3480</t>
  </si>
  <si>
    <t>Lenovo V110-15ISK (i3-6006U/4GB/500GB/W10) (Notebook)</t>
  </si>
  <si>
    <t>V110-15ISK (i3-6006U/4GB/500GB/W10)</t>
  </si>
  <si>
    <t>Toshiba Tecra X40-D-10Z (Ultrabook)</t>
  </si>
  <si>
    <t>Tecra X40-D-10Z</t>
  </si>
  <si>
    <t>MSI GL62M 7RD (Gaming)</t>
  </si>
  <si>
    <t>GL62M 7RD</t>
  </si>
  <si>
    <t>Pentium Dual Core 4405U</t>
  </si>
  <si>
    <t>Touchscreen / Full HD 1920x1080</t>
  </si>
  <si>
    <t>Acer Chromebook 11 (Netbook)</t>
  </si>
  <si>
    <t>GeForce 920</t>
  </si>
  <si>
    <t>Lenovo Thinkpad T460 (Notebook)</t>
  </si>
  <si>
    <t>Lenovo ThinkPad T470s (Notebook)</t>
  </si>
  <si>
    <t>Asus Rog GL702VS-BA023T (Gaming)</t>
  </si>
  <si>
    <t>Rog GL702VS-BA023T</t>
  </si>
  <si>
    <t>Lenovo N42-20 Chromebook (Notebook)</t>
  </si>
  <si>
    <t>N42-20 Chromebook</t>
  </si>
  <si>
    <t>Asus R558UA-DM966T (i5-7200U/8GB/128GB/FHD/W10) (Notebook)</t>
  </si>
  <si>
    <t>R558UA-DM966T (i5-7200U/8GB/128GB/FHD/W10)</t>
  </si>
  <si>
    <t>128GB HDD</t>
  </si>
  <si>
    <t>Asus Rog GL702VM-GC017T (Gaming)</t>
  </si>
  <si>
    <t>Rog GL702VM-GC017T</t>
  </si>
  <si>
    <t>Asus ZenBook UX310UQ-GL026T (Ultrabook)</t>
  </si>
  <si>
    <t>ZenBook UX310UQ-GL026T</t>
  </si>
  <si>
    <t>GeForce 940M</t>
  </si>
  <si>
    <t>Asus Rog GL502VM-DS74 (Gaming)</t>
  </si>
  <si>
    <t>Rog GL502VM-DS74</t>
  </si>
  <si>
    <t>Dell Inspiron 5767 (Notebook)</t>
  </si>
  <si>
    <t>Inspiron 5767</t>
  </si>
  <si>
    <t>Lenovo ThinkPad T470p (Ultrabook)</t>
  </si>
  <si>
    <t>ThinkPad T470p</t>
  </si>
  <si>
    <t>Asus K556UR-DM621T (i7-7500U/8GB/256GB/GeForce (Notebook)</t>
  </si>
  <si>
    <t>K556UR-DM621T (i7-7500U/8GB/256GB/GeForce</t>
  </si>
  <si>
    <t>GeForce GTX 930MX</t>
  </si>
  <si>
    <t>Asus X541NA (N4200/4GB/1TB/W10) (Notebook)</t>
  </si>
  <si>
    <t>X541NA (N4200/4GB/1TB/W10)</t>
  </si>
  <si>
    <t>Dell Inspiron 5368 (Notebook)</t>
  </si>
  <si>
    <t>Inspiron 5368</t>
  </si>
  <si>
    <t>Radeon R7 M465</t>
  </si>
  <si>
    <t>Toshiba Portege X30-D-10X (Notebook)</t>
  </si>
  <si>
    <t>Portege X30-D-10X</t>
  </si>
  <si>
    <t>Toshiba Port??g?? Z30-C-188 (Ultrabook)</t>
  </si>
  <si>
    <t>Port??g?? Z30-C-188</t>
  </si>
  <si>
    <t>Acer TMX349-G2-M-50FS (i5-7200U/8GB/256GB/FHD/W10) (Notebook)</t>
  </si>
  <si>
    <t>TMX349-G2-M-50FS (i5-7200U/8GB/256GB/FHD/W10)</t>
  </si>
  <si>
    <t>Toshiba Tecra A50-D-11D (Notebook)</t>
  </si>
  <si>
    <t>Tecra A50-D-11D</t>
  </si>
  <si>
    <t>Asus X541NA-GO121 (N4200/4GB/1TB/Linux) (Notebook)</t>
  </si>
  <si>
    <t>X541NA-GO121 (N4200/4GB/1TB/Linux)</t>
  </si>
  <si>
    <t>HP Pavilion x360 (2 in 1 Convertible)</t>
  </si>
  <si>
    <t>Pavilion x360</t>
  </si>
  <si>
    <t>Asus VivoBook L402NA (Notebook)</t>
  </si>
  <si>
    <t>VivoBook L402NA</t>
  </si>
  <si>
    <t>Lenovo IdeaPad 510-15ISK (Notebook)</t>
  </si>
  <si>
    <t>IdeaPad 510-15ISK</t>
  </si>
  <si>
    <t>Asus Rog GL753VD-GC082T (Gaming)</t>
  </si>
  <si>
    <t>Rog GL753VD-GC082T</t>
  </si>
  <si>
    <t>Acer Chromebook C731-C78G (Netbook)</t>
  </si>
  <si>
    <t>Chromebook C731-C78G</t>
  </si>
  <si>
    <t>A4-Series 7210</t>
  </si>
  <si>
    <t>Radeon R3</t>
  </si>
  <si>
    <t>HP Probook 640 (Notebook)</t>
  </si>
  <si>
    <t>Probook 640</t>
  </si>
  <si>
    <t>HP Envy x360 (2 in 1 Convertible)</t>
  </si>
  <si>
    <t>Envy x360</t>
  </si>
  <si>
    <t>MSI GS73VR Stealth (Gaming)</t>
  </si>
  <si>
    <t>GS73VR Stealth</t>
  </si>
  <si>
    <t>Toshiba Portege X30-D-10V (Notebook)</t>
  </si>
  <si>
    <t>Portege X30-D-10V</t>
  </si>
  <si>
    <t>GeForce GTX 1050Ti</t>
  </si>
  <si>
    <t>Dell XPS 13 (2 in 1 Convertible)</t>
  </si>
  <si>
    <t>Asus G701VO-IH74K (i7-6820HK/32GB/2x (Gaming)</t>
  </si>
  <si>
    <t>G701VO-IH74K (i7-6820HK/32GB/2x</t>
  </si>
  <si>
    <t>LG Gram 15Z970 (Ultrabook)</t>
  </si>
  <si>
    <t>Gram 15Z970</t>
  </si>
  <si>
    <t>HP Elitebook 820 (Netbook)</t>
  </si>
  <si>
    <t>Acer Chromebook CB5-571-C1DZ (Notebook)</t>
  </si>
  <si>
    <t>Chromebook CB5-571-C1DZ</t>
  </si>
  <si>
    <t>Lenovo IdeaPad Y700-15ISK (Notebook)</t>
  </si>
  <si>
    <t>LG Gram 14Z970 (Ultrabook)</t>
  </si>
  <si>
    <t>Gram 14Z970</t>
  </si>
  <si>
    <t>HP Elitebook Folio (Ultrabook)</t>
  </si>
  <si>
    <t>Elitebook Folio</t>
  </si>
  <si>
    <t>240GB SSD</t>
  </si>
  <si>
    <t>Lenovo IdeaPad 510-15IKB (Notebook)</t>
  </si>
  <si>
    <t>IdeaPad 510-15IKB</t>
  </si>
  <si>
    <t>MSI GE72VR 6RF (Gaming)</t>
  </si>
  <si>
    <t>GE72VR 6RF</t>
  </si>
  <si>
    <t>Radeon R7 M365X</t>
  </si>
  <si>
    <t>HP Envy 13-AB077cl (Ultrabook)</t>
  </si>
  <si>
    <t>Envy 13-AB077cl</t>
  </si>
  <si>
    <t>Toshiba Tecra Z50-C-140 (Notebook)</t>
  </si>
  <si>
    <t>Tecra Z50-C-140</t>
  </si>
  <si>
    <t>HP Probook 650 (Notebook)</t>
  </si>
  <si>
    <t>Probook 650</t>
  </si>
  <si>
    <t>Core i7 6560U</t>
  </si>
  <si>
    <t>Toshiba Tecra Z40-C-12X (Notebook)</t>
  </si>
  <si>
    <t>Tecra Z40-C-12X</t>
  </si>
  <si>
    <t>MSI GP62M Leopard (Gaming)</t>
  </si>
  <si>
    <t>GP62M Leopard</t>
  </si>
  <si>
    <t>HP Omen 17-W006na (Gaming)</t>
  </si>
  <si>
    <t>Omen 17-W006na</t>
  </si>
  <si>
    <t>Asus X751SV-TY001T (N3710/4GB/1TB/GeForce (Notebook)</t>
  </si>
  <si>
    <t>X751SV-TY001T (N3710/4GB/1TB/GeForce</t>
  </si>
  <si>
    <t>Acer TravelMate P259-G2 (Notebook)</t>
  </si>
  <si>
    <t>TravelMate P259-G2</t>
  </si>
  <si>
    <t>Toshiba Tecra A50-C-1ZV (Notebook)</t>
  </si>
  <si>
    <t>Tecra A50-C-1ZV</t>
  </si>
  <si>
    <t>Lenovo Yoga 700-11ISK (2 in 1 Convertible)</t>
  </si>
  <si>
    <t>Yoga 700-11ISK</t>
  </si>
  <si>
    <t>Core M m7-6Y75</t>
  </si>
  <si>
    <t>Lenovo IdeaPad Y700-15ACZ (Gaming)</t>
  </si>
  <si>
    <t>IdeaPad Y700-15ACZ</t>
  </si>
  <si>
    <t>FX 8800P</t>
  </si>
  <si>
    <t>Radeon R9 M385</t>
  </si>
  <si>
    <t>Dell Insprion 5767 (Notebook)</t>
  </si>
  <si>
    <t>Insprion 5767</t>
  </si>
  <si>
    <t>HP ZBook Studio (Workstation)</t>
  </si>
  <si>
    <t>ZBook Studio</t>
  </si>
  <si>
    <t>8GB SSD</t>
  </si>
  <si>
    <t>Toshiba Portege Z30-C-1CW (Notebook)</t>
  </si>
  <si>
    <t>Portege Z30-C-1CW</t>
  </si>
  <si>
    <t>Core M M7-6Y75</t>
  </si>
  <si>
    <t>HP ProBook x360 (2 in 1 Convertible)</t>
  </si>
  <si>
    <t>ProBook x360</t>
  </si>
  <si>
    <t>Quad HD+ 3200x1800</t>
  </si>
  <si>
    <t>Acer Chromebook C738T-C2EJ (2 in 1 Convertible)</t>
  </si>
  <si>
    <t>Chromebook C738T-C2EJ</t>
  </si>
  <si>
    <t>Toshiba Portege Z30-C-16Z (Notebook)</t>
  </si>
  <si>
    <t>Portege Z30-C-16Z</t>
  </si>
  <si>
    <t>Acer Aspire F5-573G-510L (Notebook)</t>
  </si>
  <si>
    <t>Aspire F5-573G-510L</t>
  </si>
  <si>
    <t>Toshiba Portege X20W-D-10V (Ultrabook)</t>
  </si>
  <si>
    <t>Portege X20W-D-10V</t>
  </si>
  <si>
    <t>Dell Latitude E7470 (Ultrabook)</t>
  </si>
  <si>
    <t>Toshiba Tecra A40-C-1DF (Notebook)</t>
  </si>
  <si>
    <t>Tecra A40-C-1DF</t>
  </si>
  <si>
    <t>Lenovo ThinkPad T460 (Notebook)</t>
  </si>
  <si>
    <t>ThinkPad T460</t>
  </si>
  <si>
    <t>508GB Hybrid</t>
  </si>
  <si>
    <t>Asus Q534UX-BHI7T19 (i7-7500U/16GB/2TB (2 in 1 Convertible)</t>
  </si>
  <si>
    <t>Q534UX-BHI7T19 (i7-7500U/16GB/2TB</t>
  </si>
  <si>
    <t>HP 15-bs053od (i7-7500U/6GB/1TB/W10) (Notebook)</t>
  </si>
  <si>
    <t>15-bs053od (i7-7500U/6GB/1TB/W10)</t>
  </si>
  <si>
    <t>Asus Rog GL753VE-DS74 (Gaming)</t>
  </si>
  <si>
    <t>Rog GL753VE-DS74</t>
  </si>
  <si>
    <t>Dell Inspiron 7579 (2 in 1 Convertible)</t>
  </si>
  <si>
    <t>Inspiron 7579</t>
  </si>
  <si>
    <t>Toshiba Portege Z30-C-1CV (Notebook)</t>
  </si>
  <si>
    <t>Portege Z30-C-1CV</t>
  </si>
  <si>
    <t>Fujitsu LifeBook A556 (Notebook)</t>
  </si>
  <si>
    <t>LifeBook A556</t>
  </si>
  <si>
    <t>Toshiba Tecra A40-C-1KF (Notebook)</t>
  </si>
  <si>
    <t>Tecra A40-C-1KF</t>
  </si>
  <si>
    <t>HP EliteBook Folio (Netbook)</t>
  </si>
  <si>
    <t>HP 15-bs005nv (i3-6006U/4GB/1TB (Notebook)</t>
  </si>
  <si>
    <t>15-bs005nv (i3-6006U/4GB/1TB</t>
  </si>
  <si>
    <t>Lenovo V110-15IAP (N3350/4GB/128GB/No (Notebook)</t>
  </si>
  <si>
    <t>V110-15IAP (N3350/4GB/128GB/No</t>
  </si>
  <si>
    <t>Lenovo ThinkPad T560 (Notebook)</t>
  </si>
  <si>
    <t>ThinkPad T560</t>
  </si>
  <si>
    <t>Asus ZenBook UX310UA-FB485T (Notebook)</t>
  </si>
  <si>
    <t>ZenBook UX310UA-FB485T</t>
  </si>
  <si>
    <t>HP Spectre 13-V111dx (Ultrabook)</t>
  </si>
  <si>
    <t>Spectre 13-V111dx</t>
  </si>
  <si>
    <t>Acer Aspire ES1-533 (Notebook)</t>
  </si>
  <si>
    <t>Aspire ES1-533</t>
  </si>
  <si>
    <t>Asus Rog GL553VE-DS74 (Gaming)</t>
  </si>
  <si>
    <t>Rog GL553VE-DS74</t>
  </si>
  <si>
    <t>Acer Nitro 5 (Gaming)</t>
  </si>
  <si>
    <t>Nitro 5</t>
  </si>
  <si>
    <t>HP ENVY - (Notebook)</t>
  </si>
  <si>
    <t>ENVY -</t>
  </si>
  <si>
    <t>Toshiba Portege Z30-C-16H (Notebook)</t>
  </si>
  <si>
    <t>Portege Z30-C-16H</t>
  </si>
  <si>
    <t>Toshiba Portege A30-C-1CZ (Notebook)</t>
  </si>
  <si>
    <t>Portege A30-C-1CZ</t>
  </si>
  <si>
    <t>Lenovo ThinkPad P70 (Notebook)</t>
  </si>
  <si>
    <t>ThinkPad P70</t>
  </si>
  <si>
    <t>Quadro 3000M</t>
  </si>
  <si>
    <t>Toshiba Tecra Z40-C-12Z (Notebook)</t>
  </si>
  <si>
    <t>Tecra Z40-C-12Z</t>
  </si>
  <si>
    <t>HP EliteBook 1040 (Notebook)</t>
  </si>
  <si>
    <t>Dell Inspiron 5568 (2 in 1 Convertible)</t>
  </si>
  <si>
    <t>Inspiron 5568</t>
  </si>
  <si>
    <t>Toshiba Port??g?? Z30-C-16K (Ultrabook)</t>
  </si>
  <si>
    <t>Port??g?? Z30-C-16K</t>
  </si>
  <si>
    <t>HP Spectre 13-V100nv (Notebook)</t>
  </si>
  <si>
    <t>Spectre 13-V100nv</t>
  </si>
  <si>
    <t>Dell Latitude E5570 (Notebook)</t>
  </si>
  <si>
    <t>Latitude E5570</t>
  </si>
  <si>
    <t>Toshiba Tecra Z40-C-136 (Ultrabook)</t>
  </si>
  <si>
    <t>Tecra Z40-C-136</t>
  </si>
  <si>
    <t>Lenovo Yoga 500-15ISK (2 in 1 Convertible)</t>
  </si>
  <si>
    <t>Yoga 500-15ISK</t>
  </si>
  <si>
    <t>Vero V142 (X5-Z8350/2GB/32GB/W10) (Notebook)</t>
  </si>
  <si>
    <t>V142 (X5-Z8350/2GB/32GB/W10)</t>
  </si>
  <si>
    <t>Atom X5-Z8350</t>
  </si>
  <si>
    <t>Toshiba Tecra A50-C-218 (Notebook)</t>
  </si>
  <si>
    <t>Tecra A50-C-218</t>
  </si>
  <si>
    <t>Lenovo Thinkpad L560 (Notebook)</t>
  </si>
  <si>
    <t>Thinkpad L560</t>
  </si>
  <si>
    <t>MSI GT72S Dominator (Gaming)</t>
  </si>
  <si>
    <t>GT72S Dominator</t>
  </si>
  <si>
    <t>Lenovo IdeaPad Y900-17ISK (Gaming)</t>
  </si>
  <si>
    <t>IdeaPad Y900-17ISK</t>
  </si>
  <si>
    <t>Asus Chromebook C202SA (Netbook)</t>
  </si>
  <si>
    <t>Chromebook C202SA</t>
  </si>
  <si>
    <t>Lenovo ThinkPad X1 (Notebook)</t>
  </si>
  <si>
    <t>HP Noteb Pav (Notebook)</t>
  </si>
  <si>
    <t>Noteb Pav</t>
  </si>
  <si>
    <t>Dell Inspiron 5578 (2 in 1 Convertible)</t>
  </si>
  <si>
    <t>Inspiron 5578</t>
  </si>
  <si>
    <t>HP 250 G5 (Notebook)</t>
  </si>
  <si>
    <t>250 G5</t>
  </si>
  <si>
    <t>Acer Aspire ES1-523 (Notebook)</t>
  </si>
  <si>
    <t>Aspire ES1-523</t>
  </si>
  <si>
    <t>Dell Inspiron 7378 (2 in 1 Convertible)</t>
  </si>
  <si>
    <t>Inspiron 7378</t>
  </si>
  <si>
    <t>MSI GT62VR 6RD (Gaming)</t>
  </si>
  <si>
    <t>GT62VR 6RD</t>
  </si>
  <si>
    <t>Asus Rog G752VL-GC088D (Gaming)</t>
  </si>
  <si>
    <t>Rog G752VL-GC088D</t>
  </si>
  <si>
    <t>MSI GS63VR 6RF (Gaming)</t>
  </si>
  <si>
    <t>GS63VR 6RF</t>
  </si>
  <si>
    <t>Asus ROG G701VO (Gaming)</t>
  </si>
  <si>
    <t>ROG G701VO</t>
  </si>
  <si>
    <t>GeForce GTX 980</t>
  </si>
  <si>
    <t>Dell Inspiron 5368 (2 in 1 Convertible)</t>
  </si>
  <si>
    <t>Dell Latitude 3570 (Notebook)</t>
  </si>
  <si>
    <t>Latitude 3570</t>
  </si>
  <si>
    <t>Lenovo ThinkPad Yoga (Ultrabook)</t>
  </si>
  <si>
    <t>Lenovo IdeaPad 300-17ISK (Notebook)</t>
  </si>
  <si>
    <t>IdeaPad 300-17ISK</t>
  </si>
  <si>
    <t>Radeon R5 M330</t>
  </si>
  <si>
    <t>1.0TB HDD</t>
  </si>
  <si>
    <t>Lenovo Ideapad 700-15ISK (Notebook)</t>
  </si>
  <si>
    <t>Ideapad 700-15ISK</t>
  </si>
  <si>
    <t>MSI GT72VR Dominator (Gaming)</t>
  </si>
  <si>
    <t>GT72VR Dominator</t>
  </si>
  <si>
    <t>Lenovo V110-15ISK (i5-6200U/4GB/500GB/W10) (Notebook)</t>
  </si>
  <si>
    <t>V110-15ISK (i5-6200U/4GB/500GB/W10)</t>
  </si>
  <si>
    <t>Lenovo Yoga 900S-12ISK (Ultrabook)</t>
  </si>
  <si>
    <t>Yoga 900S-12ISK</t>
  </si>
  <si>
    <t>512GB SSD +  1.0TB Hybrid</t>
  </si>
  <si>
    <t>HP Spectre x360 (Ultrabook)</t>
  </si>
  <si>
    <t>HP ZBook 15u (Workstation)</t>
  </si>
  <si>
    <t>HP Chromebook 13 (Notebook)</t>
  </si>
  <si>
    <t>Chromebook 13</t>
  </si>
  <si>
    <t>Pentium Dual Core 4405Y</t>
  </si>
  <si>
    <t>Pentium Quad Core N3700</t>
  </si>
  <si>
    <t>Asus Rog GL702VM-GC354T (Gaming)</t>
  </si>
  <si>
    <t>Rog GL702VM-GC354T</t>
  </si>
  <si>
    <t>Acer Aspire F5-573G (Notebook)</t>
  </si>
  <si>
    <t>Aspire F5-573G</t>
  </si>
  <si>
    <t>MSI GS70 Stealth (Gaming)</t>
  </si>
  <si>
    <t>GS70 Stealth</t>
  </si>
  <si>
    <t>Asus G752VY-GC162T (i7-6700HQ/16GB/1TB (Gaming)</t>
  </si>
  <si>
    <t>G752VY-GC162T (i7-6700HQ/16GB/1TB</t>
  </si>
  <si>
    <t>Dell Latitude E5270 (Ultrabook)</t>
  </si>
  <si>
    <t>Latitude E5270</t>
  </si>
  <si>
    <t>Acer Chromebook 15 (Notebook)</t>
  </si>
  <si>
    <t>Chromebook 15</t>
  </si>
  <si>
    <t>FirePro W6150M</t>
  </si>
  <si>
    <t>MSI GE72 Apache (Gaming)</t>
  </si>
  <si>
    <t>GE72 Apache</t>
  </si>
  <si>
    <t>HP 15-bw011nv (A6-9220/4GB/1TB/FHD/W10) (Notebook)</t>
  </si>
  <si>
    <t>15-bw011nv (A6-9220/4GB/1TB/FHD/W10)</t>
  </si>
  <si>
    <t>Asus Rog GL552VW-CN470T (Gaming)</t>
  </si>
  <si>
    <t>Rog GL552VW-CN470T</t>
  </si>
  <si>
    <t>HP EliteBook 1030 (Notebook)</t>
  </si>
  <si>
    <t>Core M 6Y54</t>
  </si>
  <si>
    <t>Dell Vostro 3559 (Notebook)</t>
  </si>
  <si>
    <t>Vostro 3559</t>
  </si>
  <si>
    <t>Radeon R5 M315</t>
  </si>
  <si>
    <t>Lenovo V110-15ISK (i3-6006U/4GB/128GB/W10) (Notebook)</t>
  </si>
  <si>
    <t>V110-15ISK (i3-6006U/4GB/128GB/W10)</t>
  </si>
  <si>
    <t>HP Spectre Pro (Ultrabook)</t>
  </si>
  <si>
    <t>Spectre Pro</t>
  </si>
  <si>
    <t>256GB SSD +  1.0TB Hybrid</t>
  </si>
  <si>
    <t>Touchscreen / 4K Ultra HD 3840x2160</t>
  </si>
  <si>
    <t>Toshiba Portege X30-D-10K (Ultrabook)</t>
  </si>
  <si>
    <t>Portege X30-D-10K</t>
  </si>
  <si>
    <t>Asus Rog GL752VW-T4308T (Gaming)</t>
  </si>
  <si>
    <t>Rog GL752VW-T4308T</t>
  </si>
  <si>
    <t>Vero V131 (X5-Z8350/4GB/32GB/FHD/W10) (Notebook)</t>
  </si>
  <si>
    <t>V131 (X5-Z8350/4GB/32GB/FHD/W10)</t>
  </si>
  <si>
    <t>HP Spectre Pro (Notebook)</t>
  </si>
  <si>
    <t>HP Omen - (Gaming)</t>
  </si>
  <si>
    <t>Omen -</t>
  </si>
  <si>
    <t>HP 15-bs078cl (i7-7500U/8GB/2TB/W10) (Notebook)</t>
  </si>
  <si>
    <t>15-bs078cl (i7-7500U/8GB/2TB/W10)</t>
  </si>
  <si>
    <t>Lenovo ThinkPad P40 (2 in 1 Convertible)</t>
  </si>
  <si>
    <t>ThinkPad P40</t>
  </si>
  <si>
    <t>Quadro M500M</t>
  </si>
  <si>
    <t>Asus L403NA-GA013TS (N3350/4GB/32GB/W10) (Notebook)</t>
  </si>
  <si>
    <t>L403NA-GA013TS (N3350/4GB/32GB/W10)</t>
  </si>
  <si>
    <t>HP 250 G6 (Ultrabook)</t>
  </si>
  <si>
    <t>Lenovo IdeaPad 500-15ISK (Notebook)</t>
  </si>
  <si>
    <t>IdeaPad 500-15ISK</t>
  </si>
  <si>
    <t>Radeon R7 M360</t>
  </si>
  <si>
    <t>Quadro M3000M</t>
  </si>
  <si>
    <t>MSI GP62M 7RDX (Gaming)</t>
  </si>
  <si>
    <t>GP62M 7RDX</t>
  </si>
  <si>
    <t>HP Spectre Pro (2 in 1 Convertible)</t>
  </si>
  <si>
    <t>Lenovo V110-15ISK (i3-6006U/4GB/1TB/No (Notebook)</t>
  </si>
  <si>
    <t>V110-15ISK (i3-6006U/4GB/1TB/No</t>
  </si>
  <si>
    <t>HP 15-BA015wm (E2-7110/4GB/500GB/W10) (Notebook)</t>
  </si>
  <si>
    <t>15-BA015wm (E2-7110/4GB/500GB/W10)</t>
  </si>
  <si>
    <t>Lenovo B51-80 (i5-6200U/8GB/1TB/Radeon (Notebook)</t>
  </si>
  <si>
    <t>B51-80 (i5-6200U/8GB/1TB/Radeon</t>
  </si>
  <si>
    <t>GeForce 960M</t>
  </si>
  <si>
    <t>HP 15-bw002nv (A6-9220/4GB/256GB/Radeon (Notebook)</t>
  </si>
  <si>
    <t>15-bw002nv (A6-9220/4GB/256GB/Radeon</t>
  </si>
  <si>
    <t>MSI GP72M 7REX (Gaming)</t>
  </si>
  <si>
    <t>GP72M 7REX</t>
  </si>
  <si>
    <t>Lenovo ThinkPad T460s (Ultrabook)</t>
  </si>
  <si>
    <t>ThinkPad T460s</t>
  </si>
  <si>
    <t>Lenovo B51-80 (i5-6200U/8GB/1008GB/Radeon (Notebook)</t>
  </si>
  <si>
    <t>B51-80 (i5-6200U/8GB/1008GB/Radeon</t>
  </si>
  <si>
    <t>Lenovo ThinkPad T460 (Ultrabook)</t>
  </si>
  <si>
    <t>MSI GS40 Phantom (Gaming)</t>
  </si>
  <si>
    <t>GS40 Phantom</t>
  </si>
  <si>
    <t>HP Pavilion 15-cb003nv (Gaming)</t>
  </si>
  <si>
    <t>Pavilion 15-cb003nv</t>
  </si>
  <si>
    <t>Lenovo IdeaPad 310-15ISK (Notebook)</t>
  </si>
  <si>
    <t>IdeaPad 310-15ISK</t>
  </si>
  <si>
    <t>HP 250 G4 (Notebook)</t>
  </si>
  <si>
    <t>250 G4</t>
  </si>
  <si>
    <t>Lenovo 320-15ISK (i3-6006U/4GB/1TB/GeForce (Notebook)</t>
  </si>
  <si>
    <t>320-15ISK (i3-6006U/4GB/1TB/GeForce</t>
  </si>
  <si>
    <t>HP Stream 14-AX000nv (Notebook)</t>
  </si>
  <si>
    <t>Stream 14-AX000nv</t>
  </si>
  <si>
    <t>MSI PL60 7RD (Gaming)</t>
  </si>
  <si>
    <t>PL60 7RD</t>
  </si>
  <si>
    <t>Asus X553SA-XX021T (N3050/4GB/500GB/W10) (Notebook)</t>
  </si>
  <si>
    <t>X553SA-XX021T (N3050/4GB/500GB/W10)</t>
  </si>
  <si>
    <t>Lenovo V110-15ISK (i5-6200U/4GB/500GB/No (Notebook)</t>
  </si>
  <si>
    <t>V110-15ISK (i5-6200U/4GB/500GB/No</t>
  </si>
  <si>
    <t>Asus UX410UA-GV097T (i3-7100U/4GB/256GB/FHD/W10) (Notebook)</t>
  </si>
  <si>
    <t>UX410UA-GV097T (i3-7100U/4GB/256GB/FHD/W10)</t>
  </si>
  <si>
    <t>Lenovo B51-80 (i7-6500U/4GB/1008GB/FHD/W7) (Notebook)</t>
  </si>
  <si>
    <t>B51-80 (i7-6500U/4GB/1008GB/FHD/W7)</t>
  </si>
  <si>
    <t>MSI GS60 Ghost (Gaming)</t>
  </si>
  <si>
    <t>GS60 Ghost</t>
  </si>
  <si>
    <t>Lenovo IdeaPad 310-15IKB (Ultrabook)</t>
  </si>
  <si>
    <t>HP Pavilion 15-BC000nv (Notebook)</t>
  </si>
  <si>
    <t>Pavilion 15-BC000nv</t>
  </si>
  <si>
    <t>Asus Rog GL552VW-DM201T (Gaming)</t>
  </si>
  <si>
    <t>Rog GL552VW-DM201T</t>
  </si>
  <si>
    <t>Samsung Chromebook Plus (2 in 1 Convertible)</t>
  </si>
  <si>
    <t>Chromebook Plus</t>
  </si>
  <si>
    <t>Cortex A72&amp;A53</t>
  </si>
  <si>
    <t>ARM</t>
  </si>
  <si>
    <t>Mali T860 MP4</t>
  </si>
  <si>
    <t>IPS Panel Touchscreen 2400x1600</t>
  </si>
  <si>
    <t>HP Pavilion Power (Notebook)</t>
  </si>
  <si>
    <t>Pavilion Power</t>
  </si>
  <si>
    <t>Lenovo V110-15ISK (i3-6006U/4GB/1TB/Radeon (Notebook)</t>
  </si>
  <si>
    <t>V110-15ISK (i3-6006U/4GB/1TB/Radeon</t>
  </si>
  <si>
    <t>Asus Rog G752VY-GC229T (Gaming)</t>
  </si>
  <si>
    <t>Rog G752VY-GC229T</t>
  </si>
  <si>
    <t>MSI GS73VR 7RF (Gaming)</t>
  </si>
  <si>
    <t>GS73VR 7RF</t>
  </si>
  <si>
    <t>Asus FX502VM-DM105T (i7-6700HQ/8GB/1TB/GeForce (Gaming)</t>
  </si>
  <si>
    <t>FX502VM-DM105T (i7-6700HQ/8GB/1TB/GeForce</t>
  </si>
  <si>
    <t>HP 15-bs025nv (i5-7200U/8GB/256GB/W10) (Notebook)</t>
  </si>
  <si>
    <t>15-bs025nv (i5-7200U/8GB/256GB/W10)</t>
  </si>
  <si>
    <t>E-Series 9000</t>
  </si>
  <si>
    <t>Acer Aspire E5-774G (Notebook)</t>
  </si>
  <si>
    <t>Aspire E5-774G</t>
  </si>
  <si>
    <t>Asus FX502VM-AS73 (i7-7700HQ/16GB/1TB (Notebook)</t>
  </si>
  <si>
    <t>FX502VM-AS73 (i7-7700HQ/16GB/1TB</t>
  </si>
  <si>
    <t>Acer C740-C9QX (3205U/2GB/32GB/Chrome (Netbook)</t>
  </si>
  <si>
    <t>C740-C9QX (3205U/2GB/32GB/Chrome</t>
  </si>
  <si>
    <t>Acer E5 774G (Notebook)</t>
  </si>
  <si>
    <t>E5 774G</t>
  </si>
  <si>
    <t>Acer SP714-51 (i7-7Y75/8GB/256GB/FHD/W10) (2 in 1 Convertible)</t>
  </si>
  <si>
    <t>SP714-51 (i7-7Y75/8GB/256GB/FHD/W10)</t>
  </si>
  <si>
    <t>Lenovo Thinkpad T560 (Notebook)</t>
  </si>
  <si>
    <t>Thinkpad T560</t>
  </si>
  <si>
    <t>MSI GP62MVR 6RF (Gaming)</t>
  </si>
  <si>
    <t>GP62MVR 6RF</t>
  </si>
  <si>
    <t>HP 15-bw009nv (A12-9720P/6GB/1TB/Radeon (Notebook)</t>
  </si>
  <si>
    <t>15-bw009nv (A12-9720P/6GB/1TB/Radeon</t>
  </si>
  <si>
    <t>Dell Latitude E7270 (Ultrabook)</t>
  </si>
  <si>
    <t>Latitude E7270</t>
  </si>
  <si>
    <t>Asus X540SA-RBPDN09 (N3710/4GB/1TB/W10) (Notebook)</t>
  </si>
  <si>
    <t>X540SA-RBPDN09 (N3710/4GB/1TB/W10)</t>
  </si>
  <si>
    <t>MSI GL62M 7RDX (Gaming)</t>
  </si>
  <si>
    <t>GL62M 7RDX</t>
  </si>
  <si>
    <t>Lenovo ThinkPad Yoga (Netbook)</t>
  </si>
  <si>
    <t>MSI GE72VR Apache (Gaming)</t>
  </si>
  <si>
    <t>GE72VR Apache</t>
  </si>
  <si>
    <t>HP 15-bs023nv (i3-6006U/4GB/1TB/FHD/W10) (Notebook)</t>
  </si>
  <si>
    <t>15-bs023nv (i3-6006U/4GB/1TB/FHD/W10)</t>
  </si>
  <si>
    <t>MSI GL62 6QF (Gaming)</t>
  </si>
  <si>
    <t>GL62 6QF</t>
  </si>
  <si>
    <t>Asus ZenBook UX310UA-WB71 (Ultrabook)</t>
  </si>
  <si>
    <t>ZenBook UX310UA-WB71</t>
  </si>
  <si>
    <t>Dell Inspiron 7779 (2 in 1 Convertible)</t>
  </si>
  <si>
    <t>Inspiron 7779</t>
  </si>
  <si>
    <t>Asus Rog GL553VE-FY052T (Gaming)</t>
  </si>
  <si>
    <t>Rog GL553VE-FY052T</t>
  </si>
  <si>
    <t>Asus Rog GL502VS (Gaming)</t>
  </si>
  <si>
    <t>Rog GL502VS</t>
  </si>
  <si>
    <t>Lenovo V510-15IKB (i5-7200U/8GB/256GB/FHD/No (Notebook)</t>
  </si>
  <si>
    <t>V510-15IKB (i5-7200U/8GB/256GB/FHD/No</t>
  </si>
  <si>
    <t>Lenovo ThinkPad L460 (Notebook)</t>
  </si>
  <si>
    <t>ThinkPad L460</t>
  </si>
  <si>
    <t>Asus X541NA-GO020T (N3350/4GB/1TB/W10) (Notebook)</t>
  </si>
  <si>
    <t>X541NA-GO020T (N3350/4GB/1TB/W10)</t>
  </si>
  <si>
    <t>Asus Rog G752VT-GC073T (Gaming)</t>
  </si>
  <si>
    <t>Rog G752VT-GC073T</t>
  </si>
  <si>
    <t>Lenovo B51-80 (i7-6500U/8GB/1008GB/Radeon (Notebook)</t>
  </si>
  <si>
    <t>B51-80 (i7-6500U/8GB/1008GB/Radeon</t>
  </si>
  <si>
    <t>MSI GE62 Apache (Gaming)</t>
  </si>
  <si>
    <t>GE62 Apache</t>
  </si>
  <si>
    <t>Lenovo Yoga 500-14IBD (2 in 1 Convertible)</t>
  </si>
  <si>
    <t>Yoga 500-14IBD</t>
  </si>
  <si>
    <t>Asus ZenBook UX305CA-UBM1 (Ultrabook)</t>
  </si>
  <si>
    <t>ZenBook UX305CA-UBM1</t>
  </si>
  <si>
    <t>Core M 6Y30</t>
  </si>
  <si>
    <t>Acer Aspire ES1-531 (Notebook)</t>
  </si>
  <si>
    <t>Aspire ES1-531</t>
  </si>
  <si>
    <t>HP Pavilion 15-AW003nv (Notebook)</t>
  </si>
  <si>
    <t>Pavilion 15-AW003nv</t>
  </si>
  <si>
    <t>A9-Series 9410</t>
  </si>
  <si>
    <t>HP Stream 11-Y000na (Netbook)</t>
  </si>
  <si>
    <t>Stream 11-Y000na</t>
  </si>
  <si>
    <t>Asus X556UJ-XO044T (i7-6500U/4GB/500GB/GeForce (Notebook)</t>
  </si>
  <si>
    <t>X556UJ-XO044T (i7-6500U/4GB/500GB/GeForce</t>
  </si>
  <si>
    <t>Lenovo Yoga 500-14ISK (2 in 1 Convertible)</t>
  </si>
  <si>
    <t>Yoga 500-14ISK</t>
  </si>
  <si>
    <t>HP 15-AC110nv (i7-6500U/6GB/1TB/Radeon (Notebook)</t>
  </si>
  <si>
    <t>15-AC110nv (i7-6500U/6GB/1TB/Radeon</t>
  </si>
  <si>
    <t>Asus X553SA-XX031T (N3050/4GB/500GB/W10) (Notebook)</t>
  </si>
  <si>
    <t>X553SA-XX031T (N3050/4GB/500GB/W10)</t>
  </si>
  <si>
    <t>Giá tối thiểu (VND)</t>
  </si>
  <si>
    <t>Giá tối đa (VND)</t>
  </si>
  <si>
    <t>SSD tối thiểu (GB)</t>
  </si>
  <si>
    <t>Hãng sản xuất</t>
  </si>
  <si>
    <t>Năm ra mắt (từ)</t>
  </si>
  <si>
    <t>Năm ra mắt (đến)</t>
  </si>
  <si>
    <t>Tình trạng (mới/cũ)</t>
  </si>
  <si>
    <t>Thiết lập AHP (8 tiêu chí)</t>
  </si>
  <si>
    <t>Tiêu chí</t>
  </si>
  <si>
    <t>CPU</t>
  </si>
  <si>
    <t>RAM</t>
  </si>
  <si>
    <t>GPU</t>
  </si>
  <si>
    <t>Màn hình</t>
  </si>
  <si>
    <t>Trọng lượng</t>
  </si>
  <si>
    <t>Pin</t>
  </si>
  <si>
    <t>Độ bền</t>
  </si>
  <si>
    <t>Nâng cấp (SSD/RAM)</t>
  </si>
  <si>
    <t>GM</t>
  </si>
  <si>
    <t>Weight</t>
  </si>
  <si>
    <t>A*w</t>
  </si>
  <si>
    <t>λ_i</t>
  </si>
  <si>
    <t>Kiểm tra nhất quán</t>
  </si>
  <si>
    <t>λ_max</t>
  </si>
  <si>
    <t>CI</t>
  </si>
  <si>
    <t>RI (n=8)</t>
  </si>
  <si>
    <t>CR</t>
  </si>
  <si>
    <t>AI_Suggestions (mô phỏng) – gợi ý trọng số nhanh</t>
  </si>
  <si>
    <t>Trả lời 1–5 (1 = không quan trọng, 5 = rất quan trọng)</t>
  </si>
  <si>
    <t>Điểm thô</t>
  </si>
  <si>
    <t>Weight gợi ý</t>
  </si>
  <si>
    <t>Gợi ý so sánh cặp (upper triangle, Saaty 1–9)</t>
  </si>
  <si>
    <t>Chơi game / đồ hoạ nặng</t>
  </si>
  <si>
    <t xml:space="preserve"> </t>
  </si>
  <si>
    <t>Lập trình / chạy nhiều tab / IDE</t>
  </si>
  <si>
    <t>Di chuyển nhiều (cần nhẹ)</t>
  </si>
  <si>
    <t>Cần pin lâu</t>
  </si>
  <si>
    <t>Ưu tiên độ bền</t>
  </si>
  <si>
    <t>Muốn nâng cấp về sau</t>
  </si>
  <si>
    <t>Ưu tiên màn hình đẹp</t>
  </si>
  <si>
    <t>Ranking (theo AHP + bộ lọc)</t>
  </si>
  <si>
    <t>Trọng số AHP (từ AHP_Setup)</t>
  </si>
  <si>
    <t>Min/Max theo tập laptop đã lọc</t>
  </si>
  <si>
    <t>Min</t>
  </si>
  <si>
    <t>Max</t>
  </si>
  <si>
    <t>Top 20 laptop</t>
  </si>
  <si>
    <t>Rank</t>
  </si>
  <si>
    <t>Laptop</t>
  </si>
  <si>
    <t>2) Filters: nhập điều kiện lọc (giá, SSD, hãng, năm).</t>
  </si>
  <si>
    <t>Tìm kiếm lựa chọn nhu cầu chọn máy</t>
  </si>
  <si>
    <t>STT</t>
  </si>
  <si>
    <t>Ký hiệu</t>
  </si>
  <si>
    <t>Trọng số tiêu chuẩn (w*)</t>
  </si>
  <si>
    <t>C1</t>
  </si>
  <si>
    <t>C2</t>
  </si>
  <si>
    <t>C3</t>
  </si>
  <si>
    <t>C4</t>
  </si>
  <si>
    <t>C5</t>
  </si>
  <si>
    <t>C6</t>
  </si>
  <si>
    <t>C7</t>
  </si>
  <si>
    <t>Khả năng nâng cấp (SSD/RAM)</t>
  </si>
  <si>
    <t>C8</t>
  </si>
  <si>
    <t>Tổng</t>
  </si>
  <si>
    <t>So sánh</t>
  </si>
  <si>
    <t>Trọng số AHP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</si>
</sst>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0000"/>
  </numFmts>
  <fonts count="8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sz val="11"/>
      <color rgb="FF0000FF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 vertical="center" wrapText="1"/>
    </xf>
    <xf numFmtId="0" fontId="5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0" xfId="0" applyFont="1"/>
    <xf numFmtId="0" fontId="0" fillId="0" borderId="1" xfId="0" applyBorder="1" applyAlignment="1">
      <alignment horizontal="left" vertical="center" wrapText="1"/>
    </xf>
    <xf numFmtId="2" fontId="0" fillId="0" borderId="0" xfId="0" applyNumberFormat="1" applyAlignment="1">
      <alignment horizontal="center" vertical="center" wrapText="1"/>
    </xf>
    <xf numFmtId="3" fontId="0" fillId="0" borderId="1" xfId="0" applyNumberFormat="1" applyBorder="1"/>
    <xf numFmtId="1" fontId="0" fillId="0" borderId="1" xfId="0" applyNumberFormat="1" applyBorder="1"/>
    <xf numFmtId="2" fontId="0" fillId="0" borderId="1" xfId="0" applyNumberFormat="1" applyBorder="1"/>
    <xf numFmtId="165" fontId="0" fillId="0" borderId="1" xfId="0" applyNumberFormat="1" applyBorder="1"/>
    <xf numFmtId="0" fontId="0" fillId="0" borderId="2" xfId="0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left" vertical="center" wrapText="1"/>
    </xf>
    <xf numFmtId="1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165" fontId="0" fillId="0" borderId="2" xfId="0" applyNumberFormat="1" applyBorder="1" applyAlignment="1">
      <alignment horizontal="center" vertical="center" wrapText="1"/>
    </xf>
    <xf numFmtId="0" fontId="5" fillId="0" borderId="2" xfId="0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0" borderId="2" xfId="0" applyBorder="1"/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165" fontId="0" fillId="0" borderId="3" xfId="0" applyNumberFormat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10 AHP Score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Ranking!$B$17:$B$26</c:f>
              <c:strCache>
                <c:ptCount val="10"/>
                <c:pt idx="0">
                  <c:v>Dell Inspiron 5567 (Notebook)</c:v>
                </c:pt>
                <c:pt idx="1">
                  <c:v>Lenovo Legion Y520-15IKBN (Gaming)</c:v>
                </c:pt>
                <c:pt idx="2">
                  <c:v>Asus K556UR-DM621T (i7-7500U/8GB/256GB/GeForce (Notebook)</c:v>
                </c:pt>
                <c:pt idx="3">
                  <c:v>Acer Aspire 7 (Notebook)</c:v>
                </c:pt>
                <c:pt idx="4">
                  <c:v>Asus Rog GL552VW-DM201T (Gaming)</c:v>
                </c:pt>
                <c:pt idx="5">
                  <c:v>Lenovo IdeaPad 510s-14IKB (Notebook)</c:v>
                </c:pt>
                <c:pt idx="6">
                  <c:v>Lenovo Thinkpad E470 (Notebook)</c:v>
                </c:pt>
                <c:pt idx="7">
                  <c:v>HP 15-bs017nv (i7-7500U/8GB/256GB/Radeon (Notebook)</c:v>
                </c:pt>
                <c:pt idx="8">
                  <c:v>Dell Vostro 5568 (Notebook)</c:v>
                </c:pt>
                <c:pt idx="9">
                  <c:v>Dell Inspiron 3567 (Notebook)</c:v>
                </c:pt>
              </c:strCache>
            </c:strRef>
          </c:cat>
          <c:val>
            <c:numRef>
              <c:f>Ranking!$G$17:$G$26</c:f>
              <c:numCache>
                <c:formatCode>0.000</c:formatCode>
                <c:ptCount val="10"/>
                <c:pt idx="0">
                  <c:v>0.92273539331490884</c:v>
                </c:pt>
                <c:pt idx="1">
                  <c:v>0.77910761081427382</c:v>
                </c:pt>
                <c:pt idx="2">
                  <c:v>0.77473773911759458</c:v>
                </c:pt>
                <c:pt idx="3">
                  <c:v>0.77458653065126915</c:v>
                </c:pt>
                <c:pt idx="4">
                  <c:v>0.7680075916263831</c:v>
                </c:pt>
                <c:pt idx="5">
                  <c:v>0.75921379093562036</c:v>
                </c:pt>
                <c:pt idx="6">
                  <c:v>0.75698028187174071</c:v>
                </c:pt>
                <c:pt idx="7">
                  <c:v>0.75203790655481195</c:v>
                </c:pt>
                <c:pt idx="8">
                  <c:v>0.75161535078596986</c:v>
                </c:pt>
                <c:pt idx="9">
                  <c:v>0.75028731836960894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8-4C90-B9AF-884E428E3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Laptop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15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ptopTable" displayName="LaptopTable" ref="A1:AQ1299">
  <autoFilter ref="A1:AQ1299" xr:uid="{00000000-0009-0000-0100-000001000000}"/>
  <tableColumns count="43">
    <tableColumn id="1" xr3:uid="{00000000-0010-0000-0000-000001000000}" name="ID"/>
    <tableColumn id="2" xr3:uid="{00000000-0010-0000-0000-000002000000}" name="Company"/>
    <tableColumn id="3" xr3:uid="{00000000-0010-0000-0000-000003000000}" name="Full Name"/>
    <tableColumn id="4" xr3:uid="{00000000-0010-0000-0000-000004000000}" name="Product"/>
    <tableColumn id="5" xr3:uid="{00000000-0010-0000-0000-000005000000}" name="TypeName"/>
    <tableColumn id="6" xr3:uid="{00000000-0010-0000-0000-000006000000}" name="Release Year"/>
    <tableColumn id="7" xr3:uid="{00000000-0010-0000-0000-000007000000}" name="Condition"/>
    <tableColumn id="8" xr3:uid="{00000000-0010-0000-0000-000008000000}" name="Price (VND)"/>
    <tableColumn id="9" xr3:uid="{00000000-0010-0000-0000-000009000000}" name="SSD (GB)"/>
    <tableColumn id="10" xr3:uid="{00000000-0010-0000-0000-00000A000000}" name="HDD (GB)"/>
    <tableColumn id="11" xr3:uid="{00000000-0010-0000-0000-00000B000000}" name="RAM (GB)"/>
    <tableColumn id="12" xr3:uid="{00000000-0010-0000-0000-00000C000000}" name="CPU Score (1-10)"/>
    <tableColumn id="13" xr3:uid="{00000000-0010-0000-0000-00000D000000}" name="GPU Score (1-10)"/>
    <tableColumn id="14" xr3:uid="{00000000-0010-0000-0000-00000E000000}" name="Screen Score (1-10)"/>
    <tableColumn id="15" xr3:uid="{00000000-0010-0000-0000-00000F000000}" name="Inches"/>
    <tableColumn id="16" xr3:uid="{00000000-0010-0000-0000-000010000000}" name="Weight (kg)"/>
    <tableColumn id="17" xr3:uid="{00000000-0010-0000-0000-000011000000}" name="Battery (hrs)"/>
    <tableColumn id="18" xr3:uid="{00000000-0010-0000-0000-000012000000}" name="Durability (1-10)"/>
    <tableColumn id="19" xr3:uid="{00000000-0010-0000-0000-000013000000}" name="Upgradability (1-10)"/>
    <tableColumn id="20" xr3:uid="{00000000-0010-0000-0000-000014000000}" name="Ports (#)"/>
    <tableColumn id="21" xr3:uid="{00000000-0010-0000-0000-000015000000}" name="CPU_Company"/>
    <tableColumn id="22" xr3:uid="{00000000-0010-0000-0000-000016000000}" name="CPU_Type"/>
    <tableColumn id="23" xr3:uid="{00000000-0010-0000-0000-000017000000}" name="CPU_Frequency (GHz)"/>
    <tableColumn id="24" xr3:uid="{00000000-0010-0000-0000-000018000000}" name="GPU_Company"/>
    <tableColumn id="25" xr3:uid="{00000000-0010-0000-0000-000019000000}" name="GPU_Type"/>
    <tableColumn id="26" xr3:uid="{00000000-0010-0000-0000-00001A000000}" name="Memory"/>
    <tableColumn id="27" xr3:uid="{00000000-0010-0000-0000-00001B000000}" name="ScreenResolution"/>
    <tableColumn id="28" xr3:uid="{00000000-0010-0000-0000-00001C000000}" name="OpSys"/>
    <tableColumn id="29" xr3:uid="{00000000-0010-0000-0000-00001D000000}" name="Price (Euro)"/>
    <tableColumn id="30" xr3:uid="{00000000-0010-0000-0000-00001E000000}" name="PassFilter">
      <calculatedColumnFormula>AND(
 I2&gt;=Filters!B2,
 I2&lt;=Filters!B3,
 J2&gt;=Filters!B4,
 K2&gt;=Filters!B5,
 F2&gt;=Filters!B7,
 F2&lt;=Filters!B8,
 OR(Filters!B6="All",B2=Filters!B6),
 OR(Filters!#REF!="All",G2=Filters!#REF!)
)</calculatedColumnFormula>
    </tableColumn>
    <tableColumn id="31" xr3:uid="{00000000-0010-0000-0000-00001F000000}" name="Battery_Fill"/>
    <tableColumn id="32" xr3:uid="{00000000-0010-0000-0000-000020000000}" name="Durability_Fill"/>
    <tableColumn id="33" xr3:uid="{00000000-0010-0000-0000-000021000000}" name="Upgradability_Fill"/>
    <tableColumn id="34" xr3:uid="{00000000-0010-0000-0000-000022000000}" name="Norm_CPU"/>
    <tableColumn id="35" xr3:uid="{00000000-0010-0000-0000-000023000000}" name="Norm_RAM"/>
    <tableColumn id="36" xr3:uid="{00000000-0010-0000-0000-000024000000}" name="Norm_GPU"/>
    <tableColumn id="37" xr3:uid="{00000000-0010-0000-0000-000025000000}" name="Norm_Screen"/>
    <tableColumn id="38" xr3:uid="{00000000-0010-0000-0000-000026000000}" name="Norm_Weight"/>
    <tableColumn id="39" xr3:uid="{00000000-0010-0000-0000-000027000000}" name="Norm_Battery"/>
    <tableColumn id="40" xr3:uid="{00000000-0010-0000-0000-000028000000}" name="Norm_Durability"/>
    <tableColumn id="41" xr3:uid="{00000000-0010-0000-0000-000029000000}" name="Norm_Upgrade"/>
    <tableColumn id="42" xr3:uid="{00000000-0010-0000-0000-00002A000000}" name="AHP Score"/>
    <tableColumn id="43" xr3:uid="{00000000-0010-0000-0000-00002B000000}" name="Score_Adjus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zoomScaleNormal="100" workbookViewId="0">
      <pane ySplit="1" topLeftCell="A2" activePane="bottomLeft" state="frozen"/>
      <selection pane="bottomLeft" activeCell="A25" sqref="A25"/>
    </sheetView>
  </sheetViews>
  <sheetFormatPr defaultRowHeight="14.4"/>
  <cols>
    <col min="1" max="1" width="120" customWidth="1"/>
  </cols>
  <sheetData>
    <row r="1" spans="1:1" ht="18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/>
    </row>
    <row r="7" spans="1:1">
      <c r="A7" s="2" t="s">
        <v>1705</v>
      </c>
    </row>
    <row r="8" spans="1:1">
      <c r="A8" s="2" t="s">
        <v>4</v>
      </c>
    </row>
    <row r="9" spans="1:1">
      <c r="A9" s="2"/>
    </row>
    <row r="10" spans="1:1">
      <c r="A10" s="2" t="s">
        <v>5</v>
      </c>
    </row>
    <row r="11" spans="1:1">
      <c r="A11" s="2" t="s">
        <v>6</v>
      </c>
    </row>
    <row r="12" spans="1:1">
      <c r="A12" s="2" t="s">
        <v>7</v>
      </c>
    </row>
    <row r="13" spans="1:1">
      <c r="A13" s="2"/>
    </row>
    <row r="14" spans="1:1">
      <c r="A14" s="2" t="s">
        <v>8</v>
      </c>
    </row>
    <row r="15" spans="1:1">
      <c r="A15" s="2" t="s">
        <v>9</v>
      </c>
    </row>
    <row r="16" spans="1:1">
      <c r="A16" s="2"/>
    </row>
    <row r="17" spans="1:1">
      <c r="A17" s="2" t="s">
        <v>10</v>
      </c>
    </row>
    <row r="18" spans="1:1">
      <c r="A18" s="2"/>
    </row>
    <row r="19" spans="1:1">
      <c r="A19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/>
  </sheetViews>
  <sheetFormatPr defaultRowHeight="14.4"/>
  <sheetData>
    <row r="1" spans="1:7">
      <c r="A1" t="s">
        <v>12</v>
      </c>
      <c r="C1" t="s">
        <v>13</v>
      </c>
      <c r="E1" t="s">
        <v>14</v>
      </c>
      <c r="G1" t="s">
        <v>15</v>
      </c>
    </row>
    <row r="2" spans="1:7">
      <c r="A2" t="s">
        <v>16</v>
      </c>
      <c r="C2" t="s">
        <v>16</v>
      </c>
      <c r="E2">
        <v>1</v>
      </c>
      <c r="G2">
        <v>1</v>
      </c>
    </row>
    <row r="3" spans="1:7">
      <c r="A3" t="s">
        <v>17</v>
      </c>
      <c r="C3" t="s">
        <v>18</v>
      </c>
      <c r="E3">
        <v>2</v>
      </c>
      <c r="G3">
        <v>2</v>
      </c>
    </row>
    <row r="4" spans="1:7">
      <c r="A4" t="s">
        <v>19</v>
      </c>
      <c r="C4" t="s">
        <v>20</v>
      </c>
      <c r="E4">
        <v>3</v>
      </c>
      <c r="G4">
        <v>3</v>
      </c>
    </row>
    <row r="5" spans="1:7">
      <c r="A5" t="s">
        <v>21</v>
      </c>
      <c r="E5">
        <v>4</v>
      </c>
      <c r="G5">
        <v>4</v>
      </c>
    </row>
    <row r="6" spans="1:7">
      <c r="A6" t="s">
        <v>22</v>
      </c>
      <c r="E6">
        <v>5</v>
      </c>
      <c r="G6">
        <v>5</v>
      </c>
    </row>
    <row r="7" spans="1:7">
      <c r="A7" t="s">
        <v>23</v>
      </c>
      <c r="E7">
        <v>6</v>
      </c>
    </row>
    <row r="8" spans="1:7">
      <c r="A8" t="s">
        <v>24</v>
      </c>
      <c r="E8">
        <v>7</v>
      </c>
    </row>
    <row r="9" spans="1:7">
      <c r="A9" t="s">
        <v>25</v>
      </c>
      <c r="E9">
        <v>8</v>
      </c>
    </row>
    <row r="10" spans="1:7">
      <c r="A10" t="s">
        <v>26</v>
      </c>
      <c r="E10">
        <v>9</v>
      </c>
    </row>
    <row r="11" spans="1:7">
      <c r="A11" t="s">
        <v>27</v>
      </c>
    </row>
    <row r="12" spans="1:7">
      <c r="A12" t="s">
        <v>28</v>
      </c>
    </row>
    <row r="13" spans="1:7">
      <c r="A13" t="s">
        <v>29</v>
      </c>
    </row>
    <row r="14" spans="1:7">
      <c r="A14" t="s">
        <v>30</v>
      </c>
    </row>
    <row r="15" spans="1:7">
      <c r="A15" t="s">
        <v>31</v>
      </c>
    </row>
    <row r="16" spans="1:7">
      <c r="A16" t="s">
        <v>32</v>
      </c>
    </row>
    <row r="17" spans="1:1">
      <c r="A17" t="s">
        <v>33</v>
      </c>
    </row>
    <row r="18" spans="1:1">
      <c r="A18" t="s">
        <v>34</v>
      </c>
    </row>
    <row r="19" spans="1:1">
      <c r="A19" t="s">
        <v>35</v>
      </c>
    </row>
    <row r="20" spans="1:1">
      <c r="A20" t="s">
        <v>36</v>
      </c>
    </row>
    <row r="21" spans="1:1">
      <c r="A21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pane ySplit="2" topLeftCell="A3" activePane="bottomLeft" state="frozen"/>
      <selection pane="bottomLeft" activeCell="C21" sqref="C21"/>
    </sheetView>
  </sheetViews>
  <sheetFormatPr defaultRowHeight="14.4"/>
  <cols>
    <col min="1" max="1" width="35" customWidth="1"/>
    <col min="2" max="2" width="22" customWidth="1"/>
  </cols>
  <sheetData>
    <row r="1" spans="1:2" ht="18">
      <c r="A1" s="11" t="s">
        <v>1706</v>
      </c>
    </row>
    <row r="3" spans="1:2">
      <c r="A3" s="27" t="s">
        <v>1658</v>
      </c>
      <c r="B3" s="24">
        <v>0</v>
      </c>
    </row>
    <row r="4" spans="1:2">
      <c r="A4" s="27" t="s">
        <v>1659</v>
      </c>
      <c r="B4" s="24">
        <v>25000000</v>
      </c>
    </row>
    <row r="5" spans="1:2">
      <c r="A5" s="27" t="s">
        <v>1660</v>
      </c>
      <c r="B5" s="25">
        <v>256</v>
      </c>
    </row>
    <row r="6" spans="1:2">
      <c r="A6" s="27" t="s">
        <v>1661</v>
      </c>
      <c r="B6" s="26" t="s">
        <v>16</v>
      </c>
    </row>
    <row r="7" spans="1:2">
      <c r="A7" s="27" t="s">
        <v>1662</v>
      </c>
      <c r="B7" s="25">
        <v>0</v>
      </c>
    </row>
    <row r="8" spans="1:2">
      <c r="A8" s="27" t="s">
        <v>1663</v>
      </c>
      <c r="B8" s="25">
        <v>2025</v>
      </c>
    </row>
    <row r="9" spans="1:2">
      <c r="A9" s="27" t="s">
        <v>1664</v>
      </c>
      <c r="B9" s="26" t="s">
        <v>16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Lists!$A$2:$A$21</xm:f>
          </x14:formula1>
          <xm:sqref>B6</xm:sqref>
        </x14:dataValidation>
        <x14:dataValidation type="list" allowBlank="1" xr:uid="{00000000-0002-0000-0300-000001000000}">
          <x14:formula1>
            <xm:f>Lists!$C$2:$C$4</xm:f>
          </x14:formula1>
          <xm:sqref>B9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299"/>
  <sheetViews>
    <sheetView topLeftCell="W1" zoomScaleNormal="100" workbookViewId="0">
      <pane ySplit="1" topLeftCell="A677" activePane="bottomLeft" state="frozen"/>
      <selection pane="bottomLeft" activeCell="AE61" sqref="AE61"/>
    </sheetView>
  </sheetViews>
  <sheetFormatPr defaultRowHeight="14.4"/>
  <cols>
    <col min="1" max="1" width="6" customWidth="1"/>
    <col min="2" max="2" width="10" customWidth="1"/>
    <col min="3" max="3" width="42" customWidth="1"/>
    <col min="4" max="7" width="14" customWidth="1"/>
    <col min="8" max="8" width="12" customWidth="1"/>
    <col min="9" max="9" width="10" customWidth="1"/>
    <col min="10" max="11" width="14" customWidth="1"/>
    <col min="12" max="12" width="16" customWidth="1"/>
    <col min="13" max="13" width="10" customWidth="1"/>
    <col min="14" max="15" width="12" customWidth="1"/>
    <col min="16" max="16" width="16" customWidth="1"/>
    <col min="17" max="17" width="18" customWidth="1"/>
    <col min="18" max="18" width="10" customWidth="1"/>
    <col min="19" max="19" width="12" customWidth="1"/>
    <col min="20" max="20" width="20" customWidth="1"/>
    <col min="21" max="21" width="18" customWidth="1"/>
    <col min="22" max="22" width="12" customWidth="1"/>
    <col min="23" max="23" width="25" customWidth="1"/>
    <col min="24" max="24" width="18" customWidth="1"/>
    <col min="25" max="25" width="28" customWidth="1"/>
    <col min="26" max="26" width="10" customWidth="1"/>
    <col min="27" max="27" width="12" customWidth="1"/>
    <col min="28" max="43" width="14" customWidth="1"/>
  </cols>
  <sheetData>
    <row r="1" spans="1:43" ht="28.8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49</v>
      </c>
      <c r="M1" s="3" t="s">
        <v>50</v>
      </c>
      <c r="N1" s="3" t="s">
        <v>51</v>
      </c>
      <c r="O1" s="3" t="s">
        <v>52</v>
      </c>
      <c r="P1" s="3" t="s">
        <v>53</v>
      </c>
      <c r="Q1" s="3" t="s">
        <v>54</v>
      </c>
      <c r="R1" s="3" t="s">
        <v>55</v>
      </c>
      <c r="S1" s="3" t="s">
        <v>56</v>
      </c>
      <c r="T1" s="3" t="s">
        <v>57</v>
      </c>
      <c r="U1" s="3" t="s">
        <v>58</v>
      </c>
      <c r="V1" s="3" t="s">
        <v>59</v>
      </c>
      <c r="W1" s="3" t="s">
        <v>60</v>
      </c>
      <c r="X1" s="3" t="s">
        <v>61</v>
      </c>
      <c r="Y1" s="3" t="s">
        <v>62</v>
      </c>
      <c r="Z1" s="3" t="s">
        <v>63</v>
      </c>
      <c r="AA1" s="3" t="s">
        <v>64</v>
      </c>
      <c r="AB1" s="3" t="s">
        <v>65</v>
      </c>
      <c r="AC1" s="3" t="s">
        <v>66</v>
      </c>
      <c r="AD1" s="3" t="s">
        <v>67</v>
      </c>
      <c r="AE1" s="3" t="s">
        <v>68</v>
      </c>
      <c r="AF1" s="3" t="s">
        <v>69</v>
      </c>
      <c r="AG1" s="3" t="s">
        <v>70</v>
      </c>
      <c r="AH1" s="3" t="s">
        <v>71</v>
      </c>
      <c r="AI1" s="3" t="s">
        <v>72</v>
      </c>
      <c r="AJ1" s="3" t="s">
        <v>73</v>
      </c>
      <c r="AK1" s="3" t="s">
        <v>74</v>
      </c>
      <c r="AL1" s="3" t="s">
        <v>75</v>
      </c>
      <c r="AM1" s="3" t="s">
        <v>76</v>
      </c>
      <c r="AN1" s="3" t="s">
        <v>77</v>
      </c>
      <c r="AO1" s="3" t="s">
        <v>78</v>
      </c>
      <c r="AP1" s="3" t="s">
        <v>79</v>
      </c>
      <c r="AQ1" s="3" t="s">
        <v>80</v>
      </c>
    </row>
    <row r="2" spans="1:43">
      <c r="A2">
        <v>1</v>
      </c>
      <c r="B2" t="s">
        <v>19</v>
      </c>
      <c r="C2" t="s">
        <v>81</v>
      </c>
      <c r="D2" t="s">
        <v>82</v>
      </c>
      <c r="E2" t="s">
        <v>83</v>
      </c>
      <c r="G2" t="s">
        <v>18</v>
      </c>
      <c r="H2" s="4">
        <v>36171630</v>
      </c>
      <c r="I2" s="5">
        <v>128</v>
      </c>
      <c r="J2" s="5">
        <v>0</v>
      </c>
      <c r="K2" s="5">
        <v>8</v>
      </c>
      <c r="L2">
        <v>6.6</v>
      </c>
      <c r="M2">
        <v>4.2</v>
      </c>
      <c r="N2">
        <v>8.76</v>
      </c>
      <c r="O2" s="6">
        <v>13.3</v>
      </c>
      <c r="P2" s="7">
        <v>1.37</v>
      </c>
      <c r="U2" t="s">
        <v>84</v>
      </c>
      <c r="V2" t="s">
        <v>85</v>
      </c>
      <c r="W2">
        <v>2.2999999999999998</v>
      </c>
      <c r="X2" t="s">
        <v>84</v>
      </c>
      <c r="Y2" t="s">
        <v>86</v>
      </c>
      <c r="Z2" t="s">
        <v>87</v>
      </c>
      <c r="AA2" t="s">
        <v>88</v>
      </c>
      <c r="AB2" t="s">
        <v>89</v>
      </c>
      <c r="AC2">
        <v>1339.69</v>
      </c>
      <c r="AD2" s="8" t="b">
        <f>AND(
 H2&gt;=Filters!$B$3,
 H2&lt;=Filters!$B$4,
 I2&gt;=Filters!$B$5,
 OR(Filters!$B$6="All",B2=Filters!$B$6),
 F2&gt;=Filters!$B$7,
 F2&lt;=Filters!$B$8,
 OR(Filters!$B$9="All",G2=Filters!$B$9)
)</f>
        <v>0</v>
      </c>
      <c r="AE2">
        <f t="shared" ref="AE2:AE65" si="0">IF(Q2="",6,Q2)</f>
        <v>6</v>
      </c>
      <c r="AF2">
        <f t="shared" ref="AF2:AF65" si="1">IF(R2="",7,R2)</f>
        <v>7</v>
      </c>
      <c r="AG2">
        <f t="shared" ref="AG2:AG65" si="2">IF(S2="",7,S2)</f>
        <v>7</v>
      </c>
      <c r="AH2" s="9" t="str">
        <f t="shared" ref="AH2:AH65" si="3">IF(AD2,IF(CPU_MAX=CPU_MIN,1,(L2-CPU_MIN)/(CPU_MAX-CPU_MIN)),"")</f>
        <v/>
      </c>
      <c r="AI2" s="9" t="str">
        <f t="shared" ref="AI2:AI65" si="4">IF(AD2,IF(RAM_MAX=RAM_MIN,1,(K2-RAM_MIN)/(RAM_MAX-RAM_MIN)),"")</f>
        <v/>
      </c>
      <c r="AJ2" s="9" t="str">
        <f t="shared" ref="AJ2:AJ65" si="5">IF(AD2,IF(GPU_MAX=GPU_MIN,1,(M2-GPU_MIN)/(GPU_MAX-GPU_MIN)),"")</f>
        <v/>
      </c>
      <c r="AK2" s="9" t="str">
        <f t="shared" ref="AK2:AK65" si="6">IF(AD2,IF(SCREEN_MAX=SCREEN_MIN,1,(N2-SCREEN_MIN)/(SCREEN_MAX-SCREEN_MIN)),"")</f>
        <v/>
      </c>
      <c r="AL2" s="9" t="str">
        <f t="shared" ref="AL2:AL65" si="7">IF(AD2,IF(WEIGHT_MAX=WEIGHT_MIN,1,(WEIGHT_MAX-P2)/(WEIGHT_MAX-WEIGHT_MIN)),"")</f>
        <v/>
      </c>
      <c r="AM2" s="9" t="str">
        <f t="shared" ref="AM2:AM65" si="8">IF(AD2,IF(BATTERY_MAX=BATTERY_MIN,1,(AE2-BATTERY_MIN)/(BATTERY_MAX-BATTERY_MIN)),"")</f>
        <v/>
      </c>
      <c r="AN2" s="9" t="str">
        <f t="shared" ref="AN2:AN65" si="9">IF(AD2,IF(DURABILITY_MAX=DURABILITY_MIN,1,(AF2-DURABILITY_MIN)/(DURABILITY_MAX-DURABILITY_MIN)),"")</f>
        <v/>
      </c>
      <c r="AO2" s="9" t="str">
        <f t="shared" ref="AO2:AO65" si="10">IF(AD2,IF(UPGRADE_MAX=UPGRADE_MIN,1,(AG2-UPGRADE_MIN)/(UPGRADE_MAX-UPGRADE_MIN)),"")</f>
        <v/>
      </c>
      <c r="AP2" s="9" t="str">
        <f t="shared" ref="AP2:AP65" si="11">IF(AD2,W_CPU*AH2+W_RAM*AI2+W_GPU*AJ2+W_SCREEN*AK2+W_WEIGHT*AL2+W_BATTERY*AM2+W_DURABILITY*AN2+W_UPGRADE*AO2,"" )</f>
        <v/>
      </c>
      <c r="AQ2" s="10" t="str">
        <f t="shared" ref="AQ2:AQ65" si="12">IF(AP2="","",AP2+ROW()*0.000000001)</f>
        <v/>
      </c>
    </row>
    <row r="3" spans="1:43">
      <c r="A3">
        <v>2</v>
      </c>
      <c r="B3" t="s">
        <v>19</v>
      </c>
      <c r="C3" t="s">
        <v>90</v>
      </c>
      <c r="D3" t="s">
        <v>91</v>
      </c>
      <c r="E3" t="s">
        <v>83</v>
      </c>
      <c r="G3" t="s">
        <v>18</v>
      </c>
      <c r="H3" s="4">
        <v>24271380</v>
      </c>
      <c r="I3" s="5">
        <v>128</v>
      </c>
      <c r="J3" s="5">
        <v>0</v>
      </c>
      <c r="K3" s="5">
        <v>8</v>
      </c>
      <c r="L3">
        <v>5.6</v>
      </c>
      <c r="M3">
        <v>3.5</v>
      </c>
      <c r="N3">
        <v>5.96</v>
      </c>
      <c r="O3" s="6">
        <v>13.3</v>
      </c>
      <c r="P3" s="7">
        <v>1.34</v>
      </c>
      <c r="U3" t="s">
        <v>84</v>
      </c>
      <c r="V3" t="s">
        <v>85</v>
      </c>
      <c r="W3">
        <v>1.8</v>
      </c>
      <c r="X3" t="s">
        <v>84</v>
      </c>
      <c r="Y3" t="s">
        <v>92</v>
      </c>
      <c r="Z3" t="s">
        <v>93</v>
      </c>
      <c r="AA3" t="s">
        <v>94</v>
      </c>
      <c r="AB3" t="s">
        <v>89</v>
      </c>
      <c r="AC3">
        <v>898.94</v>
      </c>
      <c r="AD3" s="8" t="b">
        <f>AND(
 H3&gt;=Filters!$B$3,
 H3&lt;=Filters!$B$4,
 I3&gt;=Filters!$B$5,
 OR(Filters!$B$6="All",B3=Filters!$B$6),
 F3&gt;=Filters!$B$7,
 F3&lt;=Filters!$B$8,
 OR(Filters!$B$9="All",G3=Filters!$B$9)
)</f>
        <v>0</v>
      </c>
      <c r="AE3">
        <f t="shared" si="0"/>
        <v>6</v>
      </c>
      <c r="AF3">
        <f t="shared" si="1"/>
        <v>7</v>
      </c>
      <c r="AG3">
        <f t="shared" si="2"/>
        <v>7</v>
      </c>
      <c r="AH3" s="9" t="str">
        <f t="shared" si="3"/>
        <v/>
      </c>
      <c r="AI3" s="9" t="str">
        <f t="shared" si="4"/>
        <v/>
      </c>
      <c r="AJ3" s="9" t="str">
        <f t="shared" si="5"/>
        <v/>
      </c>
      <c r="AK3" s="9" t="str">
        <f t="shared" si="6"/>
        <v/>
      </c>
      <c r="AL3" s="9" t="str">
        <f t="shared" si="7"/>
        <v/>
      </c>
      <c r="AM3" s="9" t="str">
        <f t="shared" si="8"/>
        <v/>
      </c>
      <c r="AN3" s="9" t="str">
        <f t="shared" si="9"/>
        <v/>
      </c>
      <c r="AO3" s="9" t="str">
        <f t="shared" si="10"/>
        <v/>
      </c>
      <c r="AP3" s="9" t="str">
        <f t="shared" si="11"/>
        <v/>
      </c>
      <c r="AQ3" s="10" t="str">
        <f t="shared" si="12"/>
        <v/>
      </c>
    </row>
    <row r="4" spans="1:43">
      <c r="A4">
        <v>3</v>
      </c>
      <c r="B4" t="s">
        <v>26</v>
      </c>
      <c r="C4" t="s">
        <v>95</v>
      </c>
      <c r="D4" t="s">
        <v>96</v>
      </c>
      <c r="E4" t="s">
        <v>97</v>
      </c>
      <c r="G4" t="s">
        <v>18</v>
      </c>
      <c r="H4" s="4">
        <v>15525000</v>
      </c>
      <c r="I4" s="5">
        <v>256</v>
      </c>
      <c r="J4" s="5">
        <v>0</v>
      </c>
      <c r="K4" s="5">
        <v>8</v>
      </c>
      <c r="L4">
        <v>7</v>
      </c>
      <c r="M4">
        <v>3.5</v>
      </c>
      <c r="N4">
        <v>5.92</v>
      </c>
      <c r="O4" s="6">
        <v>15.6</v>
      </c>
      <c r="P4" s="7">
        <v>1.86</v>
      </c>
      <c r="U4" t="s">
        <v>84</v>
      </c>
      <c r="V4" t="s">
        <v>98</v>
      </c>
      <c r="W4">
        <v>2.5</v>
      </c>
      <c r="X4" t="s">
        <v>84</v>
      </c>
      <c r="Y4" t="s">
        <v>99</v>
      </c>
      <c r="Z4" t="s">
        <v>100</v>
      </c>
      <c r="AA4" t="s">
        <v>101</v>
      </c>
      <c r="AB4" t="s">
        <v>102</v>
      </c>
      <c r="AC4">
        <v>575</v>
      </c>
      <c r="AD4" s="8" t="b">
        <f>AND(
 H4&gt;=Filters!$B$3,
 H4&lt;=Filters!$B$4,
 I4&gt;=Filters!$B$5,
 OR(Filters!$B$6="All",B4=Filters!$B$6),
 F4&gt;=Filters!$B$7,
 F4&lt;=Filters!$B$8,
 OR(Filters!$B$9="All",G4=Filters!$B$9)
)</f>
        <v>1</v>
      </c>
      <c r="AE4">
        <f t="shared" si="0"/>
        <v>6</v>
      </c>
      <c r="AF4">
        <f t="shared" si="1"/>
        <v>7</v>
      </c>
      <c r="AG4">
        <f t="shared" si="2"/>
        <v>7</v>
      </c>
      <c r="AH4" s="9">
        <f t="shared" si="3"/>
        <v>0.69047619047619047</v>
      </c>
      <c r="AI4" s="9">
        <f t="shared" si="4"/>
        <v>0.80952380952380942</v>
      </c>
      <c r="AJ4" s="9">
        <f t="shared" si="5"/>
        <v>0.27380952380952378</v>
      </c>
      <c r="AK4" s="9">
        <f t="shared" si="6"/>
        <v>0.56190476190476191</v>
      </c>
      <c r="AL4" s="9">
        <f t="shared" si="7"/>
        <v>0.92142857142857126</v>
      </c>
      <c r="AM4" s="9">
        <f t="shared" si="8"/>
        <v>0.5714285714285714</v>
      </c>
      <c r="AN4" s="9">
        <f t="shared" si="9"/>
        <v>0.69047619047619047</v>
      </c>
      <c r="AO4" s="9">
        <f t="shared" si="10"/>
        <v>0.69047619047619047</v>
      </c>
      <c r="AP4" s="9">
        <f t="shared" si="11"/>
        <v>0.66917229991738136</v>
      </c>
      <c r="AQ4" s="10">
        <f t="shared" si="12"/>
        <v>0.66917230391738136</v>
      </c>
    </row>
    <row r="5" spans="1:43">
      <c r="A5">
        <v>4</v>
      </c>
      <c r="B5" t="s">
        <v>19</v>
      </c>
      <c r="C5" t="s">
        <v>81</v>
      </c>
      <c r="D5" t="s">
        <v>82</v>
      </c>
      <c r="E5" t="s">
        <v>83</v>
      </c>
      <c r="G5" t="s">
        <v>18</v>
      </c>
      <c r="H5" s="4">
        <v>68511150</v>
      </c>
      <c r="I5" s="5">
        <v>512</v>
      </c>
      <c r="J5" s="5">
        <v>0</v>
      </c>
      <c r="K5" s="5">
        <v>16</v>
      </c>
      <c r="L5">
        <v>9.4</v>
      </c>
      <c r="M5">
        <v>7.2</v>
      </c>
      <c r="N5">
        <v>8.73</v>
      </c>
      <c r="O5" s="6">
        <v>15.4</v>
      </c>
      <c r="P5" s="7">
        <v>1.83</v>
      </c>
      <c r="U5" t="s">
        <v>84</v>
      </c>
      <c r="V5" t="s">
        <v>103</v>
      </c>
      <c r="W5">
        <v>2.7</v>
      </c>
      <c r="X5" t="s">
        <v>104</v>
      </c>
      <c r="Y5" t="s">
        <v>105</v>
      </c>
      <c r="Z5" t="s">
        <v>106</v>
      </c>
      <c r="AA5" t="s">
        <v>107</v>
      </c>
      <c r="AB5" t="s">
        <v>89</v>
      </c>
      <c r="AC5">
        <v>2537.4499999999998</v>
      </c>
      <c r="AD5" s="8" t="b">
        <f>AND(
 H5&gt;=Filters!$B$3,
 H5&lt;=Filters!$B$4,
 I5&gt;=Filters!$B$5,
 OR(Filters!$B$6="All",B5=Filters!$B$6),
 F5&gt;=Filters!$B$7,
 F5&lt;=Filters!$B$8,
 OR(Filters!$B$9="All",G5=Filters!$B$9)
)</f>
        <v>0</v>
      </c>
      <c r="AE5">
        <f t="shared" si="0"/>
        <v>6</v>
      </c>
      <c r="AF5">
        <f t="shared" si="1"/>
        <v>7</v>
      </c>
      <c r="AG5">
        <f t="shared" si="2"/>
        <v>7</v>
      </c>
      <c r="AH5" s="9" t="str">
        <f t="shared" si="3"/>
        <v/>
      </c>
      <c r="AI5" s="9" t="str">
        <f t="shared" si="4"/>
        <v/>
      </c>
      <c r="AJ5" s="9" t="str">
        <f t="shared" si="5"/>
        <v/>
      </c>
      <c r="AK5" s="9" t="str">
        <f t="shared" si="6"/>
        <v/>
      </c>
      <c r="AL5" s="9" t="str">
        <f t="shared" si="7"/>
        <v/>
      </c>
      <c r="AM5" s="9" t="str">
        <f t="shared" si="8"/>
        <v/>
      </c>
      <c r="AN5" s="9" t="str">
        <f t="shared" si="9"/>
        <v/>
      </c>
      <c r="AO5" s="9" t="str">
        <f t="shared" si="10"/>
        <v/>
      </c>
      <c r="AP5" s="9" t="str">
        <f t="shared" si="11"/>
        <v/>
      </c>
      <c r="AQ5" s="10" t="str">
        <f t="shared" si="12"/>
        <v/>
      </c>
    </row>
    <row r="6" spans="1:43">
      <c r="A6">
        <v>5</v>
      </c>
      <c r="B6" t="s">
        <v>19</v>
      </c>
      <c r="C6" t="s">
        <v>81</v>
      </c>
      <c r="D6" t="s">
        <v>82</v>
      </c>
      <c r="E6" t="s">
        <v>83</v>
      </c>
      <c r="G6" t="s">
        <v>18</v>
      </c>
      <c r="H6" s="4">
        <v>48697200</v>
      </c>
      <c r="I6" s="5">
        <v>256</v>
      </c>
      <c r="J6" s="5">
        <v>0</v>
      </c>
      <c r="K6" s="5">
        <v>8</v>
      </c>
      <c r="L6">
        <v>8.1999999999999993</v>
      </c>
      <c r="M6">
        <v>4.2</v>
      </c>
      <c r="N6">
        <v>8.76</v>
      </c>
      <c r="O6" s="6">
        <v>13.3</v>
      </c>
      <c r="P6" s="7">
        <v>1.37</v>
      </c>
      <c r="U6" t="s">
        <v>84</v>
      </c>
      <c r="V6" t="s">
        <v>85</v>
      </c>
      <c r="W6">
        <v>3.1</v>
      </c>
      <c r="X6" t="s">
        <v>84</v>
      </c>
      <c r="Y6" t="s">
        <v>108</v>
      </c>
      <c r="Z6" t="s">
        <v>100</v>
      </c>
      <c r="AA6" t="s">
        <v>88</v>
      </c>
      <c r="AB6" t="s">
        <v>89</v>
      </c>
      <c r="AC6">
        <v>1803.6</v>
      </c>
      <c r="AD6" s="8" t="b">
        <f>AND(
 H6&gt;=Filters!$B$3,
 H6&lt;=Filters!$B$4,
 I6&gt;=Filters!$B$5,
 OR(Filters!$B$6="All",B6=Filters!$B$6),
 F6&gt;=Filters!$B$7,
 F6&lt;=Filters!$B$8,
 OR(Filters!$B$9="All",G6=Filters!$B$9)
)</f>
        <v>0</v>
      </c>
      <c r="AE6">
        <f t="shared" si="0"/>
        <v>6</v>
      </c>
      <c r="AF6">
        <f t="shared" si="1"/>
        <v>7</v>
      </c>
      <c r="AG6">
        <f t="shared" si="2"/>
        <v>7</v>
      </c>
      <c r="AH6" s="9" t="str">
        <f t="shared" si="3"/>
        <v/>
      </c>
      <c r="AI6" s="9" t="str">
        <f t="shared" si="4"/>
        <v/>
      </c>
      <c r="AJ6" s="9" t="str">
        <f t="shared" si="5"/>
        <v/>
      </c>
      <c r="AK6" s="9" t="str">
        <f t="shared" si="6"/>
        <v/>
      </c>
      <c r="AL6" s="9" t="str">
        <f t="shared" si="7"/>
        <v/>
      </c>
      <c r="AM6" s="9" t="str">
        <f t="shared" si="8"/>
        <v/>
      </c>
      <c r="AN6" s="9" t="str">
        <f t="shared" si="9"/>
        <v/>
      </c>
      <c r="AO6" s="9" t="str">
        <f t="shared" si="10"/>
        <v/>
      </c>
      <c r="AP6" s="9" t="str">
        <f t="shared" si="11"/>
        <v/>
      </c>
      <c r="AQ6" s="10" t="str">
        <f t="shared" si="12"/>
        <v/>
      </c>
    </row>
    <row r="7" spans="1:43">
      <c r="A7">
        <v>6</v>
      </c>
      <c r="B7" t="s">
        <v>17</v>
      </c>
      <c r="C7" t="s">
        <v>109</v>
      </c>
      <c r="D7" t="s">
        <v>110</v>
      </c>
      <c r="E7" t="s">
        <v>97</v>
      </c>
      <c r="G7" t="s">
        <v>18</v>
      </c>
      <c r="H7" s="4">
        <v>10800000</v>
      </c>
      <c r="I7" s="5">
        <v>0</v>
      </c>
      <c r="J7" s="5">
        <v>500</v>
      </c>
      <c r="K7" s="5">
        <v>4</v>
      </c>
      <c r="L7">
        <v>7</v>
      </c>
      <c r="M7">
        <v>6.5</v>
      </c>
      <c r="N7">
        <v>3.92</v>
      </c>
      <c r="O7" s="6">
        <v>15.6</v>
      </c>
      <c r="P7" s="7">
        <v>2.1</v>
      </c>
      <c r="U7" t="s">
        <v>104</v>
      </c>
      <c r="V7" t="s">
        <v>111</v>
      </c>
      <c r="W7">
        <v>3</v>
      </c>
      <c r="X7" t="s">
        <v>104</v>
      </c>
      <c r="Y7" t="s">
        <v>112</v>
      </c>
      <c r="Z7" t="s">
        <v>113</v>
      </c>
      <c r="AA7" t="s">
        <v>114</v>
      </c>
      <c r="AB7" t="s">
        <v>115</v>
      </c>
      <c r="AC7">
        <v>400</v>
      </c>
      <c r="AD7" s="8" t="b">
        <f>AND(
 H7&gt;=Filters!$B$3,
 H7&lt;=Filters!$B$4,
 I7&gt;=Filters!$B$5,
 OR(Filters!$B$6="All",B7=Filters!$B$6),
 F7&gt;=Filters!$B$7,
 F7&lt;=Filters!$B$8,
 OR(Filters!$B$9="All",G7=Filters!$B$9)
)</f>
        <v>0</v>
      </c>
      <c r="AE7">
        <f t="shared" si="0"/>
        <v>6</v>
      </c>
      <c r="AF7">
        <f t="shared" si="1"/>
        <v>7</v>
      </c>
      <c r="AG7">
        <f t="shared" si="2"/>
        <v>7</v>
      </c>
      <c r="AH7" s="9" t="str">
        <f t="shared" si="3"/>
        <v/>
      </c>
      <c r="AI7" s="9" t="str">
        <f t="shared" si="4"/>
        <v/>
      </c>
      <c r="AJ7" s="9" t="str">
        <f t="shared" si="5"/>
        <v/>
      </c>
      <c r="AK7" s="9" t="str">
        <f t="shared" si="6"/>
        <v/>
      </c>
      <c r="AL7" s="9" t="str">
        <f t="shared" si="7"/>
        <v/>
      </c>
      <c r="AM7" s="9" t="str">
        <f t="shared" si="8"/>
        <v/>
      </c>
      <c r="AN7" s="9" t="str">
        <f t="shared" si="9"/>
        <v/>
      </c>
      <c r="AO7" s="9" t="str">
        <f t="shared" si="10"/>
        <v/>
      </c>
      <c r="AP7" s="9" t="str">
        <f t="shared" si="11"/>
        <v/>
      </c>
      <c r="AQ7" s="10" t="str">
        <f t="shared" si="12"/>
        <v/>
      </c>
    </row>
    <row r="8" spans="1:43">
      <c r="A8">
        <v>7</v>
      </c>
      <c r="B8" t="s">
        <v>19</v>
      </c>
      <c r="C8" t="s">
        <v>81</v>
      </c>
      <c r="D8" t="s">
        <v>82</v>
      </c>
      <c r="E8" t="s">
        <v>83</v>
      </c>
      <c r="G8" t="s">
        <v>18</v>
      </c>
      <c r="H8" s="4">
        <v>57779190</v>
      </c>
      <c r="I8" s="5">
        <v>256</v>
      </c>
      <c r="J8" s="5">
        <v>0</v>
      </c>
      <c r="K8" s="5">
        <v>16</v>
      </c>
      <c r="L8">
        <v>8.4</v>
      </c>
      <c r="M8">
        <v>4.2</v>
      </c>
      <c r="N8">
        <v>8.73</v>
      </c>
      <c r="O8" s="6">
        <v>15.4</v>
      </c>
      <c r="P8" s="7">
        <v>2.04</v>
      </c>
      <c r="U8" t="s">
        <v>84</v>
      </c>
      <c r="V8" t="s">
        <v>103</v>
      </c>
      <c r="W8">
        <v>2.2000000000000002</v>
      </c>
      <c r="X8" t="s">
        <v>84</v>
      </c>
      <c r="Y8" t="s">
        <v>116</v>
      </c>
      <c r="Z8" t="s">
        <v>117</v>
      </c>
      <c r="AA8" t="s">
        <v>107</v>
      </c>
      <c r="AB8" t="s">
        <v>118</v>
      </c>
      <c r="AC8">
        <v>2139.9699999999998</v>
      </c>
      <c r="AD8" s="8" t="b">
        <f>AND(
 H8&gt;=Filters!$B$3,
 H8&lt;=Filters!$B$4,
 I8&gt;=Filters!$B$5,
 OR(Filters!$B$6="All",B8=Filters!$B$6),
 F8&gt;=Filters!$B$7,
 F8&lt;=Filters!$B$8,
 OR(Filters!$B$9="All",G8=Filters!$B$9)
)</f>
        <v>0</v>
      </c>
      <c r="AE8">
        <f t="shared" si="0"/>
        <v>6</v>
      </c>
      <c r="AF8">
        <f t="shared" si="1"/>
        <v>7</v>
      </c>
      <c r="AG8">
        <f t="shared" si="2"/>
        <v>7</v>
      </c>
      <c r="AH8" s="9" t="str">
        <f t="shared" si="3"/>
        <v/>
      </c>
      <c r="AI8" s="9" t="str">
        <f t="shared" si="4"/>
        <v/>
      </c>
      <c r="AJ8" s="9" t="str">
        <f t="shared" si="5"/>
        <v/>
      </c>
      <c r="AK8" s="9" t="str">
        <f t="shared" si="6"/>
        <v/>
      </c>
      <c r="AL8" s="9" t="str">
        <f t="shared" si="7"/>
        <v/>
      </c>
      <c r="AM8" s="9" t="str">
        <f t="shared" si="8"/>
        <v/>
      </c>
      <c r="AN8" s="9" t="str">
        <f t="shared" si="9"/>
        <v/>
      </c>
      <c r="AO8" s="9" t="str">
        <f t="shared" si="10"/>
        <v/>
      </c>
      <c r="AP8" s="9" t="str">
        <f t="shared" si="11"/>
        <v/>
      </c>
      <c r="AQ8" s="10" t="str">
        <f t="shared" si="12"/>
        <v/>
      </c>
    </row>
    <row r="9" spans="1:43">
      <c r="A9">
        <v>8</v>
      </c>
      <c r="B9" t="s">
        <v>19</v>
      </c>
      <c r="C9" t="s">
        <v>90</v>
      </c>
      <c r="D9" t="s">
        <v>91</v>
      </c>
      <c r="E9" t="s">
        <v>83</v>
      </c>
      <c r="G9" t="s">
        <v>18</v>
      </c>
      <c r="H9" s="4">
        <v>31284900</v>
      </c>
      <c r="I9" s="5">
        <v>256</v>
      </c>
      <c r="J9" s="5">
        <v>0</v>
      </c>
      <c r="K9" s="5">
        <v>8</v>
      </c>
      <c r="L9">
        <v>5.6</v>
      </c>
      <c r="M9">
        <v>3.5</v>
      </c>
      <c r="N9">
        <v>5.96</v>
      </c>
      <c r="O9" s="6">
        <v>13.3</v>
      </c>
      <c r="P9" s="7">
        <v>1.34</v>
      </c>
      <c r="U9" t="s">
        <v>84</v>
      </c>
      <c r="V9" t="s">
        <v>85</v>
      </c>
      <c r="W9">
        <v>1.8</v>
      </c>
      <c r="X9" t="s">
        <v>84</v>
      </c>
      <c r="Y9" t="s">
        <v>92</v>
      </c>
      <c r="Z9" t="s">
        <v>117</v>
      </c>
      <c r="AA9" t="s">
        <v>94</v>
      </c>
      <c r="AB9" t="s">
        <v>89</v>
      </c>
      <c r="AC9">
        <v>1158.7</v>
      </c>
      <c r="AD9" s="8" t="b">
        <f>AND(
 H9&gt;=Filters!$B$3,
 H9&lt;=Filters!$B$4,
 I9&gt;=Filters!$B$5,
 OR(Filters!$B$6="All",B9=Filters!$B$6),
 F9&gt;=Filters!$B$7,
 F9&lt;=Filters!$B$8,
 OR(Filters!$B$9="All",G9=Filters!$B$9)
)</f>
        <v>0</v>
      </c>
      <c r="AE9">
        <f t="shared" si="0"/>
        <v>6</v>
      </c>
      <c r="AF9">
        <f t="shared" si="1"/>
        <v>7</v>
      </c>
      <c r="AG9">
        <f t="shared" si="2"/>
        <v>7</v>
      </c>
      <c r="AH9" s="9" t="str">
        <f t="shared" si="3"/>
        <v/>
      </c>
      <c r="AI9" s="9" t="str">
        <f t="shared" si="4"/>
        <v/>
      </c>
      <c r="AJ9" s="9" t="str">
        <f t="shared" si="5"/>
        <v/>
      </c>
      <c r="AK9" s="9" t="str">
        <f t="shared" si="6"/>
        <v/>
      </c>
      <c r="AL9" s="9" t="str">
        <f t="shared" si="7"/>
        <v/>
      </c>
      <c r="AM9" s="9" t="str">
        <f t="shared" si="8"/>
        <v/>
      </c>
      <c r="AN9" s="9" t="str">
        <f t="shared" si="9"/>
        <v/>
      </c>
      <c r="AO9" s="9" t="str">
        <f t="shared" si="10"/>
        <v/>
      </c>
      <c r="AP9" s="9" t="str">
        <f t="shared" si="11"/>
        <v/>
      </c>
      <c r="AQ9" s="10" t="str">
        <f t="shared" si="12"/>
        <v/>
      </c>
    </row>
    <row r="10" spans="1:43">
      <c r="A10">
        <v>9</v>
      </c>
      <c r="B10" t="s">
        <v>21</v>
      </c>
      <c r="C10" t="s">
        <v>119</v>
      </c>
      <c r="D10" t="s">
        <v>120</v>
      </c>
      <c r="E10" t="s">
        <v>83</v>
      </c>
      <c r="G10" t="s">
        <v>18</v>
      </c>
      <c r="H10" s="4">
        <v>40365000</v>
      </c>
      <c r="I10" s="5">
        <v>512</v>
      </c>
      <c r="J10" s="5">
        <v>0</v>
      </c>
      <c r="K10" s="5">
        <v>16</v>
      </c>
      <c r="L10">
        <v>7.6</v>
      </c>
      <c r="M10">
        <v>6.5</v>
      </c>
      <c r="N10">
        <v>6</v>
      </c>
      <c r="O10" s="6">
        <v>14</v>
      </c>
      <c r="P10" s="7">
        <v>1.3</v>
      </c>
      <c r="U10" t="s">
        <v>84</v>
      </c>
      <c r="V10" t="s">
        <v>121</v>
      </c>
      <c r="W10">
        <v>1.8</v>
      </c>
      <c r="X10" t="s">
        <v>122</v>
      </c>
      <c r="Y10" t="s">
        <v>123</v>
      </c>
      <c r="Z10" t="s">
        <v>106</v>
      </c>
      <c r="AA10" t="s">
        <v>101</v>
      </c>
      <c r="AB10" t="s">
        <v>115</v>
      </c>
      <c r="AC10">
        <v>1495</v>
      </c>
      <c r="AD10" s="8" t="b">
        <f>AND(
 H10&gt;=Filters!$B$3,
 H10&lt;=Filters!$B$4,
 I10&gt;=Filters!$B$5,
 OR(Filters!$B$6="All",B10=Filters!$B$6),
 F10&gt;=Filters!$B$7,
 F10&lt;=Filters!$B$8,
 OR(Filters!$B$9="All",G10=Filters!$B$9)
)</f>
        <v>0</v>
      </c>
      <c r="AE10">
        <f t="shared" si="0"/>
        <v>6</v>
      </c>
      <c r="AF10">
        <f t="shared" si="1"/>
        <v>7</v>
      </c>
      <c r="AG10">
        <f t="shared" si="2"/>
        <v>7</v>
      </c>
      <c r="AH10" s="9" t="str">
        <f t="shared" si="3"/>
        <v/>
      </c>
      <c r="AI10" s="9" t="str">
        <f t="shared" si="4"/>
        <v/>
      </c>
      <c r="AJ10" s="9" t="str">
        <f t="shared" si="5"/>
        <v/>
      </c>
      <c r="AK10" s="9" t="str">
        <f t="shared" si="6"/>
        <v/>
      </c>
      <c r="AL10" s="9" t="str">
        <f t="shared" si="7"/>
        <v/>
      </c>
      <c r="AM10" s="9" t="str">
        <f t="shared" si="8"/>
        <v/>
      </c>
      <c r="AN10" s="9" t="str">
        <f t="shared" si="9"/>
        <v/>
      </c>
      <c r="AO10" s="9" t="str">
        <f t="shared" si="10"/>
        <v/>
      </c>
      <c r="AP10" s="9" t="str">
        <f t="shared" si="11"/>
        <v/>
      </c>
      <c r="AQ10" s="10" t="str">
        <f t="shared" si="12"/>
        <v/>
      </c>
    </row>
    <row r="11" spans="1:43">
      <c r="A11">
        <v>10</v>
      </c>
      <c r="B11" t="s">
        <v>17</v>
      </c>
      <c r="C11" t="s">
        <v>124</v>
      </c>
      <c r="D11" t="s">
        <v>125</v>
      </c>
      <c r="E11" t="s">
        <v>83</v>
      </c>
      <c r="G11" t="s">
        <v>18</v>
      </c>
      <c r="H11" s="4">
        <v>20790000</v>
      </c>
      <c r="I11" s="5">
        <v>256</v>
      </c>
      <c r="J11" s="5">
        <v>0</v>
      </c>
      <c r="K11" s="5">
        <v>8</v>
      </c>
      <c r="L11">
        <v>5.2</v>
      </c>
      <c r="M11">
        <v>3.8</v>
      </c>
      <c r="N11">
        <v>6.4</v>
      </c>
      <c r="O11" s="6">
        <v>14</v>
      </c>
      <c r="P11" s="7">
        <v>1.6</v>
      </c>
      <c r="U11" t="s">
        <v>84</v>
      </c>
      <c r="V11" t="s">
        <v>126</v>
      </c>
      <c r="W11">
        <v>1.6</v>
      </c>
      <c r="X11" t="s">
        <v>84</v>
      </c>
      <c r="Y11" t="s">
        <v>127</v>
      </c>
      <c r="Z11" t="s">
        <v>100</v>
      </c>
      <c r="AA11" t="s">
        <v>128</v>
      </c>
      <c r="AB11" t="s">
        <v>115</v>
      </c>
      <c r="AC11">
        <v>770</v>
      </c>
      <c r="AD11" s="8" t="b">
        <f>AND(
 H11&gt;=Filters!$B$3,
 H11&lt;=Filters!$B$4,
 I11&gt;=Filters!$B$5,
 OR(Filters!$B$6="All",B11=Filters!$B$6),
 F11&gt;=Filters!$B$7,
 F11&lt;=Filters!$B$8,
 OR(Filters!$B$9="All",G11=Filters!$B$9)
)</f>
        <v>1</v>
      </c>
      <c r="AE11">
        <f t="shared" si="0"/>
        <v>6</v>
      </c>
      <c r="AF11">
        <f t="shared" si="1"/>
        <v>7</v>
      </c>
      <c r="AG11">
        <f t="shared" si="2"/>
        <v>7</v>
      </c>
      <c r="AH11" s="9">
        <f t="shared" si="3"/>
        <v>0.47619047619047616</v>
      </c>
      <c r="AI11" s="9">
        <f t="shared" si="4"/>
        <v>0.80952380952380942</v>
      </c>
      <c r="AJ11" s="9">
        <f t="shared" si="5"/>
        <v>0.30952380952380948</v>
      </c>
      <c r="AK11" s="9">
        <f t="shared" si="6"/>
        <v>0.61904761904761907</v>
      </c>
      <c r="AL11" s="9">
        <f t="shared" si="7"/>
        <v>0.95238095238095233</v>
      </c>
      <c r="AM11" s="9">
        <f t="shared" si="8"/>
        <v>0.5714285714285714</v>
      </c>
      <c r="AN11" s="9">
        <f t="shared" si="9"/>
        <v>0.69047619047619047</v>
      </c>
      <c r="AO11" s="9">
        <f t="shared" si="10"/>
        <v>0.69047619047619047</v>
      </c>
      <c r="AP11" s="9">
        <f t="shared" si="11"/>
        <v>0.63302951836007626</v>
      </c>
      <c r="AQ11" s="10">
        <f t="shared" si="12"/>
        <v>0.63302952936007628</v>
      </c>
    </row>
    <row r="12" spans="1:43">
      <c r="A12">
        <v>11</v>
      </c>
      <c r="B12" t="s">
        <v>26</v>
      </c>
      <c r="C12" t="s">
        <v>95</v>
      </c>
      <c r="D12" t="s">
        <v>96</v>
      </c>
      <c r="E12" t="s">
        <v>97</v>
      </c>
      <c r="G12" t="s">
        <v>18</v>
      </c>
      <c r="H12" s="4">
        <v>10635300</v>
      </c>
      <c r="I12" s="5">
        <v>0</v>
      </c>
      <c r="J12" s="5">
        <v>500</v>
      </c>
      <c r="K12" s="5">
        <v>4</v>
      </c>
      <c r="L12">
        <v>7</v>
      </c>
      <c r="M12">
        <v>3.5</v>
      </c>
      <c r="N12">
        <v>3.92</v>
      </c>
      <c r="O12" s="6">
        <v>15.6</v>
      </c>
      <c r="P12" s="7">
        <v>1.86</v>
      </c>
      <c r="U12" t="s">
        <v>84</v>
      </c>
      <c r="V12" t="s">
        <v>98</v>
      </c>
      <c r="W12">
        <v>2.5</v>
      </c>
      <c r="X12" t="s">
        <v>84</v>
      </c>
      <c r="Y12" t="s">
        <v>99</v>
      </c>
      <c r="Z12" t="s">
        <v>113</v>
      </c>
      <c r="AA12" t="s">
        <v>114</v>
      </c>
      <c r="AB12" t="s">
        <v>102</v>
      </c>
      <c r="AC12">
        <v>393.9</v>
      </c>
      <c r="AD12" s="8" t="b">
        <f>AND(
 H12&gt;=Filters!$B$3,
 H12&lt;=Filters!$B$4,
 I12&gt;=Filters!$B$5,
 OR(Filters!$B$6="All",B12=Filters!$B$6),
 F12&gt;=Filters!$B$7,
 F12&lt;=Filters!$B$8,
 OR(Filters!$B$9="All",G12=Filters!$B$9)
)</f>
        <v>0</v>
      </c>
      <c r="AE12">
        <f t="shared" si="0"/>
        <v>6</v>
      </c>
      <c r="AF12">
        <f t="shared" si="1"/>
        <v>7</v>
      </c>
      <c r="AG12">
        <f t="shared" si="2"/>
        <v>7</v>
      </c>
      <c r="AH12" s="9" t="str">
        <f t="shared" si="3"/>
        <v/>
      </c>
      <c r="AI12" s="9" t="str">
        <f t="shared" si="4"/>
        <v/>
      </c>
      <c r="AJ12" s="9" t="str">
        <f t="shared" si="5"/>
        <v/>
      </c>
      <c r="AK12" s="9" t="str">
        <f t="shared" si="6"/>
        <v/>
      </c>
      <c r="AL12" s="9" t="str">
        <f t="shared" si="7"/>
        <v/>
      </c>
      <c r="AM12" s="9" t="str">
        <f t="shared" si="8"/>
        <v/>
      </c>
      <c r="AN12" s="9" t="str">
        <f t="shared" si="9"/>
        <v/>
      </c>
      <c r="AO12" s="9" t="str">
        <f t="shared" si="10"/>
        <v/>
      </c>
      <c r="AP12" s="9" t="str">
        <f t="shared" si="11"/>
        <v/>
      </c>
      <c r="AQ12" s="10" t="str">
        <f t="shared" si="12"/>
        <v/>
      </c>
    </row>
    <row r="13" spans="1:43">
      <c r="A13">
        <v>12</v>
      </c>
      <c r="B13" t="s">
        <v>26</v>
      </c>
      <c r="C13" t="s">
        <v>95</v>
      </c>
      <c r="D13" t="s">
        <v>96</v>
      </c>
      <c r="E13" t="s">
        <v>97</v>
      </c>
      <c r="G13" t="s">
        <v>18</v>
      </c>
      <c r="H13" s="4">
        <v>9314730</v>
      </c>
      <c r="I13" s="5">
        <v>0</v>
      </c>
      <c r="J13" s="5">
        <v>500</v>
      </c>
      <c r="K13" s="5">
        <v>4</v>
      </c>
      <c r="L13">
        <v>4</v>
      </c>
      <c r="M13">
        <v>3.5</v>
      </c>
      <c r="N13">
        <v>5.92</v>
      </c>
      <c r="O13" s="6">
        <v>15.6</v>
      </c>
      <c r="P13" s="7">
        <v>1.86</v>
      </c>
      <c r="U13" t="s">
        <v>84</v>
      </c>
      <c r="V13" t="s">
        <v>129</v>
      </c>
      <c r="W13">
        <v>2</v>
      </c>
      <c r="X13" t="s">
        <v>84</v>
      </c>
      <c r="Y13" t="s">
        <v>130</v>
      </c>
      <c r="Z13" t="s">
        <v>113</v>
      </c>
      <c r="AA13" t="s">
        <v>101</v>
      </c>
      <c r="AB13" t="s">
        <v>102</v>
      </c>
      <c r="AC13">
        <v>344.99</v>
      </c>
      <c r="AD13" s="8" t="b">
        <f>AND(
 H13&gt;=Filters!$B$3,
 H13&lt;=Filters!$B$4,
 I13&gt;=Filters!$B$5,
 OR(Filters!$B$6="All",B13=Filters!$B$6),
 F13&gt;=Filters!$B$7,
 F13&lt;=Filters!$B$8,
 OR(Filters!$B$9="All",G13=Filters!$B$9)
)</f>
        <v>0</v>
      </c>
      <c r="AE13">
        <f t="shared" si="0"/>
        <v>6</v>
      </c>
      <c r="AF13">
        <f t="shared" si="1"/>
        <v>7</v>
      </c>
      <c r="AG13">
        <f t="shared" si="2"/>
        <v>7</v>
      </c>
      <c r="AH13" s="9" t="str">
        <f t="shared" si="3"/>
        <v/>
      </c>
      <c r="AI13" s="9" t="str">
        <f t="shared" si="4"/>
        <v/>
      </c>
      <c r="AJ13" s="9" t="str">
        <f t="shared" si="5"/>
        <v/>
      </c>
      <c r="AK13" s="9" t="str">
        <f t="shared" si="6"/>
        <v/>
      </c>
      <c r="AL13" s="9" t="str">
        <f t="shared" si="7"/>
        <v/>
      </c>
      <c r="AM13" s="9" t="str">
        <f t="shared" si="8"/>
        <v/>
      </c>
      <c r="AN13" s="9" t="str">
        <f t="shared" si="9"/>
        <v/>
      </c>
      <c r="AO13" s="9" t="str">
        <f t="shared" si="10"/>
        <v/>
      </c>
      <c r="AP13" s="9" t="str">
        <f t="shared" si="11"/>
        <v/>
      </c>
      <c r="AQ13" s="10" t="str">
        <f t="shared" si="12"/>
        <v/>
      </c>
    </row>
    <row r="14" spans="1:43">
      <c r="A14">
        <v>13</v>
      </c>
      <c r="B14" t="s">
        <v>19</v>
      </c>
      <c r="C14" t="s">
        <v>81</v>
      </c>
      <c r="D14" t="s">
        <v>82</v>
      </c>
      <c r="E14" t="s">
        <v>83</v>
      </c>
      <c r="G14" t="s">
        <v>18</v>
      </c>
      <c r="H14" s="4">
        <v>65879190</v>
      </c>
      <c r="I14" s="5">
        <v>256</v>
      </c>
      <c r="J14" s="5">
        <v>0</v>
      </c>
      <c r="K14" s="5">
        <v>16</v>
      </c>
      <c r="L14">
        <v>9.6</v>
      </c>
      <c r="M14">
        <v>7.2</v>
      </c>
      <c r="N14">
        <v>8.73</v>
      </c>
      <c r="O14" s="6">
        <v>15.4</v>
      </c>
      <c r="P14" s="7">
        <v>1.83</v>
      </c>
      <c r="U14" t="s">
        <v>84</v>
      </c>
      <c r="V14" t="s">
        <v>103</v>
      </c>
      <c r="W14">
        <v>2.8</v>
      </c>
      <c r="X14" t="s">
        <v>104</v>
      </c>
      <c r="Y14" t="s">
        <v>131</v>
      </c>
      <c r="Z14" t="s">
        <v>100</v>
      </c>
      <c r="AA14" t="s">
        <v>107</v>
      </c>
      <c r="AB14" t="s">
        <v>89</v>
      </c>
      <c r="AC14">
        <v>2439.9699999999998</v>
      </c>
      <c r="AD14" s="8" t="b">
        <f>AND(
 H14&gt;=Filters!$B$3,
 H14&lt;=Filters!$B$4,
 I14&gt;=Filters!$B$5,
 OR(Filters!$B$6="All",B14=Filters!$B$6),
 F14&gt;=Filters!$B$7,
 F14&lt;=Filters!$B$8,
 OR(Filters!$B$9="All",G14=Filters!$B$9)
)</f>
        <v>0</v>
      </c>
      <c r="AE14">
        <f t="shared" si="0"/>
        <v>6</v>
      </c>
      <c r="AF14">
        <f t="shared" si="1"/>
        <v>7</v>
      </c>
      <c r="AG14">
        <f t="shared" si="2"/>
        <v>7</v>
      </c>
      <c r="AH14" s="9" t="str">
        <f t="shared" si="3"/>
        <v/>
      </c>
      <c r="AI14" s="9" t="str">
        <f t="shared" si="4"/>
        <v/>
      </c>
      <c r="AJ14" s="9" t="str">
        <f t="shared" si="5"/>
        <v/>
      </c>
      <c r="AK14" s="9" t="str">
        <f t="shared" si="6"/>
        <v/>
      </c>
      <c r="AL14" s="9" t="str">
        <f t="shared" si="7"/>
        <v/>
      </c>
      <c r="AM14" s="9" t="str">
        <f t="shared" si="8"/>
        <v/>
      </c>
      <c r="AN14" s="9" t="str">
        <f t="shared" si="9"/>
        <v/>
      </c>
      <c r="AO14" s="9" t="str">
        <f t="shared" si="10"/>
        <v/>
      </c>
      <c r="AP14" s="9" t="str">
        <f t="shared" si="11"/>
        <v/>
      </c>
      <c r="AQ14" s="10" t="str">
        <f t="shared" si="12"/>
        <v/>
      </c>
    </row>
    <row r="15" spans="1:43">
      <c r="A15">
        <v>14</v>
      </c>
      <c r="B15" t="s">
        <v>23</v>
      </c>
      <c r="C15" t="s">
        <v>132</v>
      </c>
      <c r="D15" t="s">
        <v>133</v>
      </c>
      <c r="E15" t="s">
        <v>97</v>
      </c>
      <c r="G15" t="s">
        <v>18</v>
      </c>
      <c r="H15" s="4">
        <v>13470300</v>
      </c>
      <c r="I15" s="5">
        <v>256</v>
      </c>
      <c r="J15" s="5">
        <v>0</v>
      </c>
      <c r="K15" s="5">
        <v>4</v>
      </c>
      <c r="L15">
        <v>4</v>
      </c>
      <c r="M15">
        <v>6.5</v>
      </c>
      <c r="N15">
        <v>5.92</v>
      </c>
      <c r="O15" s="6">
        <v>15.6</v>
      </c>
      <c r="P15" s="7">
        <v>2.2000000000000002</v>
      </c>
      <c r="U15" t="s">
        <v>84</v>
      </c>
      <c r="V15" t="s">
        <v>129</v>
      </c>
      <c r="W15">
        <v>2</v>
      </c>
      <c r="X15" t="s">
        <v>104</v>
      </c>
      <c r="Y15" t="s">
        <v>134</v>
      </c>
      <c r="Z15" t="s">
        <v>100</v>
      </c>
      <c r="AA15" t="s">
        <v>101</v>
      </c>
      <c r="AB15" t="s">
        <v>115</v>
      </c>
      <c r="AC15">
        <v>498.9</v>
      </c>
      <c r="AD15" s="8" t="b">
        <f>AND(
 H15&gt;=Filters!$B$3,
 H15&lt;=Filters!$B$4,
 I15&gt;=Filters!$B$5,
 OR(Filters!$B$6="All",B15=Filters!$B$6),
 F15&gt;=Filters!$B$7,
 F15&lt;=Filters!$B$8,
 OR(Filters!$B$9="All",G15=Filters!$B$9)
)</f>
        <v>1</v>
      </c>
      <c r="AE15">
        <f t="shared" si="0"/>
        <v>6</v>
      </c>
      <c r="AF15">
        <f t="shared" si="1"/>
        <v>7</v>
      </c>
      <c r="AG15">
        <f t="shared" si="2"/>
        <v>7</v>
      </c>
      <c r="AH15" s="9">
        <f t="shared" si="3"/>
        <v>0.33333333333333331</v>
      </c>
      <c r="AI15" s="9">
        <f t="shared" si="4"/>
        <v>0.33333333333333331</v>
      </c>
      <c r="AJ15" s="9">
        <f t="shared" si="5"/>
        <v>0.63095238095238093</v>
      </c>
      <c r="AK15" s="9">
        <f t="shared" si="6"/>
        <v>0.56190476190476191</v>
      </c>
      <c r="AL15" s="9">
        <f t="shared" si="7"/>
        <v>0.88095238095238082</v>
      </c>
      <c r="AM15" s="9">
        <f t="shared" si="8"/>
        <v>0.5714285714285714</v>
      </c>
      <c r="AN15" s="9">
        <f t="shared" si="9"/>
        <v>0.69047619047619047</v>
      </c>
      <c r="AO15" s="9">
        <f t="shared" si="10"/>
        <v>0.69047619047619047</v>
      </c>
      <c r="AP15" s="9">
        <f t="shared" si="11"/>
        <v>0.52929524455260701</v>
      </c>
      <c r="AQ15" s="10">
        <f t="shared" si="12"/>
        <v>0.52929525955260703</v>
      </c>
    </row>
    <row r="16" spans="1:43">
      <c r="A16">
        <v>15</v>
      </c>
      <c r="B16" t="s">
        <v>19</v>
      </c>
      <c r="C16" t="s">
        <v>135</v>
      </c>
      <c r="D16" t="s">
        <v>136</v>
      </c>
      <c r="E16" t="s">
        <v>83</v>
      </c>
      <c r="G16" t="s">
        <v>18</v>
      </c>
      <c r="H16" s="4">
        <v>34084800</v>
      </c>
      <c r="I16" s="5">
        <v>256</v>
      </c>
      <c r="J16" s="5">
        <v>0</v>
      </c>
      <c r="K16" s="5">
        <v>8</v>
      </c>
      <c r="L16">
        <v>3.4</v>
      </c>
      <c r="M16">
        <v>3.5</v>
      </c>
      <c r="N16">
        <v>7.9</v>
      </c>
      <c r="O16" s="6">
        <v>12</v>
      </c>
      <c r="P16" s="7">
        <v>0.92</v>
      </c>
      <c r="U16" t="s">
        <v>84</v>
      </c>
      <c r="V16" t="s">
        <v>137</v>
      </c>
      <c r="W16">
        <v>1.2</v>
      </c>
      <c r="X16" t="s">
        <v>84</v>
      </c>
      <c r="Y16" t="s">
        <v>138</v>
      </c>
      <c r="Z16" t="s">
        <v>100</v>
      </c>
      <c r="AA16" t="s">
        <v>139</v>
      </c>
      <c r="AB16" t="s">
        <v>89</v>
      </c>
      <c r="AC16">
        <v>1262.4000000000001</v>
      </c>
      <c r="AD16" s="8" t="b">
        <f>AND(
 H16&gt;=Filters!$B$3,
 H16&lt;=Filters!$B$4,
 I16&gt;=Filters!$B$5,
 OR(Filters!$B$6="All",B16=Filters!$B$6),
 F16&gt;=Filters!$B$7,
 F16&lt;=Filters!$B$8,
 OR(Filters!$B$9="All",G16=Filters!$B$9)
)</f>
        <v>0</v>
      </c>
      <c r="AE16">
        <f t="shared" si="0"/>
        <v>6</v>
      </c>
      <c r="AF16">
        <f t="shared" si="1"/>
        <v>7</v>
      </c>
      <c r="AG16">
        <f t="shared" si="2"/>
        <v>7</v>
      </c>
      <c r="AH16" s="9" t="str">
        <f t="shared" si="3"/>
        <v/>
      </c>
      <c r="AI16" s="9" t="str">
        <f t="shared" si="4"/>
        <v/>
      </c>
      <c r="AJ16" s="9" t="str">
        <f t="shared" si="5"/>
        <v/>
      </c>
      <c r="AK16" s="9" t="str">
        <f t="shared" si="6"/>
        <v/>
      </c>
      <c r="AL16" s="9" t="str">
        <f t="shared" si="7"/>
        <v/>
      </c>
      <c r="AM16" s="9" t="str">
        <f t="shared" si="8"/>
        <v/>
      </c>
      <c r="AN16" s="9" t="str">
        <f t="shared" si="9"/>
        <v/>
      </c>
      <c r="AO16" s="9" t="str">
        <f t="shared" si="10"/>
        <v/>
      </c>
      <c r="AP16" s="9" t="str">
        <f t="shared" si="11"/>
        <v/>
      </c>
      <c r="AQ16" s="10" t="str">
        <f t="shared" si="12"/>
        <v/>
      </c>
    </row>
    <row r="17" spans="1:43">
      <c r="A17">
        <v>16</v>
      </c>
      <c r="B17" t="s">
        <v>19</v>
      </c>
      <c r="C17" t="s">
        <v>81</v>
      </c>
      <c r="D17" t="s">
        <v>82</v>
      </c>
      <c r="E17" t="s">
        <v>83</v>
      </c>
      <c r="G17" t="s">
        <v>18</v>
      </c>
      <c r="H17" s="4">
        <v>41000850</v>
      </c>
      <c r="I17" s="5">
        <v>256</v>
      </c>
      <c r="J17" s="5">
        <v>0</v>
      </c>
      <c r="K17" s="5">
        <v>8</v>
      </c>
      <c r="L17">
        <v>6.6</v>
      </c>
      <c r="M17">
        <v>4.2</v>
      </c>
      <c r="N17">
        <v>8.76</v>
      </c>
      <c r="O17" s="6">
        <v>13.3</v>
      </c>
      <c r="P17" s="7">
        <v>1.37</v>
      </c>
      <c r="U17" t="s">
        <v>84</v>
      </c>
      <c r="V17" t="s">
        <v>85</v>
      </c>
      <c r="W17">
        <v>2.2999999999999998</v>
      </c>
      <c r="X17" t="s">
        <v>84</v>
      </c>
      <c r="Y17" t="s">
        <v>86</v>
      </c>
      <c r="Z17" t="s">
        <v>100</v>
      </c>
      <c r="AA17" t="s">
        <v>88</v>
      </c>
      <c r="AB17" t="s">
        <v>89</v>
      </c>
      <c r="AC17">
        <v>1518.55</v>
      </c>
      <c r="AD17" s="8" t="b">
        <f>AND(
 H17&gt;=Filters!$B$3,
 H17&lt;=Filters!$B$4,
 I17&gt;=Filters!$B$5,
 OR(Filters!$B$6="All",B17=Filters!$B$6),
 F17&gt;=Filters!$B$7,
 F17&lt;=Filters!$B$8,
 OR(Filters!$B$9="All",G17=Filters!$B$9)
)</f>
        <v>0</v>
      </c>
      <c r="AE17">
        <f t="shared" si="0"/>
        <v>6</v>
      </c>
      <c r="AF17">
        <f t="shared" si="1"/>
        <v>7</v>
      </c>
      <c r="AG17">
        <f t="shared" si="2"/>
        <v>7</v>
      </c>
      <c r="AH17" s="9" t="str">
        <f t="shared" si="3"/>
        <v/>
      </c>
      <c r="AI17" s="9" t="str">
        <f t="shared" si="4"/>
        <v/>
      </c>
      <c r="AJ17" s="9" t="str">
        <f t="shared" si="5"/>
        <v/>
      </c>
      <c r="AK17" s="9" t="str">
        <f t="shared" si="6"/>
        <v/>
      </c>
      <c r="AL17" s="9" t="str">
        <f t="shared" si="7"/>
        <v/>
      </c>
      <c r="AM17" s="9" t="str">
        <f t="shared" si="8"/>
        <v/>
      </c>
      <c r="AN17" s="9" t="str">
        <f t="shared" si="9"/>
        <v/>
      </c>
      <c r="AO17" s="9" t="str">
        <f t="shared" si="10"/>
        <v/>
      </c>
      <c r="AP17" s="9" t="str">
        <f t="shared" si="11"/>
        <v/>
      </c>
      <c r="AQ17" s="10" t="str">
        <f t="shared" si="12"/>
        <v/>
      </c>
    </row>
    <row r="18" spans="1:43">
      <c r="A18">
        <v>17</v>
      </c>
      <c r="B18" t="s">
        <v>23</v>
      </c>
      <c r="C18" t="s">
        <v>132</v>
      </c>
      <c r="D18" t="s">
        <v>133</v>
      </c>
      <c r="E18" t="s">
        <v>97</v>
      </c>
      <c r="G18" t="s">
        <v>18</v>
      </c>
      <c r="H18" s="4">
        <v>20115000</v>
      </c>
      <c r="I18" s="5">
        <v>256</v>
      </c>
      <c r="J18" s="5">
        <v>0</v>
      </c>
      <c r="K18" s="5">
        <v>8</v>
      </c>
      <c r="L18">
        <v>9.4</v>
      </c>
      <c r="M18">
        <v>6.5</v>
      </c>
      <c r="N18">
        <v>5.92</v>
      </c>
      <c r="O18" s="6">
        <v>15.6</v>
      </c>
      <c r="P18" s="7">
        <v>2.2000000000000002</v>
      </c>
      <c r="U18" t="s">
        <v>84</v>
      </c>
      <c r="V18" t="s">
        <v>140</v>
      </c>
      <c r="W18">
        <v>2.7</v>
      </c>
      <c r="X18" t="s">
        <v>104</v>
      </c>
      <c r="Y18" t="s">
        <v>134</v>
      </c>
      <c r="Z18" t="s">
        <v>100</v>
      </c>
      <c r="AA18" t="s">
        <v>101</v>
      </c>
      <c r="AB18" t="s">
        <v>115</v>
      </c>
      <c r="AC18">
        <v>745</v>
      </c>
      <c r="AD18" s="8" t="b">
        <f>AND(
 H18&gt;=Filters!$B$3,
 H18&lt;=Filters!$B$4,
 I18&gt;=Filters!$B$5,
 OR(Filters!$B$6="All",B18=Filters!$B$6),
 F18&gt;=Filters!$B$7,
 F18&lt;=Filters!$B$8,
 OR(Filters!$B$9="All",G18=Filters!$B$9)
)</f>
        <v>1</v>
      </c>
      <c r="AE18">
        <f t="shared" si="0"/>
        <v>6</v>
      </c>
      <c r="AF18">
        <f t="shared" si="1"/>
        <v>7</v>
      </c>
      <c r="AG18">
        <f t="shared" si="2"/>
        <v>7</v>
      </c>
      <c r="AH18" s="9">
        <f t="shared" si="3"/>
        <v>0.97619047619047628</v>
      </c>
      <c r="AI18" s="9">
        <f t="shared" si="4"/>
        <v>0.80952380952380942</v>
      </c>
      <c r="AJ18" s="9">
        <f t="shared" si="5"/>
        <v>0.63095238095238093</v>
      </c>
      <c r="AK18" s="9">
        <f t="shared" si="6"/>
        <v>0.56190476190476191</v>
      </c>
      <c r="AL18" s="9">
        <f t="shared" si="7"/>
        <v>0.88095238095238082</v>
      </c>
      <c r="AM18" s="9">
        <f t="shared" si="8"/>
        <v>0.5714285714285714</v>
      </c>
      <c r="AN18" s="9">
        <f t="shared" si="9"/>
        <v>0.69047619047619047</v>
      </c>
      <c r="AO18" s="9">
        <f t="shared" si="10"/>
        <v>0.69047619047619047</v>
      </c>
      <c r="AP18" s="9">
        <f t="shared" si="11"/>
        <v>0.75028731836960894</v>
      </c>
      <c r="AQ18" s="10">
        <f t="shared" si="12"/>
        <v>0.75028733636960898</v>
      </c>
    </row>
    <row r="19" spans="1:43">
      <c r="A19">
        <v>18</v>
      </c>
      <c r="B19" t="s">
        <v>19</v>
      </c>
      <c r="C19" t="s">
        <v>81</v>
      </c>
      <c r="D19" t="s">
        <v>82</v>
      </c>
      <c r="E19" t="s">
        <v>83</v>
      </c>
      <c r="G19" t="s">
        <v>18</v>
      </c>
      <c r="H19" s="4">
        <v>77166000</v>
      </c>
      <c r="I19" s="5">
        <v>512</v>
      </c>
      <c r="J19" s="5">
        <v>0</v>
      </c>
      <c r="K19" s="5">
        <v>16</v>
      </c>
      <c r="L19">
        <v>9.8000000000000007</v>
      </c>
      <c r="M19">
        <v>7.2</v>
      </c>
      <c r="N19">
        <v>8.73</v>
      </c>
      <c r="O19" s="6">
        <v>15.4</v>
      </c>
      <c r="P19" s="7">
        <v>1.83</v>
      </c>
      <c r="U19" t="s">
        <v>84</v>
      </c>
      <c r="V19" t="s">
        <v>103</v>
      </c>
      <c r="W19">
        <v>2.9</v>
      </c>
      <c r="X19" t="s">
        <v>104</v>
      </c>
      <c r="Y19" t="s">
        <v>141</v>
      </c>
      <c r="Z19" t="s">
        <v>106</v>
      </c>
      <c r="AA19" t="s">
        <v>107</v>
      </c>
      <c r="AB19" t="s">
        <v>89</v>
      </c>
      <c r="AC19">
        <v>2858</v>
      </c>
      <c r="AD19" s="8" t="b">
        <f>AND(
 H19&gt;=Filters!$B$3,
 H19&lt;=Filters!$B$4,
 I19&gt;=Filters!$B$5,
 OR(Filters!$B$6="All",B19=Filters!$B$6),
 F19&gt;=Filters!$B$7,
 F19&lt;=Filters!$B$8,
 OR(Filters!$B$9="All",G19=Filters!$B$9)
)</f>
        <v>0</v>
      </c>
      <c r="AE19">
        <f t="shared" si="0"/>
        <v>6</v>
      </c>
      <c r="AF19">
        <f t="shared" si="1"/>
        <v>7</v>
      </c>
      <c r="AG19">
        <f t="shared" si="2"/>
        <v>7</v>
      </c>
      <c r="AH19" s="9" t="str">
        <f t="shared" si="3"/>
        <v/>
      </c>
      <c r="AI19" s="9" t="str">
        <f t="shared" si="4"/>
        <v/>
      </c>
      <c r="AJ19" s="9" t="str">
        <f t="shared" si="5"/>
        <v/>
      </c>
      <c r="AK19" s="9" t="str">
        <f t="shared" si="6"/>
        <v/>
      </c>
      <c r="AL19" s="9" t="str">
        <f t="shared" si="7"/>
        <v/>
      </c>
      <c r="AM19" s="9" t="str">
        <f t="shared" si="8"/>
        <v/>
      </c>
      <c r="AN19" s="9" t="str">
        <f t="shared" si="9"/>
        <v/>
      </c>
      <c r="AO19" s="9" t="str">
        <f t="shared" si="10"/>
        <v/>
      </c>
      <c r="AP19" s="9" t="str">
        <f t="shared" si="11"/>
        <v/>
      </c>
      <c r="AQ19" s="10" t="str">
        <f t="shared" si="12"/>
        <v/>
      </c>
    </row>
    <row r="20" spans="1:43">
      <c r="A20">
        <v>19</v>
      </c>
      <c r="B20" t="s">
        <v>29</v>
      </c>
      <c r="C20" t="s">
        <v>142</v>
      </c>
      <c r="D20" t="s">
        <v>143</v>
      </c>
      <c r="E20" t="s">
        <v>97</v>
      </c>
      <c r="G20" t="s">
        <v>18</v>
      </c>
      <c r="H20" s="4">
        <v>13473000</v>
      </c>
      <c r="I20" s="5">
        <v>0</v>
      </c>
      <c r="J20" s="5">
        <v>1024</v>
      </c>
      <c r="K20" s="5">
        <v>8</v>
      </c>
      <c r="L20">
        <v>4.8</v>
      </c>
      <c r="M20">
        <v>6.5</v>
      </c>
      <c r="N20">
        <v>5.92</v>
      </c>
      <c r="O20" s="6">
        <v>15.6</v>
      </c>
      <c r="P20" s="7">
        <v>2.2000000000000002</v>
      </c>
      <c r="U20" t="s">
        <v>84</v>
      </c>
      <c r="V20" t="s">
        <v>144</v>
      </c>
      <c r="W20">
        <v>2.4</v>
      </c>
      <c r="X20" t="s">
        <v>122</v>
      </c>
      <c r="Y20" t="s">
        <v>145</v>
      </c>
      <c r="Z20" t="s">
        <v>146</v>
      </c>
      <c r="AA20" t="s">
        <v>101</v>
      </c>
      <c r="AB20" t="s">
        <v>102</v>
      </c>
      <c r="AC20">
        <v>499</v>
      </c>
      <c r="AD20" s="8" t="b">
        <f>AND(
 H20&gt;=Filters!$B$3,
 H20&lt;=Filters!$B$4,
 I20&gt;=Filters!$B$5,
 OR(Filters!$B$6="All",B20=Filters!$B$6),
 F20&gt;=Filters!$B$7,
 F20&lt;=Filters!$B$8,
 OR(Filters!$B$9="All",G20=Filters!$B$9)
)</f>
        <v>0</v>
      </c>
      <c r="AE20">
        <f t="shared" si="0"/>
        <v>6</v>
      </c>
      <c r="AF20">
        <f t="shared" si="1"/>
        <v>7</v>
      </c>
      <c r="AG20">
        <f t="shared" si="2"/>
        <v>7</v>
      </c>
      <c r="AH20" s="9" t="str">
        <f t="shared" si="3"/>
        <v/>
      </c>
      <c r="AI20" s="9" t="str">
        <f t="shared" si="4"/>
        <v/>
      </c>
      <c r="AJ20" s="9" t="str">
        <f t="shared" si="5"/>
        <v/>
      </c>
      <c r="AK20" s="9" t="str">
        <f t="shared" si="6"/>
        <v/>
      </c>
      <c r="AL20" s="9" t="str">
        <f t="shared" si="7"/>
        <v/>
      </c>
      <c r="AM20" s="9" t="str">
        <f t="shared" si="8"/>
        <v/>
      </c>
      <c r="AN20" s="9" t="str">
        <f t="shared" si="9"/>
        <v/>
      </c>
      <c r="AO20" s="9" t="str">
        <f t="shared" si="10"/>
        <v/>
      </c>
      <c r="AP20" s="9" t="str">
        <f t="shared" si="11"/>
        <v/>
      </c>
      <c r="AQ20" s="10" t="str">
        <f t="shared" si="12"/>
        <v/>
      </c>
    </row>
    <row r="21" spans="1:43">
      <c r="A21">
        <v>20</v>
      </c>
      <c r="B21" t="s">
        <v>23</v>
      </c>
      <c r="C21" t="s">
        <v>147</v>
      </c>
      <c r="D21" t="s">
        <v>148</v>
      </c>
      <c r="E21" t="s">
        <v>83</v>
      </c>
      <c r="G21" t="s">
        <v>18</v>
      </c>
      <c r="H21" s="4">
        <v>26433000</v>
      </c>
      <c r="I21" s="5">
        <v>128</v>
      </c>
      <c r="J21" s="5">
        <v>0</v>
      </c>
      <c r="K21" s="5">
        <v>8</v>
      </c>
      <c r="L21">
        <v>5.2</v>
      </c>
      <c r="M21">
        <v>3.8</v>
      </c>
      <c r="N21">
        <v>6.67</v>
      </c>
      <c r="O21" s="6">
        <v>13.3</v>
      </c>
      <c r="P21" s="7">
        <v>1.22</v>
      </c>
      <c r="U21" t="s">
        <v>84</v>
      </c>
      <c r="V21" t="s">
        <v>126</v>
      </c>
      <c r="W21">
        <v>1.6</v>
      </c>
      <c r="X21" t="s">
        <v>84</v>
      </c>
      <c r="Y21" t="s">
        <v>127</v>
      </c>
      <c r="Z21" t="s">
        <v>87</v>
      </c>
      <c r="AA21" t="s">
        <v>149</v>
      </c>
      <c r="AB21" t="s">
        <v>115</v>
      </c>
      <c r="AC21">
        <v>979</v>
      </c>
      <c r="AD21" s="8" t="b">
        <f>AND(
 H21&gt;=Filters!$B$3,
 H21&lt;=Filters!$B$4,
 I21&gt;=Filters!$B$5,
 OR(Filters!$B$6="All",B21=Filters!$B$6),
 F21&gt;=Filters!$B$7,
 F21&lt;=Filters!$B$8,
 OR(Filters!$B$9="All",G21=Filters!$B$9)
)</f>
        <v>0</v>
      </c>
      <c r="AE21">
        <f t="shared" si="0"/>
        <v>6</v>
      </c>
      <c r="AF21">
        <f t="shared" si="1"/>
        <v>7</v>
      </c>
      <c r="AG21">
        <f t="shared" si="2"/>
        <v>7</v>
      </c>
      <c r="AH21" s="9" t="str">
        <f t="shared" si="3"/>
        <v/>
      </c>
      <c r="AI21" s="9" t="str">
        <f t="shared" si="4"/>
        <v/>
      </c>
      <c r="AJ21" s="9" t="str">
        <f t="shared" si="5"/>
        <v/>
      </c>
      <c r="AK21" s="9" t="str">
        <f t="shared" si="6"/>
        <v/>
      </c>
      <c r="AL21" s="9" t="str">
        <f t="shared" si="7"/>
        <v/>
      </c>
      <c r="AM21" s="9" t="str">
        <f t="shared" si="8"/>
        <v/>
      </c>
      <c r="AN21" s="9" t="str">
        <f t="shared" si="9"/>
        <v/>
      </c>
      <c r="AO21" s="9" t="str">
        <f t="shared" si="10"/>
        <v/>
      </c>
      <c r="AP21" s="9" t="str">
        <f t="shared" si="11"/>
        <v/>
      </c>
      <c r="AQ21" s="10" t="str">
        <f t="shared" si="12"/>
        <v/>
      </c>
    </row>
    <row r="22" spans="1:43">
      <c r="A22">
        <v>21</v>
      </c>
      <c r="B22" t="s">
        <v>21</v>
      </c>
      <c r="C22" t="s">
        <v>150</v>
      </c>
      <c r="D22" t="s">
        <v>151</v>
      </c>
      <c r="E22" t="s">
        <v>152</v>
      </c>
      <c r="G22" t="s">
        <v>18</v>
      </c>
      <c r="H22" s="4">
        <v>5181300</v>
      </c>
      <c r="I22" s="5">
        <v>32</v>
      </c>
      <c r="J22" s="5">
        <v>0</v>
      </c>
      <c r="K22" s="5">
        <v>2</v>
      </c>
      <c r="L22">
        <v>1</v>
      </c>
      <c r="M22">
        <v>3.5</v>
      </c>
      <c r="N22">
        <v>3.88</v>
      </c>
      <c r="O22" s="6">
        <v>11.6</v>
      </c>
      <c r="P22" s="7">
        <v>0.98</v>
      </c>
      <c r="U22" t="s">
        <v>84</v>
      </c>
      <c r="V22" t="s">
        <v>153</v>
      </c>
      <c r="W22">
        <v>1.44</v>
      </c>
      <c r="X22" t="s">
        <v>84</v>
      </c>
      <c r="Y22" t="s">
        <v>154</v>
      </c>
      <c r="Z22" t="s">
        <v>155</v>
      </c>
      <c r="AA22" t="s">
        <v>114</v>
      </c>
      <c r="AB22" t="s">
        <v>115</v>
      </c>
      <c r="AC22">
        <v>191.9</v>
      </c>
      <c r="AD22" s="8" t="b">
        <f>AND(
 H22&gt;=Filters!$B$3,
 H22&lt;=Filters!$B$4,
 I22&gt;=Filters!$B$5,
 OR(Filters!$B$6="All",B22=Filters!$B$6),
 F22&gt;=Filters!$B$7,
 F22&lt;=Filters!$B$8,
 OR(Filters!$B$9="All",G22=Filters!$B$9)
)</f>
        <v>0</v>
      </c>
      <c r="AE22">
        <f t="shared" si="0"/>
        <v>6</v>
      </c>
      <c r="AF22">
        <f t="shared" si="1"/>
        <v>7</v>
      </c>
      <c r="AG22">
        <f t="shared" si="2"/>
        <v>7</v>
      </c>
      <c r="AH22" s="9" t="str">
        <f t="shared" si="3"/>
        <v/>
      </c>
      <c r="AI22" s="9" t="str">
        <f t="shared" si="4"/>
        <v/>
      </c>
      <c r="AJ22" s="9" t="str">
        <f t="shared" si="5"/>
        <v/>
      </c>
      <c r="AK22" s="9" t="str">
        <f t="shared" si="6"/>
        <v/>
      </c>
      <c r="AL22" s="9" t="str">
        <f t="shared" si="7"/>
        <v/>
      </c>
      <c r="AM22" s="9" t="str">
        <f t="shared" si="8"/>
        <v/>
      </c>
      <c r="AN22" s="9" t="str">
        <f t="shared" si="9"/>
        <v/>
      </c>
      <c r="AO22" s="9" t="str">
        <f t="shared" si="10"/>
        <v/>
      </c>
      <c r="AP22" s="9" t="str">
        <f t="shared" si="11"/>
        <v/>
      </c>
      <c r="AQ22" s="10" t="str">
        <f t="shared" si="12"/>
        <v/>
      </c>
    </row>
    <row r="23" spans="1:43">
      <c r="A23">
        <v>22</v>
      </c>
      <c r="B23" t="s">
        <v>29</v>
      </c>
      <c r="C23" t="s">
        <v>156</v>
      </c>
      <c r="D23" t="s">
        <v>157</v>
      </c>
      <c r="E23" t="s">
        <v>158</v>
      </c>
      <c r="G23" t="s">
        <v>18</v>
      </c>
      <c r="H23" s="4">
        <v>26973000</v>
      </c>
      <c r="I23" s="5">
        <v>128</v>
      </c>
      <c r="J23" s="5">
        <v>1024</v>
      </c>
      <c r="K23" s="5">
        <v>8</v>
      </c>
      <c r="L23">
        <v>7</v>
      </c>
      <c r="M23">
        <v>9.1999999999999993</v>
      </c>
      <c r="N23">
        <v>6.32</v>
      </c>
      <c r="O23" s="6">
        <v>15.6</v>
      </c>
      <c r="P23" s="7">
        <v>2.5</v>
      </c>
      <c r="U23" t="s">
        <v>84</v>
      </c>
      <c r="V23" t="s">
        <v>159</v>
      </c>
      <c r="W23">
        <v>2.5</v>
      </c>
      <c r="X23" t="s">
        <v>122</v>
      </c>
      <c r="Y23" t="s">
        <v>160</v>
      </c>
      <c r="Z23" t="s">
        <v>161</v>
      </c>
      <c r="AA23" t="s">
        <v>128</v>
      </c>
      <c r="AB23" t="s">
        <v>115</v>
      </c>
      <c r="AC23">
        <v>999</v>
      </c>
      <c r="AD23" s="8" t="b">
        <f>AND(
 H23&gt;=Filters!$B$3,
 H23&lt;=Filters!$B$4,
 I23&gt;=Filters!$B$5,
 OR(Filters!$B$6="All",B23=Filters!$B$6),
 F23&gt;=Filters!$B$7,
 F23&lt;=Filters!$B$8,
 OR(Filters!$B$9="All",G23=Filters!$B$9)
)</f>
        <v>0</v>
      </c>
      <c r="AE23">
        <f t="shared" si="0"/>
        <v>6</v>
      </c>
      <c r="AF23">
        <f t="shared" si="1"/>
        <v>7</v>
      </c>
      <c r="AG23">
        <f t="shared" si="2"/>
        <v>7</v>
      </c>
      <c r="AH23" s="9" t="str">
        <f t="shared" si="3"/>
        <v/>
      </c>
      <c r="AI23" s="9" t="str">
        <f t="shared" si="4"/>
        <v/>
      </c>
      <c r="AJ23" s="9" t="str">
        <f t="shared" si="5"/>
        <v/>
      </c>
      <c r="AK23" s="9" t="str">
        <f t="shared" si="6"/>
        <v/>
      </c>
      <c r="AL23" s="9" t="str">
        <f t="shared" si="7"/>
        <v/>
      </c>
      <c r="AM23" s="9" t="str">
        <f t="shared" si="8"/>
        <v/>
      </c>
      <c r="AN23" s="9" t="str">
        <f t="shared" si="9"/>
        <v/>
      </c>
      <c r="AO23" s="9" t="str">
        <f t="shared" si="10"/>
        <v/>
      </c>
      <c r="AP23" s="9" t="str">
        <f t="shared" si="11"/>
        <v/>
      </c>
      <c r="AQ23" s="10" t="str">
        <f t="shared" si="12"/>
        <v/>
      </c>
    </row>
    <row r="24" spans="1:43">
      <c r="A24">
        <v>23</v>
      </c>
      <c r="B24" t="s">
        <v>26</v>
      </c>
      <c r="C24" t="s">
        <v>162</v>
      </c>
      <c r="D24" t="s">
        <v>163</v>
      </c>
      <c r="E24" t="s">
        <v>97</v>
      </c>
      <c r="G24" t="s">
        <v>18</v>
      </c>
      <c r="H24" s="4">
        <v>6966000</v>
      </c>
      <c r="I24" s="5">
        <v>0</v>
      </c>
      <c r="J24" s="5">
        <v>500</v>
      </c>
      <c r="K24" s="5">
        <v>4</v>
      </c>
      <c r="L24">
        <v>4</v>
      </c>
      <c r="M24">
        <v>6.5</v>
      </c>
      <c r="N24">
        <v>3.92</v>
      </c>
      <c r="O24" s="6">
        <v>15.6</v>
      </c>
      <c r="P24" s="7">
        <v>1.86</v>
      </c>
      <c r="U24" t="s">
        <v>104</v>
      </c>
      <c r="V24" t="s">
        <v>164</v>
      </c>
      <c r="W24">
        <v>1.5</v>
      </c>
      <c r="X24" t="s">
        <v>104</v>
      </c>
      <c r="Y24" t="s">
        <v>165</v>
      </c>
      <c r="Z24" t="s">
        <v>113</v>
      </c>
      <c r="AA24" t="s">
        <v>114</v>
      </c>
      <c r="AB24" t="s">
        <v>102</v>
      </c>
      <c r="AC24">
        <v>258</v>
      </c>
      <c r="AD24" s="8" t="b">
        <f>AND(
 H24&gt;=Filters!$B$3,
 H24&lt;=Filters!$B$4,
 I24&gt;=Filters!$B$5,
 OR(Filters!$B$6="All",B24=Filters!$B$6),
 F24&gt;=Filters!$B$7,
 F24&lt;=Filters!$B$8,
 OR(Filters!$B$9="All",G24=Filters!$B$9)
)</f>
        <v>0</v>
      </c>
      <c r="AE24">
        <f t="shared" si="0"/>
        <v>6</v>
      </c>
      <c r="AF24">
        <f t="shared" si="1"/>
        <v>7</v>
      </c>
      <c r="AG24">
        <f t="shared" si="2"/>
        <v>7</v>
      </c>
      <c r="AH24" s="9" t="str">
        <f t="shared" si="3"/>
        <v/>
      </c>
      <c r="AI24" s="9" t="str">
        <f t="shared" si="4"/>
        <v/>
      </c>
      <c r="AJ24" s="9" t="str">
        <f t="shared" si="5"/>
        <v/>
      </c>
      <c r="AK24" s="9" t="str">
        <f t="shared" si="6"/>
        <v/>
      </c>
      <c r="AL24" s="9" t="str">
        <f t="shared" si="7"/>
        <v/>
      </c>
      <c r="AM24" s="9" t="str">
        <f t="shared" si="8"/>
        <v/>
      </c>
      <c r="AN24" s="9" t="str">
        <f t="shared" si="9"/>
        <v/>
      </c>
      <c r="AO24" s="9" t="str">
        <f t="shared" si="10"/>
        <v/>
      </c>
      <c r="AP24" s="9" t="str">
        <f t="shared" si="11"/>
        <v/>
      </c>
      <c r="AQ24" s="10" t="str">
        <f t="shared" si="12"/>
        <v/>
      </c>
    </row>
    <row r="25" spans="1:43">
      <c r="A25">
        <v>24</v>
      </c>
      <c r="B25" t="s">
        <v>23</v>
      </c>
      <c r="C25" t="s">
        <v>166</v>
      </c>
      <c r="D25" t="s">
        <v>167</v>
      </c>
      <c r="E25" t="s">
        <v>168</v>
      </c>
      <c r="G25" t="s">
        <v>18</v>
      </c>
      <c r="H25" s="4">
        <v>22113000</v>
      </c>
      <c r="I25" s="5">
        <v>256</v>
      </c>
      <c r="J25" s="5">
        <v>0</v>
      </c>
      <c r="K25" s="5">
        <v>8</v>
      </c>
      <c r="L25">
        <v>5.2</v>
      </c>
      <c r="M25">
        <v>3.8</v>
      </c>
      <c r="N25">
        <v>6.26</v>
      </c>
      <c r="O25" s="6">
        <v>13.3</v>
      </c>
      <c r="P25" s="7">
        <v>1.62</v>
      </c>
      <c r="U25" t="s">
        <v>84</v>
      </c>
      <c r="V25" t="s">
        <v>126</v>
      </c>
      <c r="W25">
        <v>1.6</v>
      </c>
      <c r="X25" t="s">
        <v>84</v>
      </c>
      <c r="Y25" t="s">
        <v>127</v>
      </c>
      <c r="Z25" t="s">
        <v>100</v>
      </c>
      <c r="AA25" t="s">
        <v>169</v>
      </c>
      <c r="AB25" t="s">
        <v>115</v>
      </c>
      <c r="AC25">
        <v>819</v>
      </c>
      <c r="AD25" s="8" t="b">
        <f>AND(
 H25&gt;=Filters!$B$3,
 H25&lt;=Filters!$B$4,
 I25&gt;=Filters!$B$5,
 OR(Filters!$B$6="All",B25=Filters!$B$6),
 F25&gt;=Filters!$B$7,
 F25&lt;=Filters!$B$8,
 OR(Filters!$B$9="All",G25=Filters!$B$9)
)</f>
        <v>1</v>
      </c>
      <c r="AE25">
        <f t="shared" si="0"/>
        <v>6</v>
      </c>
      <c r="AF25">
        <f t="shared" si="1"/>
        <v>7</v>
      </c>
      <c r="AG25">
        <f t="shared" si="2"/>
        <v>7</v>
      </c>
      <c r="AH25" s="9">
        <f t="shared" si="3"/>
        <v>0.47619047619047616</v>
      </c>
      <c r="AI25" s="9">
        <f t="shared" si="4"/>
        <v>0.80952380952380942</v>
      </c>
      <c r="AJ25" s="9">
        <f t="shared" si="5"/>
        <v>0.30952380952380948</v>
      </c>
      <c r="AK25" s="9">
        <f t="shared" si="6"/>
        <v>0.60238095238095235</v>
      </c>
      <c r="AL25" s="9">
        <f t="shared" si="7"/>
        <v>0.95</v>
      </c>
      <c r="AM25" s="9">
        <f t="shared" si="8"/>
        <v>0.5714285714285714</v>
      </c>
      <c r="AN25" s="9">
        <f t="shared" si="9"/>
        <v>0.69047619047619047</v>
      </c>
      <c r="AO25" s="9">
        <f t="shared" si="10"/>
        <v>0.69047619047619047</v>
      </c>
      <c r="AP25" s="9">
        <f t="shared" si="11"/>
        <v>0.63153768796777654</v>
      </c>
      <c r="AQ25" s="10">
        <f t="shared" si="12"/>
        <v>0.6315377129677765</v>
      </c>
    </row>
    <row r="26" spans="1:43">
      <c r="A26">
        <v>25</v>
      </c>
      <c r="B26" t="s">
        <v>26</v>
      </c>
      <c r="C26" t="s">
        <v>170</v>
      </c>
      <c r="D26" t="s">
        <v>171</v>
      </c>
      <c r="E26" t="s">
        <v>83</v>
      </c>
      <c r="G26" t="s">
        <v>18</v>
      </c>
      <c r="H26" s="4">
        <v>17793000</v>
      </c>
      <c r="I26" s="5">
        <v>256</v>
      </c>
      <c r="J26" s="5">
        <v>0</v>
      </c>
      <c r="K26" s="5">
        <v>8</v>
      </c>
      <c r="L26">
        <v>7.6</v>
      </c>
      <c r="M26">
        <v>3.5</v>
      </c>
      <c r="N26">
        <v>5.92</v>
      </c>
      <c r="O26" s="6">
        <v>15.6</v>
      </c>
      <c r="P26" s="7">
        <v>1.91</v>
      </c>
      <c r="U26" t="s">
        <v>84</v>
      </c>
      <c r="V26" t="s">
        <v>121</v>
      </c>
      <c r="W26">
        <v>1.8</v>
      </c>
      <c r="X26" t="s">
        <v>84</v>
      </c>
      <c r="Y26" t="s">
        <v>99</v>
      </c>
      <c r="Z26" t="s">
        <v>100</v>
      </c>
      <c r="AA26" t="s">
        <v>101</v>
      </c>
      <c r="AB26" t="s">
        <v>115</v>
      </c>
      <c r="AC26">
        <v>659</v>
      </c>
      <c r="AD26" s="8" t="b">
        <f>AND(
 H26&gt;=Filters!$B$3,
 H26&lt;=Filters!$B$4,
 I26&gt;=Filters!$B$5,
 OR(Filters!$B$6="All",B26=Filters!$B$6),
 F26&gt;=Filters!$B$7,
 F26&lt;=Filters!$B$8,
 OR(Filters!$B$9="All",G26=Filters!$B$9)
)</f>
        <v>1</v>
      </c>
      <c r="AE26">
        <f t="shared" si="0"/>
        <v>6</v>
      </c>
      <c r="AF26">
        <f t="shared" si="1"/>
        <v>7</v>
      </c>
      <c r="AG26">
        <f t="shared" si="2"/>
        <v>7</v>
      </c>
      <c r="AH26" s="9">
        <f t="shared" si="3"/>
        <v>0.76190476190476186</v>
      </c>
      <c r="AI26" s="9">
        <f t="shared" si="4"/>
        <v>0.80952380952380942</v>
      </c>
      <c r="AJ26" s="9">
        <f t="shared" si="5"/>
        <v>0.27380952380952378</v>
      </c>
      <c r="AK26" s="9">
        <f t="shared" si="6"/>
        <v>0.56190476190476191</v>
      </c>
      <c r="AL26" s="9">
        <f t="shared" si="7"/>
        <v>0.91547619047619033</v>
      </c>
      <c r="AM26" s="9">
        <f t="shared" si="8"/>
        <v>0.5714285714285714</v>
      </c>
      <c r="AN26" s="9">
        <f t="shared" si="9"/>
        <v>0.69047619047619047</v>
      </c>
      <c r="AO26" s="9">
        <f t="shared" si="10"/>
        <v>0.69047619047619047</v>
      </c>
      <c r="AP26" s="9">
        <f t="shared" si="11"/>
        <v>0.68379104275328351</v>
      </c>
      <c r="AQ26" s="10">
        <f t="shared" si="12"/>
        <v>0.68379106875328355</v>
      </c>
    </row>
    <row r="27" spans="1:43">
      <c r="A27">
        <v>26</v>
      </c>
      <c r="B27" t="s">
        <v>23</v>
      </c>
      <c r="C27" t="s">
        <v>132</v>
      </c>
      <c r="D27" t="s">
        <v>133</v>
      </c>
      <c r="E27" t="s">
        <v>97</v>
      </c>
      <c r="G27" t="s">
        <v>18</v>
      </c>
      <c r="H27" s="4">
        <v>11303280</v>
      </c>
      <c r="I27" s="5">
        <v>0</v>
      </c>
      <c r="J27" s="5">
        <v>1024</v>
      </c>
      <c r="K27" s="5">
        <v>4</v>
      </c>
      <c r="L27">
        <v>4</v>
      </c>
      <c r="M27">
        <v>3.5</v>
      </c>
      <c r="N27">
        <v>3.92</v>
      </c>
      <c r="O27" s="6">
        <v>15.6</v>
      </c>
      <c r="P27" s="7">
        <v>2.2999999999999998</v>
      </c>
      <c r="U27" t="s">
        <v>84</v>
      </c>
      <c r="V27" t="s">
        <v>129</v>
      </c>
      <c r="W27">
        <v>2</v>
      </c>
      <c r="X27" t="s">
        <v>84</v>
      </c>
      <c r="Y27" t="s">
        <v>130</v>
      </c>
      <c r="Z27" t="s">
        <v>146</v>
      </c>
      <c r="AA27" t="s">
        <v>114</v>
      </c>
      <c r="AB27" t="s">
        <v>115</v>
      </c>
      <c r="AC27">
        <v>418.64</v>
      </c>
      <c r="AD27" s="8" t="b">
        <f>AND(
 H27&gt;=Filters!$B$3,
 H27&lt;=Filters!$B$4,
 I27&gt;=Filters!$B$5,
 OR(Filters!$B$6="All",B27=Filters!$B$6),
 F27&gt;=Filters!$B$7,
 F27&lt;=Filters!$B$8,
 OR(Filters!$B$9="All",G27=Filters!$B$9)
)</f>
        <v>0</v>
      </c>
      <c r="AE27">
        <f t="shared" si="0"/>
        <v>6</v>
      </c>
      <c r="AF27">
        <f t="shared" si="1"/>
        <v>7</v>
      </c>
      <c r="AG27">
        <f t="shared" si="2"/>
        <v>7</v>
      </c>
      <c r="AH27" s="9" t="str">
        <f t="shared" si="3"/>
        <v/>
      </c>
      <c r="AI27" s="9" t="str">
        <f t="shared" si="4"/>
        <v/>
      </c>
      <c r="AJ27" s="9" t="str">
        <f t="shared" si="5"/>
        <v/>
      </c>
      <c r="AK27" s="9" t="str">
        <f t="shared" si="6"/>
        <v/>
      </c>
      <c r="AL27" s="9" t="str">
        <f t="shared" si="7"/>
        <v/>
      </c>
      <c r="AM27" s="9" t="str">
        <f t="shared" si="8"/>
        <v/>
      </c>
      <c r="AN27" s="9" t="str">
        <f t="shared" si="9"/>
        <v/>
      </c>
      <c r="AO27" s="9" t="str">
        <f t="shared" si="10"/>
        <v/>
      </c>
      <c r="AP27" s="9" t="str">
        <f t="shared" si="11"/>
        <v/>
      </c>
      <c r="AQ27" s="10" t="str">
        <f t="shared" si="12"/>
        <v/>
      </c>
    </row>
    <row r="28" spans="1:43">
      <c r="A28">
        <v>27</v>
      </c>
      <c r="B28" t="s">
        <v>19</v>
      </c>
      <c r="C28" t="s">
        <v>172</v>
      </c>
      <c r="D28" t="s">
        <v>173</v>
      </c>
      <c r="E28" t="s">
        <v>83</v>
      </c>
      <c r="G28" t="s">
        <v>18</v>
      </c>
      <c r="H28" s="4">
        <v>29673000</v>
      </c>
      <c r="I28" s="5">
        <v>128</v>
      </c>
      <c r="J28" s="5">
        <v>0</v>
      </c>
      <c r="K28" s="5">
        <v>8</v>
      </c>
      <c r="L28">
        <v>5.2</v>
      </c>
      <c r="M28">
        <v>3.5</v>
      </c>
      <c r="N28">
        <v>5.96</v>
      </c>
      <c r="O28" s="6">
        <v>13.3</v>
      </c>
      <c r="P28" s="7">
        <v>1.35</v>
      </c>
      <c r="U28" t="s">
        <v>84</v>
      </c>
      <c r="V28" t="s">
        <v>85</v>
      </c>
      <c r="W28">
        <v>1.6</v>
      </c>
      <c r="X28" t="s">
        <v>84</v>
      </c>
      <c r="Y28" t="s">
        <v>92</v>
      </c>
      <c r="Z28" t="s">
        <v>93</v>
      </c>
      <c r="AA28" t="s">
        <v>94</v>
      </c>
      <c r="AB28" t="s">
        <v>118</v>
      </c>
      <c r="AC28">
        <v>1099</v>
      </c>
      <c r="AD28" s="8" t="b">
        <f>AND(
 H28&gt;=Filters!$B$3,
 H28&lt;=Filters!$B$4,
 I28&gt;=Filters!$B$5,
 OR(Filters!$B$6="All",B28=Filters!$B$6),
 F28&gt;=Filters!$B$7,
 F28&lt;=Filters!$B$8,
 OR(Filters!$B$9="All",G28=Filters!$B$9)
)</f>
        <v>0</v>
      </c>
      <c r="AE28">
        <f t="shared" si="0"/>
        <v>6</v>
      </c>
      <c r="AF28">
        <f t="shared" si="1"/>
        <v>7</v>
      </c>
      <c r="AG28">
        <f t="shared" si="2"/>
        <v>7</v>
      </c>
      <c r="AH28" s="9" t="str">
        <f t="shared" si="3"/>
        <v/>
      </c>
      <c r="AI28" s="9" t="str">
        <f t="shared" si="4"/>
        <v/>
      </c>
      <c r="AJ28" s="9" t="str">
        <f t="shared" si="5"/>
        <v/>
      </c>
      <c r="AK28" s="9" t="str">
        <f t="shared" si="6"/>
        <v/>
      </c>
      <c r="AL28" s="9" t="str">
        <f t="shared" si="7"/>
        <v/>
      </c>
      <c r="AM28" s="9" t="str">
        <f t="shared" si="8"/>
        <v/>
      </c>
      <c r="AN28" s="9" t="str">
        <f t="shared" si="9"/>
        <v/>
      </c>
      <c r="AO28" s="9" t="str">
        <f t="shared" si="10"/>
        <v/>
      </c>
      <c r="AP28" s="9" t="str">
        <f t="shared" si="11"/>
        <v/>
      </c>
      <c r="AQ28" s="10" t="str">
        <f t="shared" si="12"/>
        <v/>
      </c>
    </row>
    <row r="29" spans="1:43">
      <c r="A29">
        <v>28</v>
      </c>
      <c r="B29" t="s">
        <v>23</v>
      </c>
      <c r="C29" t="s">
        <v>174</v>
      </c>
      <c r="D29" t="s">
        <v>175</v>
      </c>
      <c r="E29" t="s">
        <v>97</v>
      </c>
      <c r="G29" t="s">
        <v>18</v>
      </c>
      <c r="H29" s="4">
        <v>21600000</v>
      </c>
      <c r="I29" s="5">
        <v>256</v>
      </c>
      <c r="J29" s="5">
        <v>0</v>
      </c>
      <c r="K29" s="5">
        <v>8</v>
      </c>
      <c r="L29">
        <v>5.2</v>
      </c>
      <c r="M29">
        <v>6.5</v>
      </c>
      <c r="N29">
        <v>5.92</v>
      </c>
      <c r="O29" s="6">
        <v>15.6</v>
      </c>
      <c r="P29" s="7">
        <v>2.2000000000000002</v>
      </c>
      <c r="U29" t="s">
        <v>84</v>
      </c>
      <c r="V29" t="s">
        <v>126</v>
      </c>
      <c r="W29">
        <v>1.6</v>
      </c>
      <c r="X29" t="s">
        <v>104</v>
      </c>
      <c r="Y29" t="s">
        <v>176</v>
      </c>
      <c r="Z29" t="s">
        <v>100</v>
      </c>
      <c r="AA29" t="s">
        <v>101</v>
      </c>
      <c r="AB29" t="s">
        <v>115</v>
      </c>
      <c r="AC29">
        <v>800</v>
      </c>
      <c r="AD29" s="8" t="b">
        <f>AND(
 H29&gt;=Filters!$B$3,
 H29&lt;=Filters!$B$4,
 I29&gt;=Filters!$B$5,
 OR(Filters!$B$6="All",B29=Filters!$B$6),
 F29&gt;=Filters!$B$7,
 F29&lt;=Filters!$B$8,
 OR(Filters!$B$9="All",G29=Filters!$B$9)
)</f>
        <v>1</v>
      </c>
      <c r="AE29">
        <f t="shared" si="0"/>
        <v>6</v>
      </c>
      <c r="AF29">
        <f t="shared" si="1"/>
        <v>7</v>
      </c>
      <c r="AG29">
        <f t="shared" si="2"/>
        <v>7</v>
      </c>
      <c r="AH29" s="9">
        <f t="shared" si="3"/>
        <v>0.47619047619047616</v>
      </c>
      <c r="AI29" s="9">
        <f t="shared" si="4"/>
        <v>0.80952380952380942</v>
      </c>
      <c r="AJ29" s="9">
        <f t="shared" si="5"/>
        <v>0.63095238095238093</v>
      </c>
      <c r="AK29" s="9">
        <f t="shared" si="6"/>
        <v>0.56190476190476191</v>
      </c>
      <c r="AL29" s="9">
        <f t="shared" si="7"/>
        <v>0.88095238095238082</v>
      </c>
      <c r="AM29" s="9">
        <f t="shared" si="8"/>
        <v>0.5714285714285714</v>
      </c>
      <c r="AN29" s="9">
        <f t="shared" si="9"/>
        <v>0.69047619047619047</v>
      </c>
      <c r="AO29" s="9">
        <f t="shared" si="10"/>
        <v>0.69047619047619047</v>
      </c>
      <c r="AP29" s="9">
        <f t="shared" si="11"/>
        <v>0.64584333967408358</v>
      </c>
      <c r="AQ29" s="10">
        <f t="shared" si="12"/>
        <v>0.64584336867408354</v>
      </c>
    </row>
    <row r="30" spans="1:43">
      <c r="A30">
        <v>29</v>
      </c>
      <c r="B30" t="s">
        <v>23</v>
      </c>
      <c r="C30" t="s">
        <v>177</v>
      </c>
      <c r="D30" t="s">
        <v>178</v>
      </c>
      <c r="E30" t="s">
        <v>83</v>
      </c>
      <c r="G30" t="s">
        <v>18</v>
      </c>
      <c r="H30" s="4">
        <v>35046000</v>
      </c>
      <c r="I30" s="5">
        <v>512</v>
      </c>
      <c r="J30" s="5">
        <v>0</v>
      </c>
      <c r="K30" s="5">
        <v>8</v>
      </c>
      <c r="L30">
        <v>7.8</v>
      </c>
      <c r="M30">
        <v>3.8</v>
      </c>
      <c r="N30">
        <v>5.92</v>
      </c>
      <c r="O30" s="6">
        <v>15.6</v>
      </c>
      <c r="P30" s="7">
        <v>1.88</v>
      </c>
      <c r="U30" t="s">
        <v>84</v>
      </c>
      <c r="V30" t="s">
        <v>179</v>
      </c>
      <c r="W30">
        <v>1.9</v>
      </c>
      <c r="X30" t="s">
        <v>84</v>
      </c>
      <c r="Y30" t="s">
        <v>127</v>
      </c>
      <c r="Z30" t="s">
        <v>180</v>
      </c>
      <c r="AA30" t="s">
        <v>101</v>
      </c>
      <c r="AB30" t="s">
        <v>115</v>
      </c>
      <c r="AC30">
        <v>1298</v>
      </c>
      <c r="AD30" s="8" t="b">
        <f>AND(
 H30&gt;=Filters!$B$3,
 H30&lt;=Filters!$B$4,
 I30&gt;=Filters!$B$5,
 OR(Filters!$B$6="All",B30=Filters!$B$6),
 F30&gt;=Filters!$B$7,
 F30&lt;=Filters!$B$8,
 OR(Filters!$B$9="All",G30=Filters!$B$9)
)</f>
        <v>0</v>
      </c>
      <c r="AE30">
        <f t="shared" si="0"/>
        <v>6</v>
      </c>
      <c r="AF30">
        <f t="shared" si="1"/>
        <v>7</v>
      </c>
      <c r="AG30">
        <f t="shared" si="2"/>
        <v>7</v>
      </c>
      <c r="AH30" s="9" t="str">
        <f t="shared" si="3"/>
        <v/>
      </c>
      <c r="AI30" s="9" t="str">
        <f t="shared" si="4"/>
        <v/>
      </c>
      <c r="AJ30" s="9" t="str">
        <f t="shared" si="5"/>
        <v/>
      </c>
      <c r="AK30" s="9" t="str">
        <f t="shared" si="6"/>
        <v/>
      </c>
      <c r="AL30" s="9" t="str">
        <f t="shared" si="7"/>
        <v/>
      </c>
      <c r="AM30" s="9" t="str">
        <f t="shared" si="8"/>
        <v/>
      </c>
      <c r="AN30" s="9" t="str">
        <f t="shared" si="9"/>
        <v/>
      </c>
      <c r="AO30" s="9" t="str">
        <f t="shared" si="10"/>
        <v/>
      </c>
      <c r="AP30" s="9" t="str">
        <f t="shared" si="11"/>
        <v/>
      </c>
      <c r="AQ30" s="10" t="str">
        <f t="shared" si="12"/>
        <v/>
      </c>
    </row>
    <row r="31" spans="1:43">
      <c r="A31">
        <v>30</v>
      </c>
      <c r="B31" t="s">
        <v>26</v>
      </c>
      <c r="C31" t="s">
        <v>181</v>
      </c>
      <c r="D31" t="s">
        <v>182</v>
      </c>
      <c r="E31" t="s">
        <v>97</v>
      </c>
      <c r="G31" t="s">
        <v>18</v>
      </c>
      <c r="H31" s="4">
        <v>24192000</v>
      </c>
      <c r="I31" s="5">
        <v>0</v>
      </c>
      <c r="J31" s="5">
        <v>1024</v>
      </c>
      <c r="K31" s="5">
        <v>8</v>
      </c>
      <c r="L31">
        <v>5.2</v>
      </c>
      <c r="M31">
        <v>6.5</v>
      </c>
      <c r="N31">
        <v>5.83</v>
      </c>
      <c r="O31" s="6">
        <v>17.3</v>
      </c>
      <c r="P31" s="7">
        <v>2.5</v>
      </c>
      <c r="U31" t="s">
        <v>84</v>
      </c>
      <c r="V31" t="s">
        <v>126</v>
      </c>
      <c r="W31">
        <v>1.6</v>
      </c>
      <c r="X31" t="s">
        <v>122</v>
      </c>
      <c r="Y31" t="s">
        <v>183</v>
      </c>
      <c r="Z31" t="s">
        <v>146</v>
      </c>
      <c r="AA31" t="s">
        <v>101</v>
      </c>
      <c r="AB31" t="s">
        <v>115</v>
      </c>
      <c r="AC31">
        <v>896</v>
      </c>
      <c r="AD31" s="8" t="b">
        <f>AND(
 H31&gt;=Filters!$B$3,
 H31&lt;=Filters!$B$4,
 I31&gt;=Filters!$B$5,
 OR(Filters!$B$6="All",B31=Filters!$B$6),
 F31&gt;=Filters!$B$7,
 F31&lt;=Filters!$B$8,
 OR(Filters!$B$9="All",G31=Filters!$B$9)
)</f>
        <v>0</v>
      </c>
      <c r="AE31">
        <f t="shared" si="0"/>
        <v>6</v>
      </c>
      <c r="AF31">
        <f t="shared" si="1"/>
        <v>7</v>
      </c>
      <c r="AG31">
        <f t="shared" si="2"/>
        <v>7</v>
      </c>
      <c r="AH31" s="9" t="str">
        <f t="shared" si="3"/>
        <v/>
      </c>
      <c r="AI31" s="9" t="str">
        <f t="shared" si="4"/>
        <v/>
      </c>
      <c r="AJ31" s="9" t="str">
        <f t="shared" si="5"/>
        <v/>
      </c>
      <c r="AK31" s="9" t="str">
        <f t="shared" si="6"/>
        <v/>
      </c>
      <c r="AL31" s="9" t="str">
        <f t="shared" si="7"/>
        <v/>
      </c>
      <c r="AM31" s="9" t="str">
        <f t="shared" si="8"/>
        <v/>
      </c>
      <c r="AN31" s="9" t="str">
        <f t="shared" si="9"/>
        <v/>
      </c>
      <c r="AO31" s="9" t="str">
        <f t="shared" si="10"/>
        <v/>
      </c>
      <c r="AP31" s="9" t="str">
        <f t="shared" si="11"/>
        <v/>
      </c>
      <c r="AQ31" s="10" t="str">
        <f t="shared" si="12"/>
        <v/>
      </c>
    </row>
    <row r="32" spans="1:43">
      <c r="A32">
        <v>31</v>
      </c>
      <c r="B32" t="s">
        <v>22</v>
      </c>
      <c r="C32" t="s">
        <v>184</v>
      </c>
      <c r="D32" t="s">
        <v>185</v>
      </c>
      <c r="E32" t="s">
        <v>97</v>
      </c>
      <c r="G32" t="s">
        <v>18</v>
      </c>
      <c r="H32" s="4">
        <v>6614730</v>
      </c>
      <c r="I32" s="5">
        <v>64</v>
      </c>
      <c r="J32" s="5">
        <v>0</v>
      </c>
      <c r="K32" s="5">
        <v>4</v>
      </c>
      <c r="L32">
        <v>1</v>
      </c>
      <c r="M32">
        <v>3.5</v>
      </c>
      <c r="N32">
        <v>5.92</v>
      </c>
      <c r="O32" s="6">
        <v>15.6</v>
      </c>
      <c r="P32" s="7">
        <v>1.89</v>
      </c>
      <c r="U32" t="s">
        <v>84</v>
      </c>
      <c r="V32" t="s">
        <v>186</v>
      </c>
      <c r="W32">
        <v>1.44</v>
      </c>
      <c r="X32" t="s">
        <v>84</v>
      </c>
      <c r="Y32" t="s">
        <v>187</v>
      </c>
      <c r="Z32" t="s">
        <v>188</v>
      </c>
      <c r="AA32" t="s">
        <v>101</v>
      </c>
      <c r="AB32" t="s">
        <v>115</v>
      </c>
      <c r="AC32">
        <v>244.99</v>
      </c>
      <c r="AD32" s="8" t="b">
        <f>AND(
 H32&gt;=Filters!$B$3,
 H32&lt;=Filters!$B$4,
 I32&gt;=Filters!$B$5,
 OR(Filters!$B$6="All",B32=Filters!$B$6),
 F32&gt;=Filters!$B$7,
 F32&lt;=Filters!$B$8,
 OR(Filters!$B$9="All",G32=Filters!$B$9)
)</f>
        <v>0</v>
      </c>
      <c r="AE32">
        <f t="shared" si="0"/>
        <v>6</v>
      </c>
      <c r="AF32">
        <f t="shared" si="1"/>
        <v>7</v>
      </c>
      <c r="AG32">
        <f t="shared" si="2"/>
        <v>7</v>
      </c>
      <c r="AH32" s="9" t="str">
        <f t="shared" si="3"/>
        <v/>
      </c>
      <c r="AI32" s="9" t="str">
        <f t="shared" si="4"/>
        <v/>
      </c>
      <c r="AJ32" s="9" t="str">
        <f t="shared" si="5"/>
        <v/>
      </c>
      <c r="AK32" s="9" t="str">
        <f t="shared" si="6"/>
        <v/>
      </c>
      <c r="AL32" s="9" t="str">
        <f t="shared" si="7"/>
        <v/>
      </c>
      <c r="AM32" s="9" t="str">
        <f t="shared" si="8"/>
        <v/>
      </c>
      <c r="AN32" s="9" t="str">
        <f t="shared" si="9"/>
        <v/>
      </c>
      <c r="AO32" s="9" t="str">
        <f t="shared" si="10"/>
        <v/>
      </c>
      <c r="AP32" s="9" t="str">
        <f t="shared" si="11"/>
        <v/>
      </c>
      <c r="AQ32" s="10" t="str">
        <f t="shared" si="12"/>
        <v/>
      </c>
    </row>
    <row r="33" spans="1:43">
      <c r="A33">
        <v>32</v>
      </c>
      <c r="B33" t="s">
        <v>21</v>
      </c>
      <c r="C33" t="s">
        <v>189</v>
      </c>
      <c r="D33" t="s">
        <v>190</v>
      </c>
      <c r="E33" t="s">
        <v>97</v>
      </c>
      <c r="G33" t="s">
        <v>18</v>
      </c>
      <c r="H33" s="4">
        <v>5373000</v>
      </c>
      <c r="I33" s="5">
        <v>32</v>
      </c>
      <c r="J33" s="5">
        <v>0</v>
      </c>
      <c r="K33" s="5">
        <v>2</v>
      </c>
      <c r="L33">
        <v>4</v>
      </c>
      <c r="M33">
        <v>6.5</v>
      </c>
      <c r="N33">
        <v>4</v>
      </c>
      <c r="O33" s="6">
        <v>14</v>
      </c>
      <c r="P33" s="7">
        <v>1.65</v>
      </c>
      <c r="U33" t="s">
        <v>104</v>
      </c>
      <c r="V33" t="s">
        <v>191</v>
      </c>
      <c r="W33">
        <v>1.5</v>
      </c>
      <c r="X33" t="s">
        <v>104</v>
      </c>
      <c r="Y33" t="s">
        <v>165</v>
      </c>
      <c r="Z33" t="s">
        <v>155</v>
      </c>
      <c r="AA33" t="s">
        <v>114</v>
      </c>
      <c r="AB33" t="s">
        <v>115</v>
      </c>
      <c r="AC33">
        <v>199</v>
      </c>
      <c r="AD33" s="8" t="b">
        <f>AND(
 H33&gt;=Filters!$B$3,
 H33&lt;=Filters!$B$4,
 I33&gt;=Filters!$B$5,
 OR(Filters!$B$6="All",B33=Filters!$B$6),
 F33&gt;=Filters!$B$7,
 F33&lt;=Filters!$B$8,
 OR(Filters!$B$9="All",G33=Filters!$B$9)
)</f>
        <v>0</v>
      </c>
      <c r="AE33">
        <f t="shared" si="0"/>
        <v>6</v>
      </c>
      <c r="AF33">
        <f t="shared" si="1"/>
        <v>7</v>
      </c>
      <c r="AG33">
        <f t="shared" si="2"/>
        <v>7</v>
      </c>
      <c r="AH33" s="9" t="str">
        <f t="shared" si="3"/>
        <v/>
      </c>
      <c r="AI33" s="9" t="str">
        <f t="shared" si="4"/>
        <v/>
      </c>
      <c r="AJ33" s="9" t="str">
        <f t="shared" si="5"/>
        <v/>
      </c>
      <c r="AK33" s="9" t="str">
        <f t="shared" si="6"/>
        <v/>
      </c>
      <c r="AL33" s="9" t="str">
        <f t="shared" si="7"/>
        <v/>
      </c>
      <c r="AM33" s="9" t="str">
        <f t="shared" si="8"/>
        <v/>
      </c>
      <c r="AN33" s="9" t="str">
        <f t="shared" si="9"/>
        <v/>
      </c>
      <c r="AO33" s="9" t="str">
        <f t="shared" si="10"/>
        <v/>
      </c>
      <c r="AP33" s="9" t="str">
        <f t="shared" si="11"/>
        <v/>
      </c>
      <c r="AQ33" s="10" t="str">
        <f t="shared" si="12"/>
        <v/>
      </c>
    </row>
    <row r="34" spans="1:43">
      <c r="A34">
        <v>33</v>
      </c>
      <c r="B34" t="s">
        <v>26</v>
      </c>
      <c r="C34" t="s">
        <v>192</v>
      </c>
      <c r="D34" t="s">
        <v>193</v>
      </c>
      <c r="E34" t="s">
        <v>97</v>
      </c>
      <c r="G34" t="s">
        <v>18</v>
      </c>
      <c r="H34" s="4">
        <v>11853000</v>
      </c>
      <c r="I34" s="5">
        <v>0</v>
      </c>
      <c r="J34" s="5">
        <v>500</v>
      </c>
      <c r="K34" s="5">
        <v>4</v>
      </c>
      <c r="L34">
        <v>6</v>
      </c>
      <c r="M34">
        <v>6.5</v>
      </c>
      <c r="N34">
        <v>5.83</v>
      </c>
      <c r="O34" s="6">
        <v>17.3</v>
      </c>
      <c r="P34" s="7">
        <v>2.71</v>
      </c>
      <c r="U34" t="s">
        <v>104</v>
      </c>
      <c r="V34" t="s">
        <v>194</v>
      </c>
      <c r="W34">
        <v>2.5</v>
      </c>
      <c r="X34" t="s">
        <v>104</v>
      </c>
      <c r="Y34" t="s">
        <v>176</v>
      </c>
      <c r="Z34" t="s">
        <v>113</v>
      </c>
      <c r="AA34" t="s">
        <v>101</v>
      </c>
      <c r="AB34" t="s">
        <v>115</v>
      </c>
      <c r="AC34">
        <v>439</v>
      </c>
      <c r="AD34" s="8" t="b">
        <f>AND(
 H34&gt;=Filters!$B$3,
 H34&lt;=Filters!$B$4,
 I34&gt;=Filters!$B$5,
 OR(Filters!$B$6="All",B34=Filters!$B$6),
 F34&gt;=Filters!$B$7,
 F34&lt;=Filters!$B$8,
 OR(Filters!$B$9="All",G34=Filters!$B$9)
)</f>
        <v>0</v>
      </c>
      <c r="AE34">
        <f t="shared" si="0"/>
        <v>6</v>
      </c>
      <c r="AF34">
        <f t="shared" si="1"/>
        <v>7</v>
      </c>
      <c r="AG34">
        <f t="shared" si="2"/>
        <v>7</v>
      </c>
      <c r="AH34" s="9" t="str">
        <f t="shared" si="3"/>
        <v/>
      </c>
      <c r="AI34" s="9" t="str">
        <f t="shared" si="4"/>
        <v/>
      </c>
      <c r="AJ34" s="9" t="str">
        <f t="shared" si="5"/>
        <v/>
      </c>
      <c r="AK34" s="9" t="str">
        <f t="shared" si="6"/>
        <v/>
      </c>
      <c r="AL34" s="9" t="str">
        <f t="shared" si="7"/>
        <v/>
      </c>
      <c r="AM34" s="9" t="str">
        <f t="shared" si="8"/>
        <v/>
      </c>
      <c r="AN34" s="9" t="str">
        <f t="shared" si="9"/>
        <v/>
      </c>
      <c r="AO34" s="9" t="str">
        <f t="shared" si="10"/>
        <v/>
      </c>
      <c r="AP34" s="9" t="str">
        <f t="shared" si="11"/>
        <v/>
      </c>
      <c r="AQ34" s="10" t="str">
        <f t="shared" si="12"/>
        <v/>
      </c>
    </row>
    <row r="35" spans="1:43">
      <c r="A35">
        <v>34</v>
      </c>
      <c r="B35" t="s">
        <v>23</v>
      </c>
      <c r="C35" t="s">
        <v>147</v>
      </c>
      <c r="D35" t="s">
        <v>148</v>
      </c>
      <c r="E35" t="s">
        <v>83</v>
      </c>
      <c r="G35" t="s">
        <v>18</v>
      </c>
      <c r="H35" s="4">
        <v>50463000</v>
      </c>
      <c r="I35" s="5">
        <v>512</v>
      </c>
      <c r="J35" s="5">
        <v>0</v>
      </c>
      <c r="K35" s="5">
        <v>16</v>
      </c>
      <c r="L35">
        <v>7.6</v>
      </c>
      <c r="M35">
        <v>3.8</v>
      </c>
      <c r="N35">
        <v>8.4600000000000009</v>
      </c>
      <c r="O35" s="6">
        <v>13.3</v>
      </c>
      <c r="P35" s="7">
        <v>1.2</v>
      </c>
      <c r="U35" t="s">
        <v>84</v>
      </c>
      <c r="V35" t="s">
        <v>121</v>
      </c>
      <c r="W35">
        <v>1.8</v>
      </c>
      <c r="X35" t="s">
        <v>84</v>
      </c>
      <c r="Y35" t="s">
        <v>127</v>
      </c>
      <c r="Z35" t="s">
        <v>106</v>
      </c>
      <c r="AA35" t="s">
        <v>195</v>
      </c>
      <c r="AB35" t="s">
        <v>115</v>
      </c>
      <c r="AC35">
        <v>1869</v>
      </c>
      <c r="AD35" s="8" t="b">
        <f>AND(
 H35&gt;=Filters!$B$3,
 H35&lt;=Filters!$B$4,
 I35&gt;=Filters!$B$5,
 OR(Filters!$B$6="All",B35=Filters!$B$6),
 F35&gt;=Filters!$B$7,
 F35&lt;=Filters!$B$8,
 OR(Filters!$B$9="All",G35=Filters!$B$9)
)</f>
        <v>0</v>
      </c>
      <c r="AE35">
        <f t="shared" si="0"/>
        <v>6</v>
      </c>
      <c r="AF35">
        <f t="shared" si="1"/>
        <v>7</v>
      </c>
      <c r="AG35">
        <f t="shared" si="2"/>
        <v>7</v>
      </c>
      <c r="AH35" s="9" t="str">
        <f t="shared" si="3"/>
        <v/>
      </c>
      <c r="AI35" s="9" t="str">
        <f t="shared" si="4"/>
        <v/>
      </c>
      <c r="AJ35" s="9" t="str">
        <f t="shared" si="5"/>
        <v/>
      </c>
      <c r="AK35" s="9" t="str">
        <f t="shared" si="6"/>
        <v/>
      </c>
      <c r="AL35" s="9" t="str">
        <f t="shared" si="7"/>
        <v/>
      </c>
      <c r="AM35" s="9" t="str">
        <f t="shared" si="8"/>
        <v/>
      </c>
      <c r="AN35" s="9" t="str">
        <f t="shared" si="9"/>
        <v/>
      </c>
      <c r="AO35" s="9" t="str">
        <f t="shared" si="10"/>
        <v/>
      </c>
      <c r="AP35" s="9" t="str">
        <f t="shared" si="11"/>
        <v/>
      </c>
      <c r="AQ35" s="10" t="str">
        <f t="shared" si="12"/>
        <v/>
      </c>
    </row>
    <row r="36" spans="1:43">
      <c r="A36">
        <v>35</v>
      </c>
      <c r="B36" t="s">
        <v>19</v>
      </c>
      <c r="C36" t="s">
        <v>172</v>
      </c>
      <c r="D36" t="s">
        <v>173</v>
      </c>
      <c r="E36" t="s">
        <v>83</v>
      </c>
      <c r="G36" t="s">
        <v>18</v>
      </c>
      <c r="H36" s="4">
        <v>26946000</v>
      </c>
      <c r="I36" s="5">
        <v>256</v>
      </c>
      <c r="J36" s="5">
        <v>0</v>
      </c>
      <c r="K36" s="5">
        <v>8</v>
      </c>
      <c r="L36">
        <v>5.2</v>
      </c>
      <c r="M36">
        <v>3.5</v>
      </c>
      <c r="N36">
        <v>5.96</v>
      </c>
      <c r="O36" s="6">
        <v>13.3</v>
      </c>
      <c r="P36" s="7">
        <v>1.35</v>
      </c>
      <c r="U36" t="s">
        <v>84</v>
      </c>
      <c r="V36" t="s">
        <v>85</v>
      </c>
      <c r="W36">
        <v>1.6</v>
      </c>
      <c r="X36" t="s">
        <v>84</v>
      </c>
      <c r="Y36" t="s">
        <v>92</v>
      </c>
      <c r="Z36" t="s">
        <v>117</v>
      </c>
      <c r="AA36" t="s">
        <v>94</v>
      </c>
      <c r="AB36" t="s">
        <v>118</v>
      </c>
      <c r="AC36">
        <v>998</v>
      </c>
      <c r="AD36" s="8" t="b">
        <f>AND(
 H36&gt;=Filters!$B$3,
 H36&lt;=Filters!$B$4,
 I36&gt;=Filters!$B$5,
 OR(Filters!$B$6="All",B36=Filters!$B$6),
 F36&gt;=Filters!$B$7,
 F36&lt;=Filters!$B$8,
 OR(Filters!$B$9="All",G36=Filters!$B$9)
)</f>
        <v>0</v>
      </c>
      <c r="AE36">
        <f t="shared" si="0"/>
        <v>6</v>
      </c>
      <c r="AF36">
        <f t="shared" si="1"/>
        <v>7</v>
      </c>
      <c r="AG36">
        <f t="shared" si="2"/>
        <v>7</v>
      </c>
      <c r="AH36" s="9" t="str">
        <f t="shared" si="3"/>
        <v/>
      </c>
      <c r="AI36" s="9" t="str">
        <f t="shared" si="4"/>
        <v/>
      </c>
      <c r="AJ36" s="9" t="str">
        <f t="shared" si="5"/>
        <v/>
      </c>
      <c r="AK36" s="9" t="str">
        <f t="shared" si="6"/>
        <v/>
      </c>
      <c r="AL36" s="9" t="str">
        <f t="shared" si="7"/>
        <v/>
      </c>
      <c r="AM36" s="9" t="str">
        <f t="shared" si="8"/>
        <v/>
      </c>
      <c r="AN36" s="9" t="str">
        <f t="shared" si="9"/>
        <v/>
      </c>
      <c r="AO36" s="9" t="str">
        <f t="shared" si="10"/>
        <v/>
      </c>
      <c r="AP36" s="9" t="str">
        <f t="shared" si="11"/>
        <v/>
      </c>
      <c r="AQ36" s="10" t="str">
        <f t="shared" si="12"/>
        <v/>
      </c>
    </row>
    <row r="37" spans="1:43">
      <c r="A37">
        <v>36</v>
      </c>
      <c r="B37" t="s">
        <v>29</v>
      </c>
      <c r="C37" t="s">
        <v>196</v>
      </c>
      <c r="D37" t="s">
        <v>197</v>
      </c>
      <c r="E37" t="s">
        <v>97</v>
      </c>
      <c r="G37" t="s">
        <v>18</v>
      </c>
      <c r="H37" s="4">
        <v>6723000</v>
      </c>
      <c r="I37" s="5">
        <v>64</v>
      </c>
      <c r="J37" s="5">
        <v>0</v>
      </c>
      <c r="K37" s="5">
        <v>4</v>
      </c>
      <c r="L37">
        <v>1</v>
      </c>
      <c r="M37">
        <v>3.5</v>
      </c>
      <c r="N37">
        <v>4</v>
      </c>
      <c r="O37" s="6">
        <v>14</v>
      </c>
      <c r="P37" s="7">
        <v>1.44</v>
      </c>
      <c r="U37" t="s">
        <v>84</v>
      </c>
      <c r="V37" t="s">
        <v>198</v>
      </c>
      <c r="W37">
        <v>1.1000000000000001</v>
      </c>
      <c r="X37" t="s">
        <v>84</v>
      </c>
      <c r="Y37" t="s">
        <v>199</v>
      </c>
      <c r="Z37" t="s">
        <v>188</v>
      </c>
      <c r="AA37" t="s">
        <v>114</v>
      </c>
      <c r="AB37" t="s">
        <v>115</v>
      </c>
      <c r="AC37">
        <v>249</v>
      </c>
      <c r="AD37" s="8" t="b">
        <f>AND(
 H37&gt;=Filters!$B$3,
 H37&lt;=Filters!$B$4,
 I37&gt;=Filters!$B$5,
 OR(Filters!$B$6="All",B37=Filters!$B$6),
 F37&gt;=Filters!$B$7,
 F37&lt;=Filters!$B$8,
 OR(Filters!$B$9="All",G37=Filters!$B$9)
)</f>
        <v>0</v>
      </c>
      <c r="AE37">
        <f t="shared" si="0"/>
        <v>6</v>
      </c>
      <c r="AF37">
        <f t="shared" si="1"/>
        <v>7</v>
      </c>
      <c r="AG37">
        <f t="shared" si="2"/>
        <v>7</v>
      </c>
      <c r="AH37" s="9" t="str">
        <f t="shared" si="3"/>
        <v/>
      </c>
      <c r="AI37" s="9" t="str">
        <f t="shared" si="4"/>
        <v/>
      </c>
      <c r="AJ37" s="9" t="str">
        <f t="shared" si="5"/>
        <v/>
      </c>
      <c r="AK37" s="9" t="str">
        <f t="shared" si="6"/>
        <v/>
      </c>
      <c r="AL37" s="9" t="str">
        <f t="shared" si="7"/>
        <v/>
      </c>
      <c r="AM37" s="9" t="str">
        <f t="shared" si="8"/>
        <v/>
      </c>
      <c r="AN37" s="9" t="str">
        <f t="shared" si="9"/>
        <v/>
      </c>
      <c r="AO37" s="9" t="str">
        <f t="shared" si="10"/>
        <v/>
      </c>
      <c r="AP37" s="9" t="str">
        <f t="shared" si="11"/>
        <v/>
      </c>
      <c r="AQ37" s="10" t="str">
        <f t="shared" si="12"/>
        <v/>
      </c>
    </row>
    <row r="38" spans="1:43">
      <c r="A38">
        <v>37</v>
      </c>
      <c r="B38" t="s">
        <v>17</v>
      </c>
      <c r="C38" t="s">
        <v>109</v>
      </c>
      <c r="D38" t="s">
        <v>110</v>
      </c>
      <c r="E38" t="s">
        <v>97</v>
      </c>
      <c r="G38" t="s">
        <v>18</v>
      </c>
      <c r="H38" s="4">
        <v>9909000</v>
      </c>
      <c r="I38" s="5">
        <v>0</v>
      </c>
      <c r="J38" s="5">
        <v>1024</v>
      </c>
      <c r="K38" s="5">
        <v>4</v>
      </c>
      <c r="L38">
        <v>5.4</v>
      </c>
      <c r="M38">
        <v>3.5</v>
      </c>
      <c r="N38">
        <v>3.92</v>
      </c>
      <c r="O38" s="6">
        <v>15.6</v>
      </c>
      <c r="P38" s="7">
        <v>2.1</v>
      </c>
      <c r="U38" t="s">
        <v>84</v>
      </c>
      <c r="V38" t="s">
        <v>200</v>
      </c>
      <c r="W38">
        <v>2.7</v>
      </c>
      <c r="X38" t="s">
        <v>84</v>
      </c>
      <c r="Y38" t="s">
        <v>99</v>
      </c>
      <c r="Z38" t="s">
        <v>146</v>
      </c>
      <c r="AA38" t="s">
        <v>114</v>
      </c>
      <c r="AB38" t="s">
        <v>201</v>
      </c>
      <c r="AC38">
        <v>367</v>
      </c>
      <c r="AD38" s="8" t="b">
        <f>AND(
 H38&gt;=Filters!$B$3,
 H38&lt;=Filters!$B$4,
 I38&gt;=Filters!$B$5,
 OR(Filters!$B$6="All",B38=Filters!$B$6),
 F38&gt;=Filters!$B$7,
 F38&lt;=Filters!$B$8,
 OR(Filters!$B$9="All",G38=Filters!$B$9)
)</f>
        <v>0</v>
      </c>
      <c r="AE38">
        <f t="shared" si="0"/>
        <v>6</v>
      </c>
      <c r="AF38">
        <f t="shared" si="1"/>
        <v>7</v>
      </c>
      <c r="AG38">
        <f t="shared" si="2"/>
        <v>7</v>
      </c>
      <c r="AH38" s="9" t="str">
        <f t="shared" si="3"/>
        <v/>
      </c>
      <c r="AI38" s="9" t="str">
        <f t="shared" si="4"/>
        <v/>
      </c>
      <c r="AJ38" s="9" t="str">
        <f t="shared" si="5"/>
        <v/>
      </c>
      <c r="AK38" s="9" t="str">
        <f t="shared" si="6"/>
        <v/>
      </c>
      <c r="AL38" s="9" t="str">
        <f t="shared" si="7"/>
        <v/>
      </c>
      <c r="AM38" s="9" t="str">
        <f t="shared" si="8"/>
        <v/>
      </c>
      <c r="AN38" s="9" t="str">
        <f t="shared" si="9"/>
        <v/>
      </c>
      <c r="AO38" s="9" t="str">
        <f t="shared" si="10"/>
        <v/>
      </c>
      <c r="AP38" s="9" t="str">
        <f t="shared" si="11"/>
        <v/>
      </c>
      <c r="AQ38" s="10" t="str">
        <f t="shared" si="12"/>
        <v/>
      </c>
    </row>
    <row r="39" spans="1:43">
      <c r="A39">
        <v>38</v>
      </c>
      <c r="B39" t="s">
        <v>23</v>
      </c>
      <c r="C39" t="s">
        <v>202</v>
      </c>
      <c r="D39" t="s">
        <v>203</v>
      </c>
      <c r="E39" t="s">
        <v>97</v>
      </c>
      <c r="G39" t="s">
        <v>18</v>
      </c>
      <c r="H39" s="4">
        <v>26433000</v>
      </c>
      <c r="I39" s="5">
        <v>128</v>
      </c>
      <c r="J39" s="5">
        <v>1024</v>
      </c>
      <c r="K39" s="5">
        <v>8</v>
      </c>
      <c r="L39">
        <v>5.2</v>
      </c>
      <c r="M39">
        <v>6.5</v>
      </c>
      <c r="N39">
        <v>6.24</v>
      </c>
      <c r="O39" s="6">
        <v>17.3</v>
      </c>
      <c r="P39" s="7">
        <v>2.8</v>
      </c>
      <c r="U39" t="s">
        <v>84</v>
      </c>
      <c r="V39" t="s">
        <v>126</v>
      </c>
      <c r="W39">
        <v>1.6</v>
      </c>
      <c r="X39" t="s">
        <v>104</v>
      </c>
      <c r="Y39" t="s">
        <v>176</v>
      </c>
      <c r="Z39" t="s">
        <v>161</v>
      </c>
      <c r="AA39" t="s">
        <v>128</v>
      </c>
      <c r="AB39" t="s">
        <v>115</v>
      </c>
      <c r="AC39">
        <v>979</v>
      </c>
      <c r="AD39" s="8" t="b">
        <f>AND(
 H39&gt;=Filters!$B$3,
 H39&lt;=Filters!$B$4,
 I39&gt;=Filters!$B$5,
 OR(Filters!$B$6="All",B39=Filters!$B$6),
 F39&gt;=Filters!$B$7,
 F39&lt;=Filters!$B$8,
 OR(Filters!$B$9="All",G39=Filters!$B$9)
)</f>
        <v>0</v>
      </c>
      <c r="AE39">
        <f t="shared" si="0"/>
        <v>6</v>
      </c>
      <c r="AF39">
        <f t="shared" si="1"/>
        <v>7</v>
      </c>
      <c r="AG39">
        <f t="shared" si="2"/>
        <v>7</v>
      </c>
      <c r="AH39" s="9" t="str">
        <f t="shared" si="3"/>
        <v/>
      </c>
      <c r="AI39" s="9" t="str">
        <f t="shared" si="4"/>
        <v/>
      </c>
      <c r="AJ39" s="9" t="str">
        <f t="shared" si="5"/>
        <v/>
      </c>
      <c r="AK39" s="9" t="str">
        <f t="shared" si="6"/>
        <v/>
      </c>
      <c r="AL39" s="9" t="str">
        <f t="shared" si="7"/>
        <v/>
      </c>
      <c r="AM39" s="9" t="str">
        <f t="shared" si="8"/>
        <v/>
      </c>
      <c r="AN39" s="9" t="str">
        <f t="shared" si="9"/>
        <v/>
      </c>
      <c r="AO39" s="9" t="str">
        <f t="shared" si="10"/>
        <v/>
      </c>
      <c r="AP39" s="9" t="str">
        <f t="shared" si="11"/>
        <v/>
      </c>
      <c r="AQ39" s="10" t="str">
        <f t="shared" si="12"/>
        <v/>
      </c>
    </row>
    <row r="40" spans="1:43">
      <c r="A40">
        <v>39</v>
      </c>
      <c r="B40" t="s">
        <v>26</v>
      </c>
      <c r="C40" t="s">
        <v>95</v>
      </c>
      <c r="D40" t="s">
        <v>96</v>
      </c>
      <c r="E40" t="s">
        <v>97</v>
      </c>
      <c r="G40" t="s">
        <v>18</v>
      </c>
      <c r="H40" s="4">
        <v>13194630</v>
      </c>
      <c r="I40" s="5">
        <v>0</v>
      </c>
      <c r="J40" s="5">
        <v>1024</v>
      </c>
      <c r="K40" s="5">
        <v>4</v>
      </c>
      <c r="L40">
        <v>7</v>
      </c>
      <c r="M40">
        <v>3.5</v>
      </c>
      <c r="N40">
        <v>3.92</v>
      </c>
      <c r="O40" s="6">
        <v>15.6</v>
      </c>
      <c r="P40" s="7">
        <v>1.86</v>
      </c>
      <c r="U40" t="s">
        <v>84</v>
      </c>
      <c r="V40" t="s">
        <v>98</v>
      </c>
      <c r="W40">
        <v>2.5</v>
      </c>
      <c r="X40" t="s">
        <v>84</v>
      </c>
      <c r="Y40" t="s">
        <v>99</v>
      </c>
      <c r="Z40" t="s">
        <v>146</v>
      </c>
      <c r="AA40" t="s">
        <v>114</v>
      </c>
      <c r="AB40" t="s">
        <v>115</v>
      </c>
      <c r="AC40">
        <v>488.69</v>
      </c>
      <c r="AD40" s="8" t="b">
        <f>AND(
 H40&gt;=Filters!$B$3,
 H40&lt;=Filters!$B$4,
 I40&gt;=Filters!$B$5,
 OR(Filters!$B$6="All",B40=Filters!$B$6),
 F40&gt;=Filters!$B$7,
 F40&lt;=Filters!$B$8,
 OR(Filters!$B$9="All",G40=Filters!$B$9)
)</f>
        <v>0</v>
      </c>
      <c r="AE40">
        <f t="shared" si="0"/>
        <v>6</v>
      </c>
      <c r="AF40">
        <f t="shared" si="1"/>
        <v>7</v>
      </c>
      <c r="AG40">
        <f t="shared" si="2"/>
        <v>7</v>
      </c>
      <c r="AH40" s="9" t="str">
        <f t="shared" si="3"/>
        <v/>
      </c>
      <c r="AI40" s="9" t="str">
        <f t="shared" si="4"/>
        <v/>
      </c>
      <c r="AJ40" s="9" t="str">
        <f t="shared" si="5"/>
        <v/>
      </c>
      <c r="AK40" s="9" t="str">
        <f t="shared" si="6"/>
        <v/>
      </c>
      <c r="AL40" s="9" t="str">
        <f t="shared" si="7"/>
        <v/>
      </c>
      <c r="AM40" s="9" t="str">
        <f t="shared" si="8"/>
        <v/>
      </c>
      <c r="AN40" s="9" t="str">
        <f t="shared" si="9"/>
        <v/>
      </c>
      <c r="AO40" s="9" t="str">
        <f t="shared" si="10"/>
        <v/>
      </c>
      <c r="AP40" s="9" t="str">
        <f t="shared" si="11"/>
        <v/>
      </c>
      <c r="AQ40" s="10" t="str">
        <f t="shared" si="12"/>
        <v/>
      </c>
    </row>
    <row r="41" spans="1:43">
      <c r="A41">
        <v>40</v>
      </c>
      <c r="B41" t="s">
        <v>26</v>
      </c>
      <c r="C41" t="s">
        <v>204</v>
      </c>
      <c r="D41" t="s">
        <v>205</v>
      </c>
      <c r="E41" t="s">
        <v>97</v>
      </c>
      <c r="G41" t="s">
        <v>18</v>
      </c>
      <c r="H41" s="4">
        <v>23733000</v>
      </c>
      <c r="I41" s="5">
        <v>256</v>
      </c>
      <c r="J41" s="5">
        <v>0</v>
      </c>
      <c r="K41" s="5">
        <v>8</v>
      </c>
      <c r="L41">
        <v>5.2</v>
      </c>
      <c r="M41">
        <v>6.5</v>
      </c>
      <c r="N41">
        <v>5.92</v>
      </c>
      <c r="O41" s="6">
        <v>15.6</v>
      </c>
      <c r="P41" s="7">
        <v>2.1</v>
      </c>
      <c r="U41" t="s">
        <v>84</v>
      </c>
      <c r="V41" t="s">
        <v>126</v>
      </c>
      <c r="W41">
        <v>1.6</v>
      </c>
      <c r="X41" t="s">
        <v>122</v>
      </c>
      <c r="Y41" t="s">
        <v>183</v>
      </c>
      <c r="Z41" t="s">
        <v>100</v>
      </c>
      <c r="AA41" t="s">
        <v>101</v>
      </c>
      <c r="AB41" t="s">
        <v>115</v>
      </c>
      <c r="AC41">
        <v>879</v>
      </c>
      <c r="AD41" s="8" t="b">
        <f>AND(
 H41&gt;=Filters!$B$3,
 H41&lt;=Filters!$B$4,
 I41&gt;=Filters!$B$5,
 OR(Filters!$B$6="All",B41=Filters!$B$6),
 F41&gt;=Filters!$B$7,
 F41&lt;=Filters!$B$8,
 OR(Filters!$B$9="All",G41=Filters!$B$9)
)</f>
        <v>1</v>
      </c>
      <c r="AE41">
        <f t="shared" si="0"/>
        <v>6</v>
      </c>
      <c r="AF41">
        <f t="shared" si="1"/>
        <v>7</v>
      </c>
      <c r="AG41">
        <f t="shared" si="2"/>
        <v>7</v>
      </c>
      <c r="AH41" s="9">
        <f t="shared" si="3"/>
        <v>0.47619047619047616</v>
      </c>
      <c r="AI41" s="9">
        <f t="shared" si="4"/>
        <v>0.80952380952380942</v>
      </c>
      <c r="AJ41" s="9">
        <f t="shared" si="5"/>
        <v>0.63095238095238093</v>
      </c>
      <c r="AK41" s="9">
        <f t="shared" si="6"/>
        <v>0.56190476190476191</v>
      </c>
      <c r="AL41" s="9">
        <f t="shared" si="7"/>
        <v>0.89285714285714279</v>
      </c>
      <c r="AM41" s="9">
        <f t="shared" si="8"/>
        <v>0.5714285714285714</v>
      </c>
      <c r="AN41" s="9">
        <f t="shared" si="9"/>
        <v>0.69047619047619047</v>
      </c>
      <c r="AO41" s="9">
        <f t="shared" si="10"/>
        <v>0.69047619047619047</v>
      </c>
      <c r="AP41" s="9">
        <f t="shared" si="11"/>
        <v>0.64644699077242951</v>
      </c>
      <c r="AQ41" s="10">
        <f t="shared" si="12"/>
        <v>0.64644703177242946</v>
      </c>
    </row>
    <row r="42" spans="1:43">
      <c r="A42">
        <v>41</v>
      </c>
      <c r="B42" t="s">
        <v>21</v>
      </c>
      <c r="C42" t="s">
        <v>206</v>
      </c>
      <c r="D42" t="s">
        <v>207</v>
      </c>
      <c r="E42" t="s">
        <v>97</v>
      </c>
      <c r="G42" t="s">
        <v>18</v>
      </c>
      <c r="H42" s="4">
        <v>10503000</v>
      </c>
      <c r="I42" s="5">
        <v>0</v>
      </c>
      <c r="J42" s="5">
        <v>1024</v>
      </c>
      <c r="K42" s="5">
        <v>4</v>
      </c>
      <c r="L42">
        <v>4</v>
      </c>
      <c r="M42">
        <v>3.5</v>
      </c>
      <c r="N42">
        <v>5.92</v>
      </c>
      <c r="O42" s="6">
        <v>15.6</v>
      </c>
      <c r="P42" s="7">
        <v>2</v>
      </c>
      <c r="U42" t="s">
        <v>84</v>
      </c>
      <c r="V42" t="s">
        <v>129</v>
      </c>
      <c r="W42">
        <v>2</v>
      </c>
      <c r="X42" t="s">
        <v>84</v>
      </c>
      <c r="Y42" t="s">
        <v>99</v>
      </c>
      <c r="Z42" t="s">
        <v>146</v>
      </c>
      <c r="AA42" t="s">
        <v>101</v>
      </c>
      <c r="AB42" t="s">
        <v>201</v>
      </c>
      <c r="AC42">
        <v>389</v>
      </c>
      <c r="AD42" s="8" t="b">
        <f>AND(
 H42&gt;=Filters!$B$3,
 H42&lt;=Filters!$B$4,
 I42&gt;=Filters!$B$5,
 OR(Filters!$B$6="All",B42=Filters!$B$6),
 F42&gt;=Filters!$B$7,
 F42&lt;=Filters!$B$8,
 OR(Filters!$B$9="All",G42=Filters!$B$9)
)</f>
        <v>0</v>
      </c>
      <c r="AE42">
        <f t="shared" si="0"/>
        <v>6</v>
      </c>
      <c r="AF42">
        <f t="shared" si="1"/>
        <v>7</v>
      </c>
      <c r="AG42">
        <f t="shared" si="2"/>
        <v>7</v>
      </c>
      <c r="AH42" s="9" t="str">
        <f t="shared" si="3"/>
        <v/>
      </c>
      <c r="AI42" s="9" t="str">
        <f t="shared" si="4"/>
        <v/>
      </c>
      <c r="AJ42" s="9" t="str">
        <f t="shared" si="5"/>
        <v/>
      </c>
      <c r="AK42" s="9" t="str">
        <f t="shared" si="6"/>
        <v/>
      </c>
      <c r="AL42" s="9" t="str">
        <f t="shared" si="7"/>
        <v/>
      </c>
      <c r="AM42" s="9" t="str">
        <f t="shared" si="8"/>
        <v/>
      </c>
      <c r="AN42" s="9" t="str">
        <f t="shared" si="9"/>
        <v/>
      </c>
      <c r="AO42" s="9" t="str">
        <f t="shared" si="10"/>
        <v/>
      </c>
      <c r="AP42" s="9" t="str">
        <f t="shared" si="11"/>
        <v/>
      </c>
      <c r="AQ42" s="10" t="str">
        <f t="shared" si="12"/>
        <v/>
      </c>
    </row>
    <row r="43" spans="1:43">
      <c r="A43">
        <v>42</v>
      </c>
      <c r="B43" t="s">
        <v>23</v>
      </c>
      <c r="C43" t="s">
        <v>208</v>
      </c>
      <c r="D43" t="s">
        <v>209</v>
      </c>
      <c r="E43" t="s">
        <v>158</v>
      </c>
      <c r="G43" t="s">
        <v>18</v>
      </c>
      <c r="H43" s="4">
        <v>40473000</v>
      </c>
      <c r="I43" s="5">
        <v>256</v>
      </c>
      <c r="J43" s="5">
        <v>1024</v>
      </c>
      <c r="K43" s="5">
        <v>16</v>
      </c>
      <c r="L43">
        <v>9.6</v>
      </c>
      <c r="M43">
        <v>9.1999999999999993</v>
      </c>
      <c r="N43">
        <v>6.32</v>
      </c>
      <c r="O43" s="6">
        <v>15.6</v>
      </c>
      <c r="P43" s="7">
        <v>2.65</v>
      </c>
      <c r="U43" t="s">
        <v>84</v>
      </c>
      <c r="V43" t="s">
        <v>210</v>
      </c>
      <c r="W43">
        <v>2.8</v>
      </c>
      <c r="X43" t="s">
        <v>122</v>
      </c>
      <c r="Y43" t="s">
        <v>211</v>
      </c>
      <c r="Z43" t="s">
        <v>212</v>
      </c>
      <c r="AA43" t="s">
        <v>128</v>
      </c>
      <c r="AB43" t="s">
        <v>115</v>
      </c>
      <c r="AC43">
        <v>1499</v>
      </c>
      <c r="AD43" s="8" t="b">
        <f>AND(
 H43&gt;=Filters!$B$3,
 H43&lt;=Filters!$B$4,
 I43&gt;=Filters!$B$5,
 OR(Filters!$B$6="All",B43=Filters!$B$6),
 F43&gt;=Filters!$B$7,
 F43&lt;=Filters!$B$8,
 OR(Filters!$B$9="All",G43=Filters!$B$9)
)</f>
        <v>0</v>
      </c>
      <c r="AE43">
        <f t="shared" si="0"/>
        <v>6</v>
      </c>
      <c r="AF43">
        <f t="shared" si="1"/>
        <v>7</v>
      </c>
      <c r="AG43">
        <f t="shared" si="2"/>
        <v>7</v>
      </c>
      <c r="AH43" s="9" t="str">
        <f t="shared" si="3"/>
        <v/>
      </c>
      <c r="AI43" s="9" t="str">
        <f t="shared" si="4"/>
        <v/>
      </c>
      <c r="AJ43" s="9" t="str">
        <f t="shared" si="5"/>
        <v/>
      </c>
      <c r="AK43" s="9" t="str">
        <f t="shared" si="6"/>
        <v/>
      </c>
      <c r="AL43" s="9" t="str">
        <f t="shared" si="7"/>
        <v/>
      </c>
      <c r="AM43" s="9" t="str">
        <f t="shared" si="8"/>
        <v/>
      </c>
      <c r="AN43" s="9" t="str">
        <f t="shared" si="9"/>
        <v/>
      </c>
      <c r="AO43" s="9" t="str">
        <f t="shared" si="10"/>
        <v/>
      </c>
      <c r="AP43" s="9" t="str">
        <f t="shared" si="11"/>
        <v/>
      </c>
      <c r="AQ43" s="10" t="str">
        <f t="shared" si="12"/>
        <v/>
      </c>
    </row>
    <row r="44" spans="1:43">
      <c r="A44">
        <v>43</v>
      </c>
      <c r="B44" t="s">
        <v>21</v>
      </c>
      <c r="C44" t="s">
        <v>213</v>
      </c>
      <c r="D44" t="s">
        <v>214</v>
      </c>
      <c r="E44" t="s">
        <v>97</v>
      </c>
      <c r="G44" t="s">
        <v>18</v>
      </c>
      <c r="H44" s="4">
        <v>14120730</v>
      </c>
      <c r="I44" s="5">
        <v>0</v>
      </c>
      <c r="J44" s="5">
        <v>1024</v>
      </c>
      <c r="K44" s="5">
        <v>8</v>
      </c>
      <c r="L44">
        <v>7</v>
      </c>
      <c r="M44">
        <v>6.5</v>
      </c>
      <c r="N44">
        <v>3.92</v>
      </c>
      <c r="O44" s="6">
        <v>15.6</v>
      </c>
      <c r="P44" s="7">
        <v>2.2999999999999998</v>
      </c>
      <c r="U44" t="s">
        <v>84</v>
      </c>
      <c r="V44" t="s">
        <v>98</v>
      </c>
      <c r="W44">
        <v>2.5</v>
      </c>
      <c r="X44" t="s">
        <v>122</v>
      </c>
      <c r="Y44" t="s">
        <v>145</v>
      </c>
      <c r="Z44" t="s">
        <v>146</v>
      </c>
      <c r="AA44" t="s">
        <v>114</v>
      </c>
      <c r="AB44" t="s">
        <v>201</v>
      </c>
      <c r="AC44">
        <v>522.99</v>
      </c>
      <c r="AD44" s="8" t="b">
        <f>AND(
 H44&gt;=Filters!$B$3,
 H44&lt;=Filters!$B$4,
 I44&gt;=Filters!$B$5,
 OR(Filters!$B$6="All",B44=Filters!$B$6),
 F44&gt;=Filters!$B$7,
 F44&lt;=Filters!$B$8,
 OR(Filters!$B$9="All",G44=Filters!$B$9)
)</f>
        <v>0</v>
      </c>
      <c r="AE44">
        <f t="shared" si="0"/>
        <v>6</v>
      </c>
      <c r="AF44">
        <f t="shared" si="1"/>
        <v>7</v>
      </c>
      <c r="AG44">
        <f t="shared" si="2"/>
        <v>7</v>
      </c>
      <c r="AH44" s="9" t="str">
        <f t="shared" si="3"/>
        <v/>
      </c>
      <c r="AI44" s="9" t="str">
        <f t="shared" si="4"/>
        <v/>
      </c>
      <c r="AJ44" s="9" t="str">
        <f t="shared" si="5"/>
        <v/>
      </c>
      <c r="AK44" s="9" t="str">
        <f t="shared" si="6"/>
        <v/>
      </c>
      <c r="AL44" s="9" t="str">
        <f t="shared" si="7"/>
        <v/>
      </c>
      <c r="AM44" s="9" t="str">
        <f t="shared" si="8"/>
        <v/>
      </c>
      <c r="AN44" s="9" t="str">
        <f t="shared" si="9"/>
        <v/>
      </c>
      <c r="AO44" s="9" t="str">
        <f t="shared" si="10"/>
        <v/>
      </c>
      <c r="AP44" s="9" t="str">
        <f t="shared" si="11"/>
        <v/>
      </c>
      <c r="AQ44" s="10" t="str">
        <f t="shared" si="12"/>
        <v/>
      </c>
    </row>
    <row r="45" spans="1:43">
      <c r="A45">
        <v>44</v>
      </c>
      <c r="B45" t="s">
        <v>17</v>
      </c>
      <c r="C45" t="s">
        <v>215</v>
      </c>
      <c r="D45" t="s">
        <v>216</v>
      </c>
      <c r="E45" t="s">
        <v>97</v>
      </c>
      <c r="G45" t="s">
        <v>18</v>
      </c>
      <c r="H45" s="4">
        <v>18414000</v>
      </c>
      <c r="I45" s="5">
        <v>256</v>
      </c>
      <c r="J45" s="5">
        <v>0</v>
      </c>
      <c r="K45" s="5">
        <v>4</v>
      </c>
      <c r="L45">
        <v>5.2</v>
      </c>
      <c r="M45">
        <v>3.8</v>
      </c>
      <c r="N45">
        <v>6.32</v>
      </c>
      <c r="O45" s="6">
        <v>15.6</v>
      </c>
      <c r="P45" s="7">
        <v>2.2000000000000002</v>
      </c>
      <c r="U45" t="s">
        <v>84</v>
      </c>
      <c r="V45" t="s">
        <v>126</v>
      </c>
      <c r="W45">
        <v>1.6</v>
      </c>
      <c r="X45" t="s">
        <v>84</v>
      </c>
      <c r="Y45" t="s">
        <v>127</v>
      </c>
      <c r="Z45" t="s">
        <v>100</v>
      </c>
      <c r="AA45" t="s">
        <v>128</v>
      </c>
      <c r="AB45" t="s">
        <v>115</v>
      </c>
      <c r="AC45">
        <v>682</v>
      </c>
      <c r="AD45" s="8" t="b">
        <f>AND(
 H45&gt;=Filters!$B$3,
 H45&lt;=Filters!$B$4,
 I45&gt;=Filters!$B$5,
 OR(Filters!$B$6="All",B45=Filters!$B$6),
 F45&gt;=Filters!$B$7,
 F45&lt;=Filters!$B$8,
 OR(Filters!$B$9="All",G45=Filters!$B$9)
)</f>
        <v>1</v>
      </c>
      <c r="AE45">
        <f t="shared" si="0"/>
        <v>6</v>
      </c>
      <c r="AF45">
        <f t="shared" si="1"/>
        <v>7</v>
      </c>
      <c r="AG45">
        <f t="shared" si="2"/>
        <v>7</v>
      </c>
      <c r="AH45" s="9">
        <f t="shared" si="3"/>
        <v>0.47619047619047616</v>
      </c>
      <c r="AI45" s="9">
        <f t="shared" si="4"/>
        <v>0.33333333333333331</v>
      </c>
      <c r="AJ45" s="9">
        <f t="shared" si="5"/>
        <v>0.30952380952380948</v>
      </c>
      <c r="AK45" s="9">
        <f t="shared" si="6"/>
        <v>0.60952380952380947</v>
      </c>
      <c r="AL45" s="9">
        <f t="shared" si="7"/>
        <v>0.88095238095238082</v>
      </c>
      <c r="AM45" s="9">
        <f t="shared" si="8"/>
        <v>0.5714285714285714</v>
      </c>
      <c r="AN45" s="9">
        <f t="shared" si="9"/>
        <v>0.69047619047619047</v>
      </c>
      <c r="AO45" s="9">
        <f t="shared" si="10"/>
        <v>0.69047619047619047</v>
      </c>
      <c r="AP45" s="9">
        <f t="shared" si="11"/>
        <v>0.54191716760574282</v>
      </c>
      <c r="AQ45" s="10">
        <f t="shared" si="12"/>
        <v>0.54191721260574277</v>
      </c>
    </row>
    <row r="46" spans="1:43">
      <c r="A46">
        <v>45</v>
      </c>
      <c r="B46" t="s">
        <v>23</v>
      </c>
      <c r="C46" t="s">
        <v>217</v>
      </c>
      <c r="D46" t="s">
        <v>218</v>
      </c>
      <c r="E46" t="s">
        <v>168</v>
      </c>
      <c r="G46" t="s">
        <v>18</v>
      </c>
      <c r="H46" s="4">
        <v>26973000</v>
      </c>
      <c r="I46" s="5">
        <v>0</v>
      </c>
      <c r="J46" s="5">
        <v>1024</v>
      </c>
      <c r="K46" s="5">
        <v>12</v>
      </c>
      <c r="L46">
        <v>5.2</v>
      </c>
      <c r="M46">
        <v>6.5</v>
      </c>
      <c r="N46">
        <v>6.13</v>
      </c>
      <c r="O46" s="6">
        <v>17.3</v>
      </c>
      <c r="P46" s="7">
        <v>2.77</v>
      </c>
      <c r="U46" t="s">
        <v>84</v>
      </c>
      <c r="V46" t="s">
        <v>126</v>
      </c>
      <c r="W46">
        <v>1.6</v>
      </c>
      <c r="X46" t="s">
        <v>122</v>
      </c>
      <c r="Y46" t="s">
        <v>219</v>
      </c>
      <c r="Z46" t="s">
        <v>146</v>
      </c>
      <c r="AA46" t="s">
        <v>169</v>
      </c>
      <c r="AB46" t="s">
        <v>115</v>
      </c>
      <c r="AC46">
        <v>999</v>
      </c>
      <c r="AD46" s="8" t="b">
        <f>AND(
 H46&gt;=Filters!$B$3,
 H46&lt;=Filters!$B$4,
 I46&gt;=Filters!$B$5,
 OR(Filters!$B$6="All",B46=Filters!$B$6),
 F46&gt;=Filters!$B$7,
 F46&lt;=Filters!$B$8,
 OR(Filters!$B$9="All",G46=Filters!$B$9)
)</f>
        <v>0</v>
      </c>
      <c r="AE46">
        <f t="shared" si="0"/>
        <v>6</v>
      </c>
      <c r="AF46">
        <f t="shared" si="1"/>
        <v>7</v>
      </c>
      <c r="AG46">
        <f t="shared" si="2"/>
        <v>7</v>
      </c>
      <c r="AH46" s="9" t="str">
        <f t="shared" si="3"/>
        <v/>
      </c>
      <c r="AI46" s="9" t="str">
        <f t="shared" si="4"/>
        <v/>
      </c>
      <c r="AJ46" s="9" t="str">
        <f t="shared" si="5"/>
        <v/>
      </c>
      <c r="AK46" s="9" t="str">
        <f t="shared" si="6"/>
        <v/>
      </c>
      <c r="AL46" s="9" t="str">
        <f t="shared" si="7"/>
        <v/>
      </c>
      <c r="AM46" s="9" t="str">
        <f t="shared" si="8"/>
        <v/>
      </c>
      <c r="AN46" s="9" t="str">
        <f t="shared" si="9"/>
        <v/>
      </c>
      <c r="AO46" s="9" t="str">
        <f t="shared" si="10"/>
        <v/>
      </c>
      <c r="AP46" s="9" t="str">
        <f t="shared" si="11"/>
        <v/>
      </c>
      <c r="AQ46" s="10" t="str">
        <f t="shared" si="12"/>
        <v/>
      </c>
    </row>
    <row r="47" spans="1:43">
      <c r="A47">
        <v>46</v>
      </c>
      <c r="B47" t="s">
        <v>19</v>
      </c>
      <c r="C47" t="s">
        <v>81</v>
      </c>
      <c r="D47" t="s">
        <v>82</v>
      </c>
      <c r="E47" t="s">
        <v>83</v>
      </c>
      <c r="G47" t="s">
        <v>18</v>
      </c>
      <c r="H47" s="4">
        <v>38313000</v>
      </c>
      <c r="I47" s="5">
        <v>256</v>
      </c>
      <c r="J47" s="5">
        <v>0</v>
      </c>
      <c r="K47" s="5">
        <v>8</v>
      </c>
      <c r="L47">
        <v>6</v>
      </c>
      <c r="M47">
        <v>4.2</v>
      </c>
      <c r="N47">
        <v>8.76</v>
      </c>
      <c r="O47" s="6">
        <v>13.3</v>
      </c>
      <c r="P47" s="7">
        <v>1.37</v>
      </c>
      <c r="U47" t="s">
        <v>84</v>
      </c>
      <c r="V47" t="s">
        <v>85</v>
      </c>
      <c r="W47">
        <v>2</v>
      </c>
      <c r="X47" t="s">
        <v>84</v>
      </c>
      <c r="Y47" t="s">
        <v>220</v>
      </c>
      <c r="Z47" t="s">
        <v>100</v>
      </c>
      <c r="AA47" t="s">
        <v>88</v>
      </c>
      <c r="AB47" t="s">
        <v>89</v>
      </c>
      <c r="AC47">
        <v>1419</v>
      </c>
      <c r="AD47" s="8" t="b">
        <f>AND(
 H47&gt;=Filters!$B$3,
 H47&lt;=Filters!$B$4,
 I47&gt;=Filters!$B$5,
 OR(Filters!$B$6="All",B47=Filters!$B$6),
 F47&gt;=Filters!$B$7,
 F47&lt;=Filters!$B$8,
 OR(Filters!$B$9="All",G47=Filters!$B$9)
)</f>
        <v>0</v>
      </c>
      <c r="AE47">
        <f t="shared" si="0"/>
        <v>6</v>
      </c>
      <c r="AF47">
        <f t="shared" si="1"/>
        <v>7</v>
      </c>
      <c r="AG47">
        <f t="shared" si="2"/>
        <v>7</v>
      </c>
      <c r="AH47" s="9" t="str">
        <f t="shared" si="3"/>
        <v/>
      </c>
      <c r="AI47" s="9" t="str">
        <f t="shared" si="4"/>
        <v/>
      </c>
      <c r="AJ47" s="9" t="str">
        <f t="shared" si="5"/>
        <v/>
      </c>
      <c r="AK47" s="9" t="str">
        <f t="shared" si="6"/>
        <v/>
      </c>
      <c r="AL47" s="9" t="str">
        <f t="shared" si="7"/>
        <v/>
      </c>
      <c r="AM47" s="9" t="str">
        <f t="shared" si="8"/>
        <v/>
      </c>
      <c r="AN47" s="9" t="str">
        <f t="shared" si="9"/>
        <v/>
      </c>
      <c r="AO47" s="9" t="str">
        <f t="shared" si="10"/>
        <v/>
      </c>
      <c r="AP47" s="9" t="str">
        <f t="shared" si="11"/>
        <v/>
      </c>
      <c r="AQ47" s="10" t="str">
        <f t="shared" si="12"/>
        <v/>
      </c>
    </row>
    <row r="48" spans="1:43">
      <c r="A48">
        <v>47</v>
      </c>
      <c r="B48" t="s">
        <v>29</v>
      </c>
      <c r="C48" t="s">
        <v>221</v>
      </c>
      <c r="D48" t="s">
        <v>222</v>
      </c>
      <c r="E48" t="s">
        <v>97</v>
      </c>
      <c r="G48" t="s">
        <v>18</v>
      </c>
      <c r="H48" s="4">
        <v>9963000</v>
      </c>
      <c r="I48" s="5">
        <v>128</v>
      </c>
      <c r="J48" s="5">
        <v>0</v>
      </c>
      <c r="K48" s="5">
        <v>4</v>
      </c>
      <c r="L48">
        <v>4</v>
      </c>
      <c r="M48">
        <v>3.5</v>
      </c>
      <c r="N48">
        <v>3.92</v>
      </c>
      <c r="O48" s="6">
        <v>15.6</v>
      </c>
      <c r="P48" s="7">
        <v>2.2000000000000002</v>
      </c>
      <c r="U48" t="s">
        <v>84</v>
      </c>
      <c r="V48" t="s">
        <v>129</v>
      </c>
      <c r="W48">
        <v>2</v>
      </c>
      <c r="X48" t="s">
        <v>84</v>
      </c>
      <c r="Y48" t="s">
        <v>130</v>
      </c>
      <c r="Z48" t="s">
        <v>87</v>
      </c>
      <c r="AA48" t="s">
        <v>114</v>
      </c>
      <c r="AB48" t="s">
        <v>102</v>
      </c>
      <c r="AC48">
        <v>369</v>
      </c>
      <c r="AD48" s="8" t="b">
        <f>AND(
 H48&gt;=Filters!$B$3,
 H48&lt;=Filters!$B$4,
 I48&gt;=Filters!$B$5,
 OR(Filters!$B$6="All",B48=Filters!$B$6),
 F48&gt;=Filters!$B$7,
 F48&lt;=Filters!$B$8,
 OR(Filters!$B$9="All",G48=Filters!$B$9)
)</f>
        <v>0</v>
      </c>
      <c r="AE48">
        <f t="shared" si="0"/>
        <v>6</v>
      </c>
      <c r="AF48">
        <f t="shared" si="1"/>
        <v>7</v>
      </c>
      <c r="AG48">
        <f t="shared" si="2"/>
        <v>7</v>
      </c>
      <c r="AH48" s="9" t="str">
        <f t="shared" si="3"/>
        <v/>
      </c>
      <c r="AI48" s="9" t="str">
        <f t="shared" si="4"/>
        <v/>
      </c>
      <c r="AJ48" s="9" t="str">
        <f t="shared" si="5"/>
        <v/>
      </c>
      <c r="AK48" s="9" t="str">
        <f t="shared" si="6"/>
        <v/>
      </c>
      <c r="AL48" s="9" t="str">
        <f t="shared" si="7"/>
        <v/>
      </c>
      <c r="AM48" s="9" t="str">
        <f t="shared" si="8"/>
        <v/>
      </c>
      <c r="AN48" s="9" t="str">
        <f t="shared" si="9"/>
        <v/>
      </c>
      <c r="AO48" s="9" t="str">
        <f t="shared" si="10"/>
        <v/>
      </c>
      <c r="AP48" s="9" t="str">
        <f t="shared" si="11"/>
        <v/>
      </c>
      <c r="AQ48" s="10" t="str">
        <f t="shared" si="12"/>
        <v/>
      </c>
    </row>
    <row r="49" spans="1:43">
      <c r="A49">
        <v>48</v>
      </c>
      <c r="B49" t="s">
        <v>21</v>
      </c>
      <c r="C49" t="s">
        <v>223</v>
      </c>
      <c r="D49" t="s">
        <v>224</v>
      </c>
      <c r="E49" t="s">
        <v>158</v>
      </c>
      <c r="G49" t="s">
        <v>18</v>
      </c>
      <c r="H49" s="4">
        <v>35073000</v>
      </c>
      <c r="I49" s="5">
        <v>256</v>
      </c>
      <c r="J49" s="5">
        <v>1024</v>
      </c>
      <c r="K49" s="5">
        <v>8</v>
      </c>
      <c r="L49">
        <v>7</v>
      </c>
      <c r="M49">
        <v>8</v>
      </c>
      <c r="N49">
        <v>5.83</v>
      </c>
      <c r="O49" s="6">
        <v>17.3</v>
      </c>
      <c r="P49" s="7">
        <v>3.2</v>
      </c>
      <c r="U49" t="s">
        <v>104</v>
      </c>
      <c r="V49" t="s">
        <v>225</v>
      </c>
      <c r="W49">
        <v>3</v>
      </c>
      <c r="X49" t="s">
        <v>104</v>
      </c>
      <c r="Y49" t="s">
        <v>226</v>
      </c>
      <c r="Z49" t="s">
        <v>212</v>
      </c>
      <c r="AA49" t="s">
        <v>101</v>
      </c>
      <c r="AB49" t="s">
        <v>115</v>
      </c>
      <c r="AC49">
        <v>1299</v>
      </c>
      <c r="AD49" s="8" t="b">
        <f>AND(
 H49&gt;=Filters!$B$3,
 H49&lt;=Filters!$B$4,
 I49&gt;=Filters!$B$5,
 OR(Filters!$B$6="All",B49=Filters!$B$6),
 F49&gt;=Filters!$B$7,
 F49&lt;=Filters!$B$8,
 OR(Filters!$B$9="All",G49=Filters!$B$9)
)</f>
        <v>0</v>
      </c>
      <c r="AE49">
        <f t="shared" si="0"/>
        <v>6</v>
      </c>
      <c r="AF49">
        <f t="shared" si="1"/>
        <v>7</v>
      </c>
      <c r="AG49">
        <f t="shared" si="2"/>
        <v>7</v>
      </c>
      <c r="AH49" s="9" t="str">
        <f t="shared" si="3"/>
        <v/>
      </c>
      <c r="AI49" s="9" t="str">
        <f t="shared" si="4"/>
        <v/>
      </c>
      <c r="AJ49" s="9" t="str">
        <f t="shared" si="5"/>
        <v/>
      </c>
      <c r="AK49" s="9" t="str">
        <f t="shared" si="6"/>
        <v/>
      </c>
      <c r="AL49" s="9" t="str">
        <f t="shared" si="7"/>
        <v/>
      </c>
      <c r="AM49" s="9" t="str">
        <f t="shared" si="8"/>
        <v/>
      </c>
      <c r="AN49" s="9" t="str">
        <f t="shared" si="9"/>
        <v/>
      </c>
      <c r="AO49" s="9" t="str">
        <f t="shared" si="10"/>
        <v/>
      </c>
      <c r="AP49" s="9" t="str">
        <f t="shared" si="11"/>
        <v/>
      </c>
      <c r="AQ49" s="10" t="str">
        <f t="shared" si="12"/>
        <v/>
      </c>
    </row>
    <row r="50" spans="1:43">
      <c r="A50">
        <v>49</v>
      </c>
      <c r="B50" t="s">
        <v>23</v>
      </c>
      <c r="C50" t="s">
        <v>132</v>
      </c>
      <c r="D50" t="s">
        <v>133</v>
      </c>
      <c r="E50" t="s">
        <v>97</v>
      </c>
      <c r="G50" t="s">
        <v>18</v>
      </c>
      <c r="H50" s="4">
        <v>17253000</v>
      </c>
      <c r="I50" s="5">
        <v>256</v>
      </c>
      <c r="J50" s="5">
        <v>0</v>
      </c>
      <c r="K50" s="5">
        <v>4</v>
      </c>
      <c r="L50">
        <v>7</v>
      </c>
      <c r="M50">
        <v>6.5</v>
      </c>
      <c r="N50">
        <v>5.92</v>
      </c>
      <c r="O50" s="6">
        <v>15.6</v>
      </c>
      <c r="P50" s="7">
        <v>2.2999999999999998</v>
      </c>
      <c r="U50" t="s">
        <v>84</v>
      </c>
      <c r="V50" t="s">
        <v>98</v>
      </c>
      <c r="W50">
        <v>2.5</v>
      </c>
      <c r="X50" t="s">
        <v>104</v>
      </c>
      <c r="Y50" t="s">
        <v>134</v>
      </c>
      <c r="Z50" t="s">
        <v>100</v>
      </c>
      <c r="AA50" t="s">
        <v>101</v>
      </c>
      <c r="AB50" t="s">
        <v>115</v>
      </c>
      <c r="AC50">
        <v>639</v>
      </c>
      <c r="AD50" s="8" t="b">
        <f>AND(
 H50&gt;=Filters!$B$3,
 H50&lt;=Filters!$B$4,
 I50&gt;=Filters!$B$5,
 OR(Filters!$B$6="All",B50=Filters!$B$6),
 F50&gt;=Filters!$B$7,
 F50&lt;=Filters!$B$8,
 OR(Filters!$B$9="All",G50=Filters!$B$9)
)</f>
        <v>1</v>
      </c>
      <c r="AE50">
        <f t="shared" si="0"/>
        <v>6</v>
      </c>
      <c r="AF50">
        <f t="shared" si="1"/>
        <v>7</v>
      </c>
      <c r="AG50">
        <f t="shared" si="2"/>
        <v>7</v>
      </c>
      <c r="AH50" s="9">
        <f t="shared" si="3"/>
        <v>0.69047619047619047</v>
      </c>
      <c r="AI50" s="9">
        <f t="shared" si="4"/>
        <v>0.33333333333333331</v>
      </c>
      <c r="AJ50" s="9">
        <f t="shared" si="5"/>
        <v>0.63095238095238093</v>
      </c>
      <c r="AK50" s="9">
        <f t="shared" si="6"/>
        <v>0.56190476190476191</v>
      </c>
      <c r="AL50" s="9">
        <f t="shared" si="7"/>
        <v>0.86904761904761896</v>
      </c>
      <c r="AM50" s="9">
        <f t="shared" si="8"/>
        <v>0.5714285714285714</v>
      </c>
      <c r="AN50" s="9">
        <f t="shared" si="9"/>
        <v>0.69047619047619047</v>
      </c>
      <c r="AO50" s="9">
        <f t="shared" si="10"/>
        <v>0.69047619047619047</v>
      </c>
      <c r="AP50" s="9">
        <f t="shared" si="11"/>
        <v>0.60329443537963634</v>
      </c>
      <c r="AQ50" s="10">
        <f t="shared" si="12"/>
        <v>0.60329448537963637</v>
      </c>
    </row>
    <row r="51" spans="1:43">
      <c r="A51">
        <v>50</v>
      </c>
      <c r="B51" t="s">
        <v>21</v>
      </c>
      <c r="C51" t="s">
        <v>227</v>
      </c>
      <c r="D51" t="s">
        <v>228</v>
      </c>
      <c r="E51" t="s">
        <v>97</v>
      </c>
      <c r="G51" t="s">
        <v>18</v>
      </c>
      <c r="H51" s="4">
        <v>12582000</v>
      </c>
      <c r="I51" s="5">
        <v>0</v>
      </c>
      <c r="J51" s="5">
        <v>1024</v>
      </c>
      <c r="K51" s="5">
        <v>4</v>
      </c>
      <c r="L51">
        <v>1.2</v>
      </c>
      <c r="M51">
        <v>6.5</v>
      </c>
      <c r="N51">
        <v>3.83</v>
      </c>
      <c r="O51" s="6">
        <v>17.3</v>
      </c>
      <c r="P51" s="7">
        <v>2.8</v>
      </c>
      <c r="U51" t="s">
        <v>84</v>
      </c>
      <c r="V51" t="s">
        <v>229</v>
      </c>
      <c r="W51">
        <v>1.1000000000000001</v>
      </c>
      <c r="X51" t="s">
        <v>122</v>
      </c>
      <c r="Y51" t="s">
        <v>230</v>
      </c>
      <c r="Z51" t="s">
        <v>146</v>
      </c>
      <c r="AA51" t="s">
        <v>114</v>
      </c>
      <c r="AB51" t="s">
        <v>115</v>
      </c>
      <c r="AC51">
        <v>466</v>
      </c>
      <c r="AD51" s="8" t="b">
        <f>AND(
 H51&gt;=Filters!$B$3,
 H51&lt;=Filters!$B$4,
 I51&gt;=Filters!$B$5,
 OR(Filters!$B$6="All",B51=Filters!$B$6),
 F51&gt;=Filters!$B$7,
 F51&lt;=Filters!$B$8,
 OR(Filters!$B$9="All",G51=Filters!$B$9)
)</f>
        <v>0</v>
      </c>
      <c r="AE51">
        <f t="shared" si="0"/>
        <v>6</v>
      </c>
      <c r="AF51">
        <f t="shared" si="1"/>
        <v>7</v>
      </c>
      <c r="AG51">
        <f t="shared" si="2"/>
        <v>7</v>
      </c>
      <c r="AH51" s="9" t="str">
        <f t="shared" si="3"/>
        <v/>
      </c>
      <c r="AI51" s="9" t="str">
        <f t="shared" si="4"/>
        <v/>
      </c>
      <c r="AJ51" s="9" t="str">
        <f t="shared" si="5"/>
        <v/>
      </c>
      <c r="AK51" s="9" t="str">
        <f t="shared" si="6"/>
        <v/>
      </c>
      <c r="AL51" s="9" t="str">
        <f t="shared" si="7"/>
        <v/>
      </c>
      <c r="AM51" s="9" t="str">
        <f t="shared" si="8"/>
        <v/>
      </c>
      <c r="AN51" s="9" t="str">
        <f t="shared" si="9"/>
        <v/>
      </c>
      <c r="AO51" s="9" t="str">
        <f t="shared" si="10"/>
        <v/>
      </c>
      <c r="AP51" s="9" t="str">
        <f t="shared" si="11"/>
        <v/>
      </c>
      <c r="AQ51" s="10" t="str">
        <f t="shared" si="12"/>
        <v/>
      </c>
    </row>
    <row r="52" spans="1:43">
      <c r="A52">
        <v>51</v>
      </c>
      <c r="B52" t="s">
        <v>29</v>
      </c>
      <c r="C52" t="s">
        <v>231</v>
      </c>
      <c r="D52" t="s">
        <v>232</v>
      </c>
      <c r="E52" t="s">
        <v>168</v>
      </c>
      <c r="G52" t="s">
        <v>18</v>
      </c>
      <c r="H52" s="4">
        <v>8613000</v>
      </c>
      <c r="I52" s="5">
        <v>64</v>
      </c>
      <c r="J52" s="5">
        <v>0</v>
      </c>
      <c r="K52" s="5">
        <v>4</v>
      </c>
      <c r="L52">
        <v>1</v>
      </c>
      <c r="M52">
        <v>3.5</v>
      </c>
      <c r="N52">
        <v>7.5</v>
      </c>
      <c r="O52" s="6">
        <v>10.1</v>
      </c>
      <c r="P52" s="7">
        <v>0.69</v>
      </c>
      <c r="U52" t="s">
        <v>84</v>
      </c>
      <c r="V52" t="s">
        <v>233</v>
      </c>
      <c r="W52">
        <v>1.44</v>
      </c>
      <c r="X52" t="s">
        <v>84</v>
      </c>
      <c r="Y52" t="s">
        <v>154</v>
      </c>
      <c r="Z52" t="s">
        <v>188</v>
      </c>
      <c r="AA52" t="s">
        <v>234</v>
      </c>
      <c r="AB52" t="s">
        <v>235</v>
      </c>
      <c r="AC52">
        <v>319</v>
      </c>
      <c r="AD52" s="8" t="b">
        <f>AND(
 H52&gt;=Filters!$B$3,
 H52&lt;=Filters!$B$4,
 I52&gt;=Filters!$B$5,
 OR(Filters!$B$6="All",B52=Filters!$B$6),
 F52&gt;=Filters!$B$7,
 F52&lt;=Filters!$B$8,
 OR(Filters!$B$9="All",G52=Filters!$B$9)
)</f>
        <v>0</v>
      </c>
      <c r="AE52">
        <f t="shared" si="0"/>
        <v>6</v>
      </c>
      <c r="AF52">
        <f t="shared" si="1"/>
        <v>7</v>
      </c>
      <c r="AG52">
        <f t="shared" si="2"/>
        <v>7</v>
      </c>
      <c r="AH52" s="9" t="str">
        <f t="shared" si="3"/>
        <v/>
      </c>
      <c r="AI52" s="9" t="str">
        <f t="shared" si="4"/>
        <v/>
      </c>
      <c r="AJ52" s="9" t="str">
        <f t="shared" si="5"/>
        <v/>
      </c>
      <c r="AK52" s="9" t="str">
        <f t="shared" si="6"/>
        <v/>
      </c>
      <c r="AL52" s="9" t="str">
        <f t="shared" si="7"/>
        <v/>
      </c>
      <c r="AM52" s="9" t="str">
        <f t="shared" si="8"/>
        <v/>
      </c>
      <c r="AN52" s="9" t="str">
        <f t="shared" si="9"/>
        <v/>
      </c>
      <c r="AO52" s="9" t="str">
        <f t="shared" si="10"/>
        <v/>
      </c>
      <c r="AP52" s="9" t="str">
        <f t="shared" si="11"/>
        <v/>
      </c>
      <c r="AQ52" s="10" t="str">
        <f t="shared" si="12"/>
        <v/>
      </c>
    </row>
    <row r="53" spans="1:43">
      <c r="A53">
        <v>52</v>
      </c>
      <c r="B53" t="s">
        <v>17</v>
      </c>
      <c r="C53" t="s">
        <v>215</v>
      </c>
      <c r="D53" t="s">
        <v>216</v>
      </c>
      <c r="E53" t="s">
        <v>97</v>
      </c>
      <c r="G53" t="s">
        <v>18</v>
      </c>
      <c r="H53" s="4">
        <v>22707000</v>
      </c>
      <c r="I53" s="5">
        <v>256</v>
      </c>
      <c r="J53" s="5">
        <v>0</v>
      </c>
      <c r="K53" s="5">
        <v>8</v>
      </c>
      <c r="L53">
        <v>7.6</v>
      </c>
      <c r="M53">
        <v>6.5</v>
      </c>
      <c r="N53">
        <v>6.32</v>
      </c>
      <c r="O53" s="6">
        <v>15.6</v>
      </c>
      <c r="P53" s="7">
        <v>2.2000000000000002</v>
      </c>
      <c r="U53" t="s">
        <v>84</v>
      </c>
      <c r="V53" t="s">
        <v>121</v>
      </c>
      <c r="W53">
        <v>1.8</v>
      </c>
      <c r="X53" t="s">
        <v>122</v>
      </c>
      <c r="Y53" t="s">
        <v>123</v>
      </c>
      <c r="Z53" t="s">
        <v>100</v>
      </c>
      <c r="AA53" t="s">
        <v>128</v>
      </c>
      <c r="AB53" t="s">
        <v>115</v>
      </c>
      <c r="AC53">
        <v>841</v>
      </c>
      <c r="AD53" s="8" t="b">
        <f>AND(
 H53&gt;=Filters!$B$3,
 H53&lt;=Filters!$B$4,
 I53&gt;=Filters!$B$5,
 OR(Filters!$B$6="All",B53=Filters!$B$6),
 F53&gt;=Filters!$B$7,
 F53&lt;=Filters!$B$8,
 OR(Filters!$B$9="All",G53=Filters!$B$9)
)</f>
        <v>1</v>
      </c>
      <c r="AE53">
        <f t="shared" si="0"/>
        <v>6</v>
      </c>
      <c r="AF53">
        <f t="shared" si="1"/>
        <v>7</v>
      </c>
      <c r="AG53">
        <f t="shared" si="2"/>
        <v>7</v>
      </c>
      <c r="AH53" s="9">
        <f t="shared" si="3"/>
        <v>0.76190476190476186</v>
      </c>
      <c r="AI53" s="9">
        <f t="shared" si="4"/>
        <v>0.80952380952380942</v>
      </c>
      <c r="AJ53" s="9">
        <f t="shared" si="5"/>
        <v>0.63095238095238093</v>
      </c>
      <c r="AK53" s="9">
        <f t="shared" si="6"/>
        <v>0.60952380952380947</v>
      </c>
      <c r="AL53" s="9">
        <f t="shared" si="7"/>
        <v>0.88095238095238082</v>
      </c>
      <c r="AM53" s="9">
        <f t="shared" si="8"/>
        <v>0.5714285714285714</v>
      </c>
      <c r="AN53" s="9">
        <f t="shared" si="9"/>
        <v>0.69047619047619047</v>
      </c>
      <c r="AO53" s="9">
        <f t="shared" si="10"/>
        <v>0.69047619047619047</v>
      </c>
      <c r="AP53" s="9">
        <f t="shared" si="11"/>
        <v>0.70944304227904242</v>
      </c>
      <c r="AQ53" s="10">
        <f t="shared" si="12"/>
        <v>0.70944309527904248</v>
      </c>
    </row>
    <row r="54" spans="1:43">
      <c r="A54">
        <v>53</v>
      </c>
      <c r="B54" t="s">
        <v>26</v>
      </c>
      <c r="C54" t="s">
        <v>162</v>
      </c>
      <c r="D54" t="s">
        <v>163</v>
      </c>
      <c r="E54" t="s">
        <v>97</v>
      </c>
      <c r="G54" t="s">
        <v>18</v>
      </c>
      <c r="H54" s="4">
        <v>10759230</v>
      </c>
      <c r="I54" s="5">
        <v>256</v>
      </c>
      <c r="J54" s="5">
        <v>0</v>
      </c>
      <c r="K54" s="5">
        <v>4</v>
      </c>
      <c r="L54">
        <v>6</v>
      </c>
      <c r="M54">
        <v>6.5</v>
      </c>
      <c r="N54">
        <v>5.92</v>
      </c>
      <c r="O54" s="6">
        <v>15.6</v>
      </c>
      <c r="P54" s="7">
        <v>1.86</v>
      </c>
      <c r="U54" t="s">
        <v>104</v>
      </c>
      <c r="V54" t="s">
        <v>194</v>
      </c>
      <c r="W54">
        <v>2.5</v>
      </c>
      <c r="X54" t="s">
        <v>104</v>
      </c>
      <c r="Y54" t="s">
        <v>236</v>
      </c>
      <c r="Z54" t="s">
        <v>100</v>
      </c>
      <c r="AA54" t="s">
        <v>101</v>
      </c>
      <c r="AB54" t="s">
        <v>115</v>
      </c>
      <c r="AC54">
        <v>398.49</v>
      </c>
      <c r="AD54" s="8" t="b">
        <f>AND(
 H54&gt;=Filters!$B$3,
 H54&lt;=Filters!$B$4,
 I54&gt;=Filters!$B$5,
 OR(Filters!$B$6="All",B54=Filters!$B$6),
 F54&gt;=Filters!$B$7,
 F54&lt;=Filters!$B$8,
 OR(Filters!$B$9="All",G54=Filters!$B$9)
)</f>
        <v>1</v>
      </c>
      <c r="AE54">
        <f t="shared" si="0"/>
        <v>6</v>
      </c>
      <c r="AF54">
        <f t="shared" si="1"/>
        <v>7</v>
      </c>
      <c r="AG54">
        <f t="shared" si="2"/>
        <v>7</v>
      </c>
      <c r="AH54" s="9">
        <f t="shared" si="3"/>
        <v>0.5714285714285714</v>
      </c>
      <c r="AI54" s="9">
        <f t="shared" si="4"/>
        <v>0.33333333333333331</v>
      </c>
      <c r="AJ54" s="9">
        <f t="shared" si="5"/>
        <v>0.63095238095238093</v>
      </c>
      <c r="AK54" s="9">
        <f t="shared" si="6"/>
        <v>0.56190476190476191</v>
      </c>
      <c r="AL54" s="9">
        <f t="shared" si="7"/>
        <v>0.92142857142857126</v>
      </c>
      <c r="AM54" s="9">
        <f t="shared" si="8"/>
        <v>0.5714285714285714</v>
      </c>
      <c r="AN54" s="9">
        <f t="shared" si="9"/>
        <v>0.69047619047619047</v>
      </c>
      <c r="AO54" s="9">
        <f t="shared" si="10"/>
        <v>0.69047619047619047</v>
      </c>
      <c r="AP54" s="9">
        <f t="shared" si="11"/>
        <v>0.58108288623723303</v>
      </c>
      <c r="AQ54" s="10">
        <f t="shared" si="12"/>
        <v>0.58108294023723306</v>
      </c>
    </row>
    <row r="55" spans="1:43">
      <c r="A55">
        <v>54</v>
      </c>
      <c r="B55" t="s">
        <v>26</v>
      </c>
      <c r="C55" t="s">
        <v>237</v>
      </c>
      <c r="D55" t="s">
        <v>238</v>
      </c>
      <c r="E55" t="s">
        <v>97</v>
      </c>
      <c r="G55" t="s">
        <v>18</v>
      </c>
      <c r="H55" s="4">
        <v>29781000</v>
      </c>
      <c r="I55" s="5">
        <v>512</v>
      </c>
      <c r="J55" s="5">
        <v>0</v>
      </c>
      <c r="K55" s="5">
        <v>8</v>
      </c>
      <c r="L55">
        <v>7.6</v>
      </c>
      <c r="M55">
        <v>3.8</v>
      </c>
      <c r="N55">
        <v>5.96</v>
      </c>
      <c r="O55" s="6">
        <v>13.3</v>
      </c>
      <c r="P55" s="7">
        <v>1.49</v>
      </c>
      <c r="U55" t="s">
        <v>84</v>
      </c>
      <c r="V55" t="s">
        <v>121</v>
      </c>
      <c r="W55">
        <v>1.8</v>
      </c>
      <c r="X55" t="s">
        <v>84</v>
      </c>
      <c r="Y55" t="s">
        <v>127</v>
      </c>
      <c r="Z55" t="s">
        <v>106</v>
      </c>
      <c r="AA55" t="s">
        <v>101</v>
      </c>
      <c r="AB55" t="s">
        <v>115</v>
      </c>
      <c r="AC55">
        <v>1103</v>
      </c>
      <c r="AD55" s="8" t="b">
        <f>AND(
 H55&gt;=Filters!$B$3,
 H55&lt;=Filters!$B$4,
 I55&gt;=Filters!$B$5,
 OR(Filters!$B$6="All",B55=Filters!$B$6),
 F55&gt;=Filters!$B$7,
 F55&lt;=Filters!$B$8,
 OR(Filters!$B$9="All",G55=Filters!$B$9)
)</f>
        <v>0</v>
      </c>
      <c r="AE55">
        <f t="shared" si="0"/>
        <v>6</v>
      </c>
      <c r="AF55">
        <f t="shared" si="1"/>
        <v>7</v>
      </c>
      <c r="AG55">
        <f t="shared" si="2"/>
        <v>7</v>
      </c>
      <c r="AH55" s="9" t="str">
        <f t="shared" si="3"/>
        <v/>
      </c>
      <c r="AI55" s="9" t="str">
        <f t="shared" si="4"/>
        <v/>
      </c>
      <c r="AJ55" s="9" t="str">
        <f t="shared" si="5"/>
        <v/>
      </c>
      <c r="AK55" s="9" t="str">
        <f t="shared" si="6"/>
        <v/>
      </c>
      <c r="AL55" s="9" t="str">
        <f t="shared" si="7"/>
        <v/>
      </c>
      <c r="AM55" s="9" t="str">
        <f t="shared" si="8"/>
        <v/>
      </c>
      <c r="AN55" s="9" t="str">
        <f t="shared" si="9"/>
        <v/>
      </c>
      <c r="AO55" s="9" t="str">
        <f t="shared" si="10"/>
        <v/>
      </c>
      <c r="AP55" s="9" t="str">
        <f t="shared" si="11"/>
        <v/>
      </c>
      <c r="AQ55" s="10" t="str">
        <f t="shared" si="12"/>
        <v/>
      </c>
    </row>
    <row r="56" spans="1:43">
      <c r="A56">
        <v>55</v>
      </c>
      <c r="B56" t="s">
        <v>17</v>
      </c>
      <c r="C56" t="s">
        <v>109</v>
      </c>
      <c r="D56" t="s">
        <v>110</v>
      </c>
      <c r="E56" t="s">
        <v>97</v>
      </c>
      <c r="G56" t="s">
        <v>18</v>
      </c>
      <c r="H56" s="4">
        <v>10368000</v>
      </c>
      <c r="I56" s="5">
        <v>0</v>
      </c>
      <c r="J56" s="5">
        <v>1024</v>
      </c>
      <c r="K56" s="5">
        <v>4</v>
      </c>
      <c r="L56">
        <v>4.8</v>
      </c>
      <c r="M56">
        <v>3.5</v>
      </c>
      <c r="N56">
        <v>3.92</v>
      </c>
      <c r="O56" s="6">
        <v>15.6</v>
      </c>
      <c r="P56" s="7">
        <v>2.4</v>
      </c>
      <c r="U56" t="s">
        <v>84</v>
      </c>
      <c r="V56" t="s">
        <v>144</v>
      </c>
      <c r="W56">
        <v>2.4</v>
      </c>
      <c r="X56" t="s">
        <v>84</v>
      </c>
      <c r="Y56" t="s">
        <v>99</v>
      </c>
      <c r="Z56" t="s">
        <v>146</v>
      </c>
      <c r="AA56" t="s">
        <v>114</v>
      </c>
      <c r="AB56" t="s">
        <v>115</v>
      </c>
      <c r="AC56">
        <v>384</v>
      </c>
      <c r="AD56" s="8" t="b">
        <f>AND(
 H56&gt;=Filters!$B$3,
 H56&lt;=Filters!$B$4,
 I56&gt;=Filters!$B$5,
 OR(Filters!$B$6="All",B56=Filters!$B$6),
 F56&gt;=Filters!$B$7,
 F56&lt;=Filters!$B$8,
 OR(Filters!$B$9="All",G56=Filters!$B$9)
)</f>
        <v>0</v>
      </c>
      <c r="AE56">
        <f t="shared" si="0"/>
        <v>6</v>
      </c>
      <c r="AF56">
        <f t="shared" si="1"/>
        <v>7</v>
      </c>
      <c r="AG56">
        <f t="shared" si="2"/>
        <v>7</v>
      </c>
      <c r="AH56" s="9" t="str">
        <f t="shared" si="3"/>
        <v/>
      </c>
      <c r="AI56" s="9" t="str">
        <f t="shared" si="4"/>
        <v/>
      </c>
      <c r="AJ56" s="9" t="str">
        <f t="shared" si="5"/>
        <v/>
      </c>
      <c r="AK56" s="9" t="str">
        <f t="shared" si="6"/>
        <v/>
      </c>
      <c r="AL56" s="9" t="str">
        <f t="shared" si="7"/>
        <v/>
      </c>
      <c r="AM56" s="9" t="str">
        <f t="shared" si="8"/>
        <v/>
      </c>
      <c r="AN56" s="9" t="str">
        <f t="shared" si="9"/>
        <v/>
      </c>
      <c r="AO56" s="9" t="str">
        <f t="shared" si="10"/>
        <v/>
      </c>
      <c r="AP56" s="9" t="str">
        <f t="shared" si="11"/>
        <v/>
      </c>
      <c r="AQ56" s="10" t="str">
        <f t="shared" si="12"/>
        <v/>
      </c>
    </row>
    <row r="57" spans="1:43">
      <c r="A57">
        <v>56</v>
      </c>
      <c r="B57" t="s">
        <v>23</v>
      </c>
      <c r="C57" t="s">
        <v>239</v>
      </c>
      <c r="D57" t="s">
        <v>240</v>
      </c>
      <c r="E57" t="s">
        <v>97</v>
      </c>
      <c r="G57" t="s">
        <v>18</v>
      </c>
      <c r="H57" s="4">
        <v>20730600</v>
      </c>
      <c r="I57" s="5">
        <v>256</v>
      </c>
      <c r="J57" s="5">
        <v>0</v>
      </c>
      <c r="K57" s="5">
        <v>8</v>
      </c>
      <c r="L57">
        <v>7.6</v>
      </c>
      <c r="M57">
        <v>6.5</v>
      </c>
      <c r="N57">
        <v>5.92</v>
      </c>
      <c r="O57" s="6">
        <v>15.6</v>
      </c>
      <c r="P57" s="7">
        <v>2.13</v>
      </c>
      <c r="U57" t="s">
        <v>84</v>
      </c>
      <c r="V57" t="s">
        <v>121</v>
      </c>
      <c r="W57">
        <v>1.8</v>
      </c>
      <c r="X57" t="s">
        <v>104</v>
      </c>
      <c r="Y57" t="s">
        <v>241</v>
      </c>
      <c r="Z57" t="s">
        <v>100</v>
      </c>
      <c r="AA57" t="s">
        <v>101</v>
      </c>
      <c r="AB57" t="s">
        <v>115</v>
      </c>
      <c r="AC57">
        <v>767.8</v>
      </c>
      <c r="AD57" s="8" t="b">
        <f>AND(
 H57&gt;=Filters!$B$3,
 H57&lt;=Filters!$B$4,
 I57&gt;=Filters!$B$5,
 OR(Filters!$B$6="All",B57=Filters!$B$6),
 F57&gt;=Filters!$B$7,
 F57&lt;=Filters!$B$8,
 OR(Filters!$B$9="All",G57=Filters!$B$9)
)</f>
        <v>1</v>
      </c>
      <c r="AE57">
        <f t="shared" si="0"/>
        <v>6</v>
      </c>
      <c r="AF57">
        <f t="shared" si="1"/>
        <v>7</v>
      </c>
      <c r="AG57">
        <f t="shared" si="2"/>
        <v>7</v>
      </c>
      <c r="AH57" s="9">
        <f t="shared" si="3"/>
        <v>0.76190476190476186</v>
      </c>
      <c r="AI57" s="9">
        <f t="shared" si="4"/>
        <v>0.80952380952380942</v>
      </c>
      <c r="AJ57" s="9">
        <f t="shared" si="5"/>
        <v>0.63095238095238093</v>
      </c>
      <c r="AK57" s="9">
        <f t="shared" si="6"/>
        <v>0.56190476190476191</v>
      </c>
      <c r="AL57" s="9">
        <f t="shared" si="7"/>
        <v>0.88928571428571423</v>
      </c>
      <c r="AM57" s="9">
        <f t="shared" si="8"/>
        <v>0.5714285714285714</v>
      </c>
      <c r="AN57" s="9">
        <f t="shared" si="9"/>
        <v>0.69047619047619047</v>
      </c>
      <c r="AO57" s="9">
        <f t="shared" si="10"/>
        <v>0.69047619047619047</v>
      </c>
      <c r="AP57" s="9">
        <f t="shared" si="11"/>
        <v>0.70594816898322588</v>
      </c>
      <c r="AQ57" s="10">
        <f t="shared" si="12"/>
        <v>0.70594822598322593</v>
      </c>
    </row>
    <row r="58" spans="1:43">
      <c r="A58">
        <v>57</v>
      </c>
      <c r="B58" t="s">
        <v>26</v>
      </c>
      <c r="C58" t="s">
        <v>242</v>
      </c>
      <c r="D58" t="s">
        <v>243</v>
      </c>
      <c r="E58" t="s">
        <v>97</v>
      </c>
      <c r="G58" t="s">
        <v>18</v>
      </c>
      <c r="H58" s="4">
        <v>11853000</v>
      </c>
      <c r="I58" s="5">
        <v>128</v>
      </c>
      <c r="J58" s="5">
        <v>0</v>
      </c>
      <c r="K58" s="5">
        <v>4</v>
      </c>
      <c r="L58">
        <v>4</v>
      </c>
      <c r="M58">
        <v>3.5</v>
      </c>
      <c r="N58">
        <v>5.92</v>
      </c>
      <c r="O58" s="6">
        <v>15.6</v>
      </c>
      <c r="P58" s="7">
        <v>1.91</v>
      </c>
      <c r="U58" t="s">
        <v>84</v>
      </c>
      <c r="V58" t="s">
        <v>129</v>
      </c>
      <c r="W58">
        <v>2</v>
      </c>
      <c r="X58" t="s">
        <v>84</v>
      </c>
      <c r="Y58" t="s">
        <v>130</v>
      </c>
      <c r="Z58" t="s">
        <v>87</v>
      </c>
      <c r="AA58" t="s">
        <v>101</v>
      </c>
      <c r="AB58" t="s">
        <v>115</v>
      </c>
      <c r="AC58">
        <v>439</v>
      </c>
      <c r="AD58" s="8" t="b">
        <f>AND(
 H58&gt;=Filters!$B$3,
 H58&lt;=Filters!$B$4,
 I58&gt;=Filters!$B$5,
 OR(Filters!$B$6="All",B58=Filters!$B$6),
 F58&gt;=Filters!$B$7,
 F58&lt;=Filters!$B$8,
 OR(Filters!$B$9="All",G58=Filters!$B$9)
)</f>
        <v>0</v>
      </c>
      <c r="AE58">
        <f t="shared" si="0"/>
        <v>6</v>
      </c>
      <c r="AF58">
        <f t="shared" si="1"/>
        <v>7</v>
      </c>
      <c r="AG58">
        <f t="shared" si="2"/>
        <v>7</v>
      </c>
      <c r="AH58" s="9" t="str">
        <f t="shared" si="3"/>
        <v/>
      </c>
      <c r="AI58" s="9" t="str">
        <f t="shared" si="4"/>
        <v/>
      </c>
      <c r="AJ58" s="9" t="str">
        <f t="shared" si="5"/>
        <v/>
      </c>
      <c r="AK58" s="9" t="str">
        <f t="shared" si="6"/>
        <v/>
      </c>
      <c r="AL58" s="9" t="str">
        <f t="shared" si="7"/>
        <v/>
      </c>
      <c r="AM58" s="9" t="str">
        <f t="shared" si="8"/>
        <v/>
      </c>
      <c r="AN58" s="9" t="str">
        <f t="shared" si="9"/>
        <v/>
      </c>
      <c r="AO58" s="9" t="str">
        <f t="shared" si="10"/>
        <v/>
      </c>
      <c r="AP58" s="9" t="str">
        <f t="shared" si="11"/>
        <v/>
      </c>
      <c r="AQ58" s="10" t="str">
        <f t="shared" si="12"/>
        <v/>
      </c>
    </row>
    <row r="59" spans="1:43">
      <c r="A59">
        <v>58</v>
      </c>
      <c r="B59" t="s">
        <v>21</v>
      </c>
      <c r="C59" t="s">
        <v>244</v>
      </c>
      <c r="D59" t="s">
        <v>245</v>
      </c>
      <c r="E59" t="s">
        <v>97</v>
      </c>
      <c r="G59" t="s">
        <v>18</v>
      </c>
      <c r="H59" s="4">
        <v>15827130</v>
      </c>
      <c r="I59" s="5">
        <v>256</v>
      </c>
      <c r="J59" s="5">
        <v>0</v>
      </c>
      <c r="K59" s="5">
        <v>4</v>
      </c>
      <c r="L59">
        <v>7</v>
      </c>
      <c r="M59">
        <v>3.5</v>
      </c>
      <c r="N59">
        <v>3.92</v>
      </c>
      <c r="O59" s="6">
        <v>15.6</v>
      </c>
      <c r="P59" s="7">
        <v>2</v>
      </c>
      <c r="U59" t="s">
        <v>84</v>
      </c>
      <c r="V59" t="s">
        <v>98</v>
      </c>
      <c r="W59">
        <v>2.5</v>
      </c>
      <c r="X59" t="s">
        <v>84</v>
      </c>
      <c r="Y59" t="s">
        <v>99</v>
      </c>
      <c r="Z59" t="s">
        <v>100</v>
      </c>
      <c r="AA59" t="s">
        <v>114</v>
      </c>
      <c r="AB59" t="s">
        <v>115</v>
      </c>
      <c r="AC59">
        <v>586.19000000000005</v>
      </c>
      <c r="AD59" s="8" t="b">
        <f>AND(
 H59&gt;=Filters!$B$3,
 H59&lt;=Filters!$B$4,
 I59&gt;=Filters!$B$5,
 OR(Filters!$B$6="All",B59=Filters!$B$6),
 F59&gt;=Filters!$B$7,
 F59&lt;=Filters!$B$8,
 OR(Filters!$B$9="All",G59=Filters!$B$9)
)</f>
        <v>1</v>
      </c>
      <c r="AE59">
        <f t="shared" si="0"/>
        <v>6</v>
      </c>
      <c r="AF59">
        <f t="shared" si="1"/>
        <v>7</v>
      </c>
      <c r="AG59">
        <f t="shared" si="2"/>
        <v>7</v>
      </c>
      <c r="AH59" s="9">
        <f t="shared" si="3"/>
        <v>0.69047619047619047</v>
      </c>
      <c r="AI59" s="9">
        <f t="shared" si="4"/>
        <v>0.33333333333333331</v>
      </c>
      <c r="AJ59" s="9">
        <f t="shared" si="5"/>
        <v>0.27380952380952378</v>
      </c>
      <c r="AK59" s="9">
        <f t="shared" si="6"/>
        <v>0.32380952380952377</v>
      </c>
      <c r="AL59" s="9">
        <f t="shared" si="7"/>
        <v>0.90476190476190466</v>
      </c>
      <c r="AM59" s="9">
        <f t="shared" si="8"/>
        <v>0.5714285714285714</v>
      </c>
      <c r="AN59" s="9">
        <f t="shared" si="9"/>
        <v>0.69047619047619047</v>
      </c>
      <c r="AO59" s="9">
        <f t="shared" si="10"/>
        <v>0.69047619047619047</v>
      </c>
      <c r="AP59" s="9">
        <f t="shared" si="11"/>
        <v>0.56203308470507707</v>
      </c>
      <c r="AQ59" s="10">
        <f t="shared" si="12"/>
        <v>0.56203314370507707</v>
      </c>
    </row>
    <row r="60" spans="1:43">
      <c r="A60">
        <v>59</v>
      </c>
      <c r="B60" t="s">
        <v>30</v>
      </c>
      <c r="C60" t="s">
        <v>246</v>
      </c>
      <c r="D60" t="s">
        <v>247</v>
      </c>
      <c r="E60" t="s">
        <v>158</v>
      </c>
      <c r="G60" t="s">
        <v>18</v>
      </c>
      <c r="H60" s="4">
        <v>66123000</v>
      </c>
      <c r="I60" s="5">
        <v>256</v>
      </c>
      <c r="J60" s="5">
        <v>2048</v>
      </c>
      <c r="K60" s="5">
        <v>16</v>
      </c>
      <c r="L60">
        <v>9.6</v>
      </c>
      <c r="M60">
        <v>9.1999999999999993</v>
      </c>
      <c r="N60">
        <v>5.83</v>
      </c>
      <c r="O60" s="6">
        <v>17.3</v>
      </c>
      <c r="P60" s="7">
        <v>2.4300000000000002</v>
      </c>
      <c r="U60" t="s">
        <v>84</v>
      </c>
      <c r="V60" t="s">
        <v>210</v>
      </c>
      <c r="W60">
        <v>2.8</v>
      </c>
      <c r="X60" t="s">
        <v>122</v>
      </c>
      <c r="Y60" t="s">
        <v>248</v>
      </c>
      <c r="Z60" t="s">
        <v>249</v>
      </c>
      <c r="AA60" t="s">
        <v>101</v>
      </c>
      <c r="AB60" t="s">
        <v>115</v>
      </c>
      <c r="AC60">
        <v>2449</v>
      </c>
      <c r="AD60" s="8" t="b">
        <f>AND(
 H60&gt;=Filters!$B$3,
 H60&lt;=Filters!$B$4,
 I60&gt;=Filters!$B$5,
 OR(Filters!$B$6="All",B60=Filters!$B$6),
 F60&gt;=Filters!$B$7,
 F60&lt;=Filters!$B$8,
 OR(Filters!$B$9="All",G60=Filters!$B$9)
)</f>
        <v>0</v>
      </c>
      <c r="AE60">
        <f t="shared" si="0"/>
        <v>6</v>
      </c>
      <c r="AF60">
        <f t="shared" si="1"/>
        <v>7</v>
      </c>
      <c r="AG60">
        <f t="shared" si="2"/>
        <v>7</v>
      </c>
      <c r="AH60" s="9" t="str">
        <f t="shared" si="3"/>
        <v/>
      </c>
      <c r="AI60" s="9" t="str">
        <f t="shared" si="4"/>
        <v/>
      </c>
      <c r="AJ60" s="9" t="str">
        <f t="shared" si="5"/>
        <v/>
      </c>
      <c r="AK60" s="9" t="str">
        <f t="shared" si="6"/>
        <v/>
      </c>
      <c r="AL60" s="9" t="str">
        <f t="shared" si="7"/>
        <v/>
      </c>
      <c r="AM60" s="9" t="str">
        <f t="shared" si="8"/>
        <v/>
      </c>
      <c r="AN60" s="9" t="str">
        <f t="shared" si="9"/>
        <v/>
      </c>
      <c r="AO60" s="9" t="str">
        <f t="shared" si="10"/>
        <v/>
      </c>
      <c r="AP60" s="9" t="str">
        <f t="shared" si="11"/>
        <v/>
      </c>
      <c r="AQ60" s="10" t="str">
        <f t="shared" si="12"/>
        <v/>
      </c>
    </row>
    <row r="61" spans="1:43">
      <c r="A61">
        <v>60</v>
      </c>
      <c r="B61" t="s">
        <v>21</v>
      </c>
      <c r="C61" t="s">
        <v>250</v>
      </c>
      <c r="D61" t="s">
        <v>251</v>
      </c>
      <c r="E61" t="s">
        <v>97</v>
      </c>
      <c r="G61" t="s">
        <v>18</v>
      </c>
      <c r="H61" s="4">
        <v>11205000</v>
      </c>
      <c r="I61" s="5">
        <v>256</v>
      </c>
      <c r="J61" s="5">
        <v>0</v>
      </c>
      <c r="K61" s="5">
        <v>4</v>
      </c>
      <c r="L61">
        <v>4</v>
      </c>
      <c r="M61">
        <v>3.5</v>
      </c>
      <c r="N61">
        <v>5.92</v>
      </c>
      <c r="O61" s="6">
        <v>15.6</v>
      </c>
      <c r="P61" s="7">
        <v>2</v>
      </c>
      <c r="U61" t="s">
        <v>84</v>
      </c>
      <c r="V61" t="s">
        <v>129</v>
      </c>
      <c r="W61">
        <v>2</v>
      </c>
      <c r="X61" t="s">
        <v>84</v>
      </c>
      <c r="Y61" t="s">
        <v>130</v>
      </c>
      <c r="Z61" t="s">
        <v>100</v>
      </c>
      <c r="AA61" t="s">
        <v>101</v>
      </c>
      <c r="AB61" t="s">
        <v>201</v>
      </c>
      <c r="AC61">
        <v>415</v>
      </c>
      <c r="AD61" s="8" t="b">
        <f>AND(
 H61&gt;=Filters!$B$3,
 H61&lt;=Filters!$B$4,
 I61&gt;=Filters!$B$5,
 OR(Filters!$B$6="All",B61=Filters!$B$6),
 F61&gt;=Filters!$B$7,
 F61&lt;=Filters!$B$8,
 OR(Filters!$B$9="All",G61=Filters!$B$9)
)</f>
        <v>1</v>
      </c>
      <c r="AE61">
        <f t="shared" si="0"/>
        <v>6</v>
      </c>
      <c r="AF61">
        <f t="shared" si="1"/>
        <v>7</v>
      </c>
      <c r="AG61">
        <f t="shared" si="2"/>
        <v>7</v>
      </c>
      <c r="AH61" s="9">
        <f t="shared" si="3"/>
        <v>0.33333333333333331</v>
      </c>
      <c r="AI61" s="9">
        <f t="shared" si="4"/>
        <v>0.33333333333333331</v>
      </c>
      <c r="AJ61" s="9">
        <f t="shared" si="5"/>
        <v>0.27380952380952378</v>
      </c>
      <c r="AK61" s="9">
        <f t="shared" si="6"/>
        <v>0.56190476190476191</v>
      </c>
      <c r="AL61" s="9">
        <f t="shared" si="7"/>
        <v>0.90476190476190466</v>
      </c>
      <c r="AM61" s="9">
        <f t="shared" si="8"/>
        <v>0.5714285714285714</v>
      </c>
      <c r="AN61" s="9">
        <f t="shared" si="9"/>
        <v>0.69047619047619047</v>
      </c>
      <c r="AO61" s="9">
        <f t="shared" si="10"/>
        <v>0.69047619047619047</v>
      </c>
      <c r="AP61" s="9">
        <f t="shared" si="11"/>
        <v>0.50701738810299546</v>
      </c>
      <c r="AQ61" s="10">
        <f t="shared" si="12"/>
        <v>0.50701744910299551</v>
      </c>
    </row>
    <row r="62" spans="1:43">
      <c r="A62">
        <v>61</v>
      </c>
      <c r="B62" t="s">
        <v>23</v>
      </c>
      <c r="C62" t="s">
        <v>202</v>
      </c>
      <c r="D62" t="s">
        <v>203</v>
      </c>
      <c r="E62" t="s">
        <v>97</v>
      </c>
      <c r="G62" t="s">
        <v>18</v>
      </c>
      <c r="H62" s="4">
        <v>35073000</v>
      </c>
      <c r="I62" s="5">
        <v>256</v>
      </c>
      <c r="J62" s="5">
        <v>2048</v>
      </c>
      <c r="K62" s="5">
        <v>16</v>
      </c>
      <c r="L62">
        <v>7.6</v>
      </c>
      <c r="M62">
        <v>6.5</v>
      </c>
      <c r="N62">
        <v>5.83</v>
      </c>
      <c r="O62" s="6">
        <v>17.3</v>
      </c>
      <c r="P62" s="7">
        <v>2.8</v>
      </c>
      <c r="U62" t="s">
        <v>84</v>
      </c>
      <c r="V62" t="s">
        <v>121</v>
      </c>
      <c r="W62">
        <v>1.8</v>
      </c>
      <c r="X62" t="s">
        <v>104</v>
      </c>
      <c r="Y62" t="s">
        <v>176</v>
      </c>
      <c r="Z62" t="s">
        <v>249</v>
      </c>
      <c r="AA62" t="s">
        <v>101</v>
      </c>
      <c r="AB62" t="s">
        <v>115</v>
      </c>
      <c r="AC62">
        <v>1299</v>
      </c>
      <c r="AD62" s="8" t="b">
        <f>AND(
 H62&gt;=Filters!$B$3,
 H62&lt;=Filters!$B$4,
 I62&gt;=Filters!$B$5,
 OR(Filters!$B$6="All",B62=Filters!$B$6),
 F62&gt;=Filters!$B$7,
 F62&lt;=Filters!$B$8,
 OR(Filters!$B$9="All",G62=Filters!$B$9)
)</f>
        <v>0</v>
      </c>
      <c r="AE62">
        <f t="shared" si="0"/>
        <v>6</v>
      </c>
      <c r="AF62">
        <f t="shared" si="1"/>
        <v>7</v>
      </c>
      <c r="AG62">
        <f t="shared" si="2"/>
        <v>7</v>
      </c>
      <c r="AH62" s="9" t="str">
        <f t="shared" si="3"/>
        <v/>
      </c>
      <c r="AI62" s="9" t="str">
        <f t="shared" si="4"/>
        <v/>
      </c>
      <c r="AJ62" s="9" t="str">
        <f t="shared" si="5"/>
        <v/>
      </c>
      <c r="AK62" s="9" t="str">
        <f t="shared" si="6"/>
        <v/>
      </c>
      <c r="AL62" s="9" t="str">
        <f t="shared" si="7"/>
        <v/>
      </c>
      <c r="AM62" s="9" t="str">
        <f t="shared" si="8"/>
        <v/>
      </c>
      <c r="AN62" s="9" t="str">
        <f t="shared" si="9"/>
        <v/>
      </c>
      <c r="AO62" s="9" t="str">
        <f t="shared" si="10"/>
        <v/>
      </c>
      <c r="AP62" s="9" t="str">
        <f t="shared" si="11"/>
        <v/>
      </c>
      <c r="AQ62" s="10" t="str">
        <f t="shared" si="12"/>
        <v/>
      </c>
    </row>
    <row r="63" spans="1:43">
      <c r="A63">
        <v>62</v>
      </c>
      <c r="B63" t="s">
        <v>23</v>
      </c>
      <c r="C63" t="s">
        <v>252</v>
      </c>
      <c r="D63" t="s">
        <v>253</v>
      </c>
      <c r="E63" t="s">
        <v>83</v>
      </c>
      <c r="G63" t="s">
        <v>18</v>
      </c>
      <c r="H63" s="4">
        <v>23733000</v>
      </c>
      <c r="I63" s="5">
        <v>256</v>
      </c>
      <c r="J63" s="5">
        <v>0</v>
      </c>
      <c r="K63" s="5">
        <v>8</v>
      </c>
      <c r="L63">
        <v>5.2</v>
      </c>
      <c r="M63">
        <v>3.8</v>
      </c>
      <c r="N63">
        <v>6</v>
      </c>
      <c r="O63" s="6">
        <v>14</v>
      </c>
      <c r="P63" s="7">
        <v>1.7</v>
      </c>
      <c r="U63" t="s">
        <v>84</v>
      </c>
      <c r="V63" t="s">
        <v>126</v>
      </c>
      <c r="W63">
        <v>1.6</v>
      </c>
      <c r="X63" t="s">
        <v>84</v>
      </c>
      <c r="Y63" t="s">
        <v>127</v>
      </c>
      <c r="Z63" t="s">
        <v>100</v>
      </c>
      <c r="AA63" t="s">
        <v>101</v>
      </c>
      <c r="AB63" t="s">
        <v>115</v>
      </c>
      <c r="AC63">
        <v>879</v>
      </c>
      <c r="AD63" s="8" t="b">
        <f>AND(
 H63&gt;=Filters!$B$3,
 H63&lt;=Filters!$B$4,
 I63&gt;=Filters!$B$5,
 OR(Filters!$B$6="All",B63=Filters!$B$6),
 F63&gt;=Filters!$B$7,
 F63&lt;=Filters!$B$8,
 OR(Filters!$B$9="All",G63=Filters!$B$9)
)</f>
        <v>1</v>
      </c>
      <c r="AE63">
        <f t="shared" si="0"/>
        <v>6</v>
      </c>
      <c r="AF63">
        <f t="shared" si="1"/>
        <v>7</v>
      </c>
      <c r="AG63">
        <f t="shared" si="2"/>
        <v>7</v>
      </c>
      <c r="AH63" s="9">
        <f t="shared" si="3"/>
        <v>0.47619047619047616</v>
      </c>
      <c r="AI63" s="9">
        <f t="shared" si="4"/>
        <v>0.80952380952380942</v>
      </c>
      <c r="AJ63" s="9">
        <f t="shared" si="5"/>
        <v>0.30952380952380948</v>
      </c>
      <c r="AK63" s="9">
        <f t="shared" si="6"/>
        <v>0.5714285714285714</v>
      </c>
      <c r="AL63" s="9">
        <f t="shared" si="7"/>
        <v>0.94047619047619035</v>
      </c>
      <c r="AM63" s="9">
        <f t="shared" si="8"/>
        <v>0.5714285714285714</v>
      </c>
      <c r="AN63" s="9">
        <f t="shared" si="9"/>
        <v>0.69047619047619047</v>
      </c>
      <c r="AO63" s="9">
        <f t="shared" si="10"/>
        <v>0.69047619047619047</v>
      </c>
      <c r="AP63" s="9">
        <f t="shared" si="11"/>
        <v>0.62850843819707169</v>
      </c>
      <c r="AQ63" s="10">
        <f t="shared" si="12"/>
        <v>0.62850850119707169</v>
      </c>
    </row>
    <row r="64" spans="1:43">
      <c r="A64">
        <v>63</v>
      </c>
      <c r="B64" t="s">
        <v>29</v>
      </c>
      <c r="C64" t="s">
        <v>254</v>
      </c>
      <c r="D64" t="s">
        <v>255</v>
      </c>
      <c r="E64" t="s">
        <v>97</v>
      </c>
      <c r="G64" t="s">
        <v>18</v>
      </c>
      <c r="H64" s="4">
        <v>16173000</v>
      </c>
      <c r="I64" s="5">
        <v>256</v>
      </c>
      <c r="J64" s="5">
        <v>0</v>
      </c>
      <c r="K64" s="5">
        <v>8</v>
      </c>
      <c r="L64">
        <v>5.4</v>
      </c>
      <c r="M64">
        <v>3.5</v>
      </c>
      <c r="N64">
        <v>6.4</v>
      </c>
      <c r="O64" s="6">
        <v>14</v>
      </c>
      <c r="P64" s="7">
        <v>1.7</v>
      </c>
      <c r="U64" t="s">
        <v>84</v>
      </c>
      <c r="V64" t="s">
        <v>200</v>
      </c>
      <c r="W64">
        <v>2.7</v>
      </c>
      <c r="X64" t="s">
        <v>84</v>
      </c>
      <c r="Y64" t="s">
        <v>99</v>
      </c>
      <c r="Z64" t="s">
        <v>100</v>
      </c>
      <c r="AA64" t="s">
        <v>128</v>
      </c>
      <c r="AB64" t="s">
        <v>102</v>
      </c>
      <c r="AC64">
        <v>599</v>
      </c>
      <c r="AD64" s="8" t="b">
        <f>AND(
 H64&gt;=Filters!$B$3,
 H64&lt;=Filters!$B$4,
 I64&gt;=Filters!$B$5,
 OR(Filters!$B$6="All",B64=Filters!$B$6),
 F64&gt;=Filters!$B$7,
 F64&lt;=Filters!$B$8,
 OR(Filters!$B$9="All",G64=Filters!$B$9)
)</f>
        <v>1</v>
      </c>
      <c r="AE64">
        <f t="shared" si="0"/>
        <v>6</v>
      </c>
      <c r="AF64">
        <f t="shared" si="1"/>
        <v>7</v>
      </c>
      <c r="AG64">
        <f t="shared" si="2"/>
        <v>7</v>
      </c>
      <c r="AH64" s="9">
        <f t="shared" si="3"/>
        <v>0.5</v>
      </c>
      <c r="AI64" s="9">
        <f t="shared" si="4"/>
        <v>0.80952380952380942</v>
      </c>
      <c r="AJ64" s="9">
        <f t="shared" si="5"/>
        <v>0.27380952380952378</v>
      </c>
      <c r="AK64" s="9">
        <f t="shared" si="6"/>
        <v>0.61904761904761907</v>
      </c>
      <c r="AL64" s="9">
        <f t="shared" si="7"/>
        <v>0.94047619047619035</v>
      </c>
      <c r="AM64" s="9">
        <f t="shared" si="8"/>
        <v>0.5714285714285714</v>
      </c>
      <c r="AN64" s="9">
        <f t="shared" si="9"/>
        <v>0.69047619047619047</v>
      </c>
      <c r="AO64" s="9">
        <f t="shared" si="10"/>
        <v>0.69047619047619047</v>
      </c>
      <c r="AP64" s="9">
        <f t="shared" si="11"/>
        <v>0.63505087419212525</v>
      </c>
      <c r="AQ64" s="10">
        <f t="shared" si="12"/>
        <v>0.63505093819212521</v>
      </c>
    </row>
    <row r="65" spans="1:43">
      <c r="A65">
        <v>64</v>
      </c>
      <c r="B65" t="s">
        <v>21</v>
      </c>
      <c r="C65" t="s">
        <v>256</v>
      </c>
      <c r="D65" t="s">
        <v>257</v>
      </c>
      <c r="E65" t="s">
        <v>97</v>
      </c>
      <c r="G65" t="s">
        <v>18</v>
      </c>
      <c r="H65" s="4">
        <v>25407000</v>
      </c>
      <c r="I65" s="5">
        <v>256</v>
      </c>
      <c r="J65" s="5">
        <v>0</v>
      </c>
      <c r="K65" s="5">
        <v>8</v>
      </c>
      <c r="L65">
        <v>5.2</v>
      </c>
      <c r="M65">
        <v>3.8</v>
      </c>
      <c r="N65">
        <v>6</v>
      </c>
      <c r="O65" s="6">
        <v>14</v>
      </c>
      <c r="P65" s="7">
        <v>1.4</v>
      </c>
      <c r="U65" t="s">
        <v>84</v>
      </c>
      <c r="V65" t="s">
        <v>126</v>
      </c>
      <c r="W65">
        <v>1.6</v>
      </c>
      <c r="X65" t="s">
        <v>84</v>
      </c>
      <c r="Y65" t="s">
        <v>127</v>
      </c>
      <c r="Z65" t="s">
        <v>100</v>
      </c>
      <c r="AA65" t="s">
        <v>101</v>
      </c>
      <c r="AB65" t="s">
        <v>115</v>
      </c>
      <c r="AC65">
        <v>941</v>
      </c>
      <c r="AD65" s="8" t="b">
        <f>AND(
 H65&gt;=Filters!$B$3,
 H65&lt;=Filters!$B$4,
 I65&gt;=Filters!$B$5,
 OR(Filters!$B$6="All",B65=Filters!$B$6),
 F65&gt;=Filters!$B$7,
 F65&lt;=Filters!$B$8,
 OR(Filters!$B$9="All",G65=Filters!$B$9)
)</f>
        <v>0</v>
      </c>
      <c r="AE65">
        <f t="shared" si="0"/>
        <v>6</v>
      </c>
      <c r="AF65">
        <f t="shared" si="1"/>
        <v>7</v>
      </c>
      <c r="AG65">
        <f t="shared" si="2"/>
        <v>7</v>
      </c>
      <c r="AH65" s="9" t="str">
        <f t="shared" si="3"/>
        <v/>
      </c>
      <c r="AI65" s="9" t="str">
        <f t="shared" si="4"/>
        <v/>
      </c>
      <c r="AJ65" s="9" t="str">
        <f t="shared" si="5"/>
        <v/>
      </c>
      <c r="AK65" s="9" t="str">
        <f t="shared" si="6"/>
        <v/>
      </c>
      <c r="AL65" s="9" t="str">
        <f t="shared" si="7"/>
        <v/>
      </c>
      <c r="AM65" s="9" t="str">
        <f t="shared" si="8"/>
        <v/>
      </c>
      <c r="AN65" s="9" t="str">
        <f t="shared" si="9"/>
        <v/>
      </c>
      <c r="AO65" s="9" t="str">
        <f t="shared" si="10"/>
        <v/>
      </c>
      <c r="AP65" s="9" t="str">
        <f t="shared" si="11"/>
        <v/>
      </c>
      <c r="AQ65" s="10" t="str">
        <f t="shared" si="12"/>
        <v/>
      </c>
    </row>
    <row r="66" spans="1:43">
      <c r="A66">
        <v>65</v>
      </c>
      <c r="B66" t="s">
        <v>26</v>
      </c>
      <c r="C66" t="s">
        <v>95</v>
      </c>
      <c r="D66" t="s">
        <v>96</v>
      </c>
      <c r="E66" t="s">
        <v>97</v>
      </c>
      <c r="G66" t="s">
        <v>18</v>
      </c>
      <c r="H66" s="4">
        <v>18630000</v>
      </c>
      <c r="I66" s="5">
        <v>256</v>
      </c>
      <c r="J66" s="5">
        <v>0</v>
      </c>
      <c r="K66" s="5">
        <v>8</v>
      </c>
      <c r="L66">
        <v>7</v>
      </c>
      <c r="M66">
        <v>3.5</v>
      </c>
      <c r="N66">
        <v>5.92</v>
      </c>
      <c r="O66" s="6">
        <v>15.6</v>
      </c>
      <c r="P66" s="7">
        <v>1.86</v>
      </c>
      <c r="U66" t="s">
        <v>84</v>
      </c>
      <c r="V66" t="s">
        <v>98</v>
      </c>
      <c r="W66">
        <v>2.5</v>
      </c>
      <c r="X66" t="s">
        <v>84</v>
      </c>
      <c r="Y66" t="s">
        <v>99</v>
      </c>
      <c r="Z66" t="s">
        <v>100</v>
      </c>
      <c r="AA66" t="s">
        <v>101</v>
      </c>
      <c r="AB66" t="s">
        <v>115</v>
      </c>
      <c r="AC66">
        <v>690</v>
      </c>
      <c r="AD66" s="8" t="b">
        <f>AND(
 H66&gt;=Filters!$B$3,
 H66&lt;=Filters!$B$4,
 I66&gt;=Filters!$B$5,
 OR(Filters!$B$6="All",B66=Filters!$B$6),
 F66&gt;=Filters!$B$7,
 F66&lt;=Filters!$B$8,
 OR(Filters!$B$9="All",G66=Filters!$B$9)
)</f>
        <v>1</v>
      </c>
      <c r="AE66">
        <f t="shared" ref="AE66:AE129" si="13">IF(Q66="",6,Q66)</f>
        <v>6</v>
      </c>
      <c r="AF66">
        <f t="shared" ref="AF66:AF129" si="14">IF(R66="",7,R66)</f>
        <v>7</v>
      </c>
      <c r="AG66">
        <f t="shared" ref="AG66:AG129" si="15">IF(S66="",7,S66)</f>
        <v>7</v>
      </c>
      <c r="AH66" s="9">
        <f t="shared" ref="AH66:AH129" si="16">IF(AD66,IF(CPU_MAX=CPU_MIN,1,(L66-CPU_MIN)/(CPU_MAX-CPU_MIN)),"")</f>
        <v>0.69047619047619047</v>
      </c>
      <c r="AI66" s="9">
        <f t="shared" ref="AI66:AI129" si="17">IF(AD66,IF(RAM_MAX=RAM_MIN,1,(K66-RAM_MIN)/(RAM_MAX-RAM_MIN)),"")</f>
        <v>0.80952380952380942</v>
      </c>
      <c r="AJ66" s="9">
        <f t="shared" ref="AJ66:AJ129" si="18">IF(AD66,IF(GPU_MAX=GPU_MIN,1,(M66-GPU_MIN)/(GPU_MAX-GPU_MIN)),"")</f>
        <v>0.27380952380952378</v>
      </c>
      <c r="AK66" s="9">
        <f t="shared" ref="AK66:AK129" si="19">IF(AD66,IF(SCREEN_MAX=SCREEN_MIN,1,(N66-SCREEN_MIN)/(SCREEN_MAX-SCREEN_MIN)),"")</f>
        <v>0.56190476190476191</v>
      </c>
      <c r="AL66" s="9">
        <f t="shared" ref="AL66:AL129" si="20">IF(AD66,IF(WEIGHT_MAX=WEIGHT_MIN,1,(WEIGHT_MAX-P66)/(WEIGHT_MAX-WEIGHT_MIN)),"")</f>
        <v>0.92142857142857126</v>
      </c>
      <c r="AM66" s="9">
        <f t="shared" ref="AM66:AM129" si="21">IF(AD66,IF(BATTERY_MAX=BATTERY_MIN,1,(AE66-BATTERY_MIN)/(BATTERY_MAX-BATTERY_MIN)),"")</f>
        <v>0.5714285714285714</v>
      </c>
      <c r="AN66" s="9">
        <f t="shared" ref="AN66:AN129" si="22">IF(AD66,IF(DURABILITY_MAX=DURABILITY_MIN,1,(AF66-DURABILITY_MIN)/(DURABILITY_MAX-DURABILITY_MIN)),"")</f>
        <v>0.69047619047619047</v>
      </c>
      <c r="AO66" s="9">
        <f t="shared" ref="AO66:AO129" si="23">IF(AD66,IF(UPGRADE_MAX=UPGRADE_MIN,1,(AG66-UPGRADE_MIN)/(UPGRADE_MAX-UPGRADE_MIN)),"")</f>
        <v>0.69047619047619047</v>
      </c>
      <c r="AP66" s="9">
        <f t="shared" ref="AP66:AP129" si="24">IF(AD66,W_CPU*AH66+W_RAM*AI66+W_GPU*AJ66+W_SCREEN*AK66+W_WEIGHT*AL66+W_BATTERY*AM66+W_DURABILITY*AN66+W_UPGRADE*AO66,"" )</f>
        <v>0.66917229991738136</v>
      </c>
      <c r="AQ66" s="10">
        <f t="shared" ref="AQ66:AQ129" si="25">IF(AP66="","",AP66+ROW()*0.000000001)</f>
        <v>0.66917236591738138</v>
      </c>
    </row>
    <row r="67" spans="1:43">
      <c r="A67">
        <v>66</v>
      </c>
      <c r="B67" t="s">
        <v>21</v>
      </c>
      <c r="C67" t="s">
        <v>258</v>
      </c>
      <c r="D67" t="s">
        <v>259</v>
      </c>
      <c r="E67" t="s">
        <v>83</v>
      </c>
      <c r="G67" t="s">
        <v>18</v>
      </c>
      <c r="H67" s="4">
        <v>53541000</v>
      </c>
      <c r="I67" s="5">
        <v>512</v>
      </c>
      <c r="J67" s="5">
        <v>0</v>
      </c>
      <c r="K67" s="5">
        <v>16</v>
      </c>
      <c r="L67">
        <v>9.6</v>
      </c>
      <c r="M67">
        <v>9.1999999999999993</v>
      </c>
      <c r="N67">
        <v>5.92</v>
      </c>
      <c r="O67" s="6">
        <v>15.6</v>
      </c>
      <c r="P67" s="7">
        <v>1.8</v>
      </c>
      <c r="U67" t="s">
        <v>84</v>
      </c>
      <c r="V67" t="s">
        <v>210</v>
      </c>
      <c r="W67">
        <v>2.8</v>
      </c>
      <c r="X67" t="s">
        <v>122</v>
      </c>
      <c r="Y67" t="s">
        <v>260</v>
      </c>
      <c r="Z67" t="s">
        <v>106</v>
      </c>
      <c r="AA67" t="s">
        <v>101</v>
      </c>
      <c r="AB67" t="s">
        <v>115</v>
      </c>
      <c r="AC67">
        <v>1983</v>
      </c>
      <c r="AD67" s="8" t="b">
        <f>AND(
 H67&gt;=Filters!$B$3,
 H67&lt;=Filters!$B$4,
 I67&gt;=Filters!$B$5,
 OR(Filters!$B$6="All",B67=Filters!$B$6),
 F67&gt;=Filters!$B$7,
 F67&lt;=Filters!$B$8,
 OR(Filters!$B$9="All",G67=Filters!$B$9)
)</f>
        <v>0</v>
      </c>
      <c r="AE67">
        <f t="shared" si="13"/>
        <v>6</v>
      </c>
      <c r="AF67">
        <f t="shared" si="14"/>
        <v>7</v>
      </c>
      <c r="AG67">
        <f t="shared" si="15"/>
        <v>7</v>
      </c>
      <c r="AH67" s="9" t="str">
        <f t="shared" si="16"/>
        <v/>
      </c>
      <c r="AI67" s="9" t="str">
        <f t="shared" si="17"/>
        <v/>
      </c>
      <c r="AJ67" s="9" t="str">
        <f t="shared" si="18"/>
        <v/>
      </c>
      <c r="AK67" s="9" t="str">
        <f t="shared" si="19"/>
        <v/>
      </c>
      <c r="AL67" s="9" t="str">
        <f t="shared" si="20"/>
        <v/>
      </c>
      <c r="AM67" s="9" t="str">
        <f t="shared" si="21"/>
        <v/>
      </c>
      <c r="AN67" s="9" t="str">
        <f t="shared" si="22"/>
        <v/>
      </c>
      <c r="AO67" s="9" t="str">
        <f t="shared" si="23"/>
        <v/>
      </c>
      <c r="AP67" s="9" t="str">
        <f t="shared" si="24"/>
        <v/>
      </c>
      <c r="AQ67" s="10" t="str">
        <f t="shared" si="25"/>
        <v/>
      </c>
    </row>
    <row r="68" spans="1:43">
      <c r="A68">
        <v>67</v>
      </c>
      <c r="B68" t="s">
        <v>26</v>
      </c>
      <c r="C68" t="s">
        <v>95</v>
      </c>
      <c r="D68" t="s">
        <v>96</v>
      </c>
      <c r="E68" t="s">
        <v>97</v>
      </c>
      <c r="G68" t="s">
        <v>18</v>
      </c>
      <c r="H68" s="4">
        <v>11844630</v>
      </c>
      <c r="I68" s="5">
        <v>0</v>
      </c>
      <c r="J68" s="5">
        <v>500</v>
      </c>
      <c r="K68" s="5">
        <v>4</v>
      </c>
      <c r="L68">
        <v>4</v>
      </c>
      <c r="M68">
        <v>6.5</v>
      </c>
      <c r="N68">
        <v>3.92</v>
      </c>
      <c r="O68" s="6">
        <v>15.6</v>
      </c>
      <c r="P68" s="7">
        <v>1.86</v>
      </c>
      <c r="U68" t="s">
        <v>84</v>
      </c>
      <c r="V68" t="s">
        <v>129</v>
      </c>
      <c r="W68">
        <v>2</v>
      </c>
      <c r="X68" t="s">
        <v>104</v>
      </c>
      <c r="Y68" t="s">
        <v>241</v>
      </c>
      <c r="Z68" t="s">
        <v>113</v>
      </c>
      <c r="AA68" t="s">
        <v>114</v>
      </c>
      <c r="AB68" t="s">
        <v>115</v>
      </c>
      <c r="AC68">
        <v>438.69</v>
      </c>
      <c r="AD68" s="8" t="b">
        <f>AND(
 H68&gt;=Filters!$B$3,
 H68&lt;=Filters!$B$4,
 I68&gt;=Filters!$B$5,
 OR(Filters!$B$6="All",B68=Filters!$B$6),
 F68&gt;=Filters!$B$7,
 F68&lt;=Filters!$B$8,
 OR(Filters!$B$9="All",G68=Filters!$B$9)
)</f>
        <v>0</v>
      </c>
      <c r="AE68">
        <f t="shared" si="13"/>
        <v>6</v>
      </c>
      <c r="AF68">
        <f t="shared" si="14"/>
        <v>7</v>
      </c>
      <c r="AG68">
        <f t="shared" si="15"/>
        <v>7</v>
      </c>
      <c r="AH68" s="9" t="str">
        <f t="shared" si="16"/>
        <v/>
      </c>
      <c r="AI68" s="9" t="str">
        <f t="shared" si="17"/>
        <v/>
      </c>
      <c r="AJ68" s="9" t="str">
        <f t="shared" si="18"/>
        <v/>
      </c>
      <c r="AK68" s="9" t="str">
        <f t="shared" si="19"/>
        <v/>
      </c>
      <c r="AL68" s="9" t="str">
        <f t="shared" si="20"/>
        <v/>
      </c>
      <c r="AM68" s="9" t="str">
        <f t="shared" si="21"/>
        <v/>
      </c>
      <c r="AN68" s="9" t="str">
        <f t="shared" si="22"/>
        <v/>
      </c>
      <c r="AO68" s="9" t="str">
        <f t="shared" si="23"/>
        <v/>
      </c>
      <c r="AP68" s="9" t="str">
        <f t="shared" si="24"/>
        <v/>
      </c>
      <c r="AQ68" s="10" t="str">
        <f t="shared" si="25"/>
        <v/>
      </c>
    </row>
    <row r="69" spans="1:43">
      <c r="A69">
        <v>68</v>
      </c>
      <c r="B69" t="s">
        <v>26</v>
      </c>
      <c r="C69" t="s">
        <v>261</v>
      </c>
      <c r="D69" t="s">
        <v>262</v>
      </c>
      <c r="E69" t="s">
        <v>97</v>
      </c>
      <c r="G69" t="s">
        <v>18</v>
      </c>
      <c r="H69" s="4">
        <v>6183000</v>
      </c>
      <c r="I69" s="5">
        <v>32</v>
      </c>
      <c r="J69" s="5">
        <v>0</v>
      </c>
      <c r="K69" s="5">
        <v>4</v>
      </c>
      <c r="L69">
        <v>1.2</v>
      </c>
      <c r="M69">
        <v>3.5</v>
      </c>
      <c r="N69">
        <v>4</v>
      </c>
      <c r="O69" s="6">
        <v>14</v>
      </c>
      <c r="P69" s="7">
        <v>1.44</v>
      </c>
      <c r="U69" t="s">
        <v>84</v>
      </c>
      <c r="V69" t="s">
        <v>263</v>
      </c>
      <c r="W69">
        <v>1.6</v>
      </c>
      <c r="X69" t="s">
        <v>84</v>
      </c>
      <c r="Y69" t="s">
        <v>154</v>
      </c>
      <c r="Z69" t="s">
        <v>264</v>
      </c>
      <c r="AA69" t="s">
        <v>114</v>
      </c>
      <c r="AB69" t="s">
        <v>115</v>
      </c>
      <c r="AC69">
        <v>229</v>
      </c>
      <c r="AD69" s="8" t="b">
        <f>AND(
 H69&gt;=Filters!$B$3,
 H69&lt;=Filters!$B$4,
 I69&gt;=Filters!$B$5,
 OR(Filters!$B$6="All",B69=Filters!$B$6),
 F69&gt;=Filters!$B$7,
 F69&lt;=Filters!$B$8,
 OR(Filters!$B$9="All",G69=Filters!$B$9)
)</f>
        <v>0</v>
      </c>
      <c r="AE69">
        <f t="shared" si="13"/>
        <v>6</v>
      </c>
      <c r="AF69">
        <f t="shared" si="14"/>
        <v>7</v>
      </c>
      <c r="AG69">
        <f t="shared" si="15"/>
        <v>7</v>
      </c>
      <c r="AH69" s="9" t="str">
        <f t="shared" si="16"/>
        <v/>
      </c>
      <c r="AI69" s="9" t="str">
        <f t="shared" si="17"/>
        <v/>
      </c>
      <c r="AJ69" s="9" t="str">
        <f t="shared" si="18"/>
        <v/>
      </c>
      <c r="AK69" s="9" t="str">
        <f t="shared" si="19"/>
        <v/>
      </c>
      <c r="AL69" s="9" t="str">
        <f t="shared" si="20"/>
        <v/>
      </c>
      <c r="AM69" s="9" t="str">
        <f t="shared" si="21"/>
        <v/>
      </c>
      <c r="AN69" s="9" t="str">
        <f t="shared" si="22"/>
        <v/>
      </c>
      <c r="AO69" s="9" t="str">
        <f t="shared" si="23"/>
        <v/>
      </c>
      <c r="AP69" s="9" t="str">
        <f t="shared" si="24"/>
        <v/>
      </c>
      <c r="AQ69" s="10" t="str">
        <f t="shared" si="25"/>
        <v/>
      </c>
    </row>
    <row r="70" spans="1:43">
      <c r="A70">
        <v>69</v>
      </c>
      <c r="B70" t="s">
        <v>29</v>
      </c>
      <c r="C70" t="s">
        <v>265</v>
      </c>
      <c r="D70" t="s">
        <v>266</v>
      </c>
      <c r="E70" t="s">
        <v>97</v>
      </c>
      <c r="G70" t="s">
        <v>18</v>
      </c>
      <c r="H70" s="4">
        <v>14823000</v>
      </c>
      <c r="I70" s="5">
        <v>0</v>
      </c>
      <c r="J70" s="5">
        <v>1024</v>
      </c>
      <c r="K70" s="5">
        <v>4</v>
      </c>
      <c r="L70">
        <v>7</v>
      </c>
      <c r="M70">
        <v>3.5</v>
      </c>
      <c r="N70">
        <v>5.92</v>
      </c>
      <c r="O70" s="6">
        <v>15.6</v>
      </c>
      <c r="P70" s="7">
        <v>1.9</v>
      </c>
      <c r="U70" t="s">
        <v>84</v>
      </c>
      <c r="V70" t="s">
        <v>98</v>
      </c>
      <c r="W70">
        <v>2.5</v>
      </c>
      <c r="X70" t="s">
        <v>84</v>
      </c>
      <c r="Y70" t="s">
        <v>99</v>
      </c>
      <c r="Z70" t="s">
        <v>146</v>
      </c>
      <c r="AA70" t="s">
        <v>101</v>
      </c>
      <c r="AB70" t="s">
        <v>115</v>
      </c>
      <c r="AC70">
        <v>549</v>
      </c>
      <c r="AD70" s="8" t="b">
        <f>AND(
 H70&gt;=Filters!$B$3,
 H70&lt;=Filters!$B$4,
 I70&gt;=Filters!$B$5,
 OR(Filters!$B$6="All",B70=Filters!$B$6),
 F70&gt;=Filters!$B$7,
 F70&lt;=Filters!$B$8,
 OR(Filters!$B$9="All",G70=Filters!$B$9)
)</f>
        <v>0</v>
      </c>
      <c r="AE70">
        <f t="shared" si="13"/>
        <v>6</v>
      </c>
      <c r="AF70">
        <f t="shared" si="14"/>
        <v>7</v>
      </c>
      <c r="AG70">
        <f t="shared" si="15"/>
        <v>7</v>
      </c>
      <c r="AH70" s="9" t="str">
        <f t="shared" si="16"/>
        <v/>
      </c>
      <c r="AI70" s="9" t="str">
        <f t="shared" si="17"/>
        <v/>
      </c>
      <c r="AJ70" s="9" t="str">
        <f t="shared" si="18"/>
        <v/>
      </c>
      <c r="AK70" s="9" t="str">
        <f t="shared" si="19"/>
        <v/>
      </c>
      <c r="AL70" s="9" t="str">
        <f t="shared" si="20"/>
        <v/>
      </c>
      <c r="AM70" s="9" t="str">
        <f t="shared" si="21"/>
        <v/>
      </c>
      <c r="AN70" s="9" t="str">
        <f t="shared" si="22"/>
        <v/>
      </c>
      <c r="AO70" s="9" t="str">
        <f t="shared" si="23"/>
        <v/>
      </c>
      <c r="AP70" s="9" t="str">
        <f t="shared" si="24"/>
        <v/>
      </c>
      <c r="AQ70" s="10" t="str">
        <f t="shared" si="25"/>
        <v/>
      </c>
    </row>
    <row r="71" spans="1:43">
      <c r="A71">
        <v>70</v>
      </c>
      <c r="B71" t="s">
        <v>21</v>
      </c>
      <c r="C71" t="s">
        <v>267</v>
      </c>
      <c r="D71" t="s">
        <v>268</v>
      </c>
      <c r="E71" t="s">
        <v>158</v>
      </c>
      <c r="G71" t="s">
        <v>18</v>
      </c>
      <c r="H71" s="4">
        <v>25623000</v>
      </c>
      <c r="I71" s="5">
        <v>0</v>
      </c>
      <c r="J71" s="5">
        <v>1024</v>
      </c>
      <c r="K71" s="5">
        <v>12</v>
      </c>
      <c r="L71">
        <v>9.6</v>
      </c>
      <c r="M71">
        <v>9.1999999999999993</v>
      </c>
      <c r="N71">
        <v>5.83</v>
      </c>
      <c r="O71" s="6">
        <v>17.3</v>
      </c>
      <c r="P71" s="7">
        <v>3</v>
      </c>
      <c r="U71" t="s">
        <v>84</v>
      </c>
      <c r="V71" t="s">
        <v>210</v>
      </c>
      <c r="W71">
        <v>2.8</v>
      </c>
      <c r="X71" t="s">
        <v>122</v>
      </c>
      <c r="Y71" t="s">
        <v>260</v>
      </c>
      <c r="Z71" t="s">
        <v>146</v>
      </c>
      <c r="AA71" t="s">
        <v>101</v>
      </c>
      <c r="AB71" t="s">
        <v>201</v>
      </c>
      <c r="AC71">
        <v>949</v>
      </c>
      <c r="AD71" s="8" t="b">
        <f>AND(
 H71&gt;=Filters!$B$3,
 H71&lt;=Filters!$B$4,
 I71&gt;=Filters!$B$5,
 OR(Filters!$B$6="All",B71=Filters!$B$6),
 F71&gt;=Filters!$B$7,
 F71&lt;=Filters!$B$8,
 OR(Filters!$B$9="All",G71=Filters!$B$9)
)</f>
        <v>0</v>
      </c>
      <c r="AE71">
        <f t="shared" si="13"/>
        <v>6</v>
      </c>
      <c r="AF71">
        <f t="shared" si="14"/>
        <v>7</v>
      </c>
      <c r="AG71">
        <f t="shared" si="15"/>
        <v>7</v>
      </c>
      <c r="AH71" s="9" t="str">
        <f t="shared" si="16"/>
        <v/>
      </c>
      <c r="AI71" s="9" t="str">
        <f t="shared" si="17"/>
        <v/>
      </c>
      <c r="AJ71" s="9" t="str">
        <f t="shared" si="18"/>
        <v/>
      </c>
      <c r="AK71" s="9" t="str">
        <f t="shared" si="19"/>
        <v/>
      </c>
      <c r="AL71" s="9" t="str">
        <f t="shared" si="20"/>
        <v/>
      </c>
      <c r="AM71" s="9" t="str">
        <f t="shared" si="21"/>
        <v/>
      </c>
      <c r="AN71" s="9" t="str">
        <f t="shared" si="22"/>
        <v/>
      </c>
      <c r="AO71" s="9" t="str">
        <f t="shared" si="23"/>
        <v/>
      </c>
      <c r="AP71" s="9" t="str">
        <f t="shared" si="24"/>
        <v/>
      </c>
      <c r="AQ71" s="10" t="str">
        <f t="shared" si="25"/>
        <v/>
      </c>
    </row>
    <row r="72" spans="1:43">
      <c r="A72">
        <v>71</v>
      </c>
      <c r="B72" t="s">
        <v>32</v>
      </c>
      <c r="C72" t="s">
        <v>269</v>
      </c>
      <c r="D72" t="s">
        <v>270</v>
      </c>
      <c r="E72" t="s">
        <v>83</v>
      </c>
      <c r="G72" t="s">
        <v>18</v>
      </c>
      <c r="H72" s="4">
        <v>29403000</v>
      </c>
      <c r="I72" s="5">
        <v>128</v>
      </c>
      <c r="J72" s="5">
        <v>0</v>
      </c>
      <c r="K72" s="5">
        <v>4</v>
      </c>
      <c r="L72">
        <v>7</v>
      </c>
      <c r="M72">
        <v>3.5</v>
      </c>
      <c r="N72">
        <v>7.27</v>
      </c>
      <c r="O72" s="6">
        <v>13.5</v>
      </c>
      <c r="P72" s="7">
        <v>1.252</v>
      </c>
      <c r="U72" t="s">
        <v>84</v>
      </c>
      <c r="V72" t="s">
        <v>98</v>
      </c>
      <c r="W72">
        <v>2.5</v>
      </c>
      <c r="X72" t="s">
        <v>84</v>
      </c>
      <c r="Y72" t="s">
        <v>99</v>
      </c>
      <c r="Z72" t="s">
        <v>87</v>
      </c>
      <c r="AA72" t="s">
        <v>271</v>
      </c>
      <c r="AB72" t="s">
        <v>272</v>
      </c>
      <c r="AC72">
        <v>1089</v>
      </c>
      <c r="AD72" s="8" t="b">
        <f>AND(
 H72&gt;=Filters!$B$3,
 H72&lt;=Filters!$B$4,
 I72&gt;=Filters!$B$5,
 OR(Filters!$B$6="All",B72=Filters!$B$6),
 F72&gt;=Filters!$B$7,
 F72&lt;=Filters!$B$8,
 OR(Filters!$B$9="All",G72=Filters!$B$9)
)</f>
        <v>0</v>
      </c>
      <c r="AE72">
        <f t="shared" si="13"/>
        <v>6</v>
      </c>
      <c r="AF72">
        <f t="shared" si="14"/>
        <v>7</v>
      </c>
      <c r="AG72">
        <f t="shared" si="15"/>
        <v>7</v>
      </c>
      <c r="AH72" s="9" t="str">
        <f t="shared" si="16"/>
        <v/>
      </c>
      <c r="AI72" s="9" t="str">
        <f t="shared" si="17"/>
        <v/>
      </c>
      <c r="AJ72" s="9" t="str">
        <f t="shared" si="18"/>
        <v/>
      </c>
      <c r="AK72" s="9" t="str">
        <f t="shared" si="19"/>
        <v/>
      </c>
      <c r="AL72" s="9" t="str">
        <f t="shared" si="20"/>
        <v/>
      </c>
      <c r="AM72" s="9" t="str">
        <f t="shared" si="21"/>
        <v/>
      </c>
      <c r="AN72" s="9" t="str">
        <f t="shared" si="22"/>
        <v/>
      </c>
      <c r="AO72" s="9" t="str">
        <f t="shared" si="23"/>
        <v/>
      </c>
      <c r="AP72" s="9" t="str">
        <f t="shared" si="24"/>
        <v/>
      </c>
      <c r="AQ72" s="10" t="str">
        <f t="shared" si="25"/>
        <v/>
      </c>
    </row>
    <row r="73" spans="1:43">
      <c r="A73">
        <v>72</v>
      </c>
      <c r="B73" t="s">
        <v>23</v>
      </c>
      <c r="C73" t="s">
        <v>273</v>
      </c>
      <c r="D73" t="s">
        <v>274</v>
      </c>
      <c r="E73" t="s">
        <v>83</v>
      </c>
      <c r="G73" t="s">
        <v>18</v>
      </c>
      <c r="H73" s="4">
        <v>25785000</v>
      </c>
      <c r="I73" s="5">
        <v>256</v>
      </c>
      <c r="J73" s="5">
        <v>0</v>
      </c>
      <c r="K73" s="5">
        <v>8</v>
      </c>
      <c r="L73">
        <v>7.6</v>
      </c>
      <c r="M73">
        <v>6.5</v>
      </c>
      <c r="N73">
        <v>6.37</v>
      </c>
      <c r="O73" s="6">
        <v>13.3</v>
      </c>
      <c r="P73" s="7">
        <v>1.4</v>
      </c>
      <c r="U73" t="s">
        <v>84</v>
      </c>
      <c r="V73" t="s">
        <v>121</v>
      </c>
      <c r="W73">
        <v>1.8</v>
      </c>
      <c r="X73" t="s">
        <v>104</v>
      </c>
      <c r="Y73" t="s">
        <v>176</v>
      </c>
      <c r="Z73" t="s">
        <v>100</v>
      </c>
      <c r="AA73" t="s">
        <v>128</v>
      </c>
      <c r="AB73" t="s">
        <v>115</v>
      </c>
      <c r="AC73">
        <v>955</v>
      </c>
      <c r="AD73" s="8" t="b">
        <f>AND(
 H73&gt;=Filters!$B$3,
 H73&lt;=Filters!$B$4,
 I73&gt;=Filters!$B$5,
 OR(Filters!$B$6="All",B73=Filters!$B$6),
 F73&gt;=Filters!$B$7,
 F73&lt;=Filters!$B$8,
 OR(Filters!$B$9="All",G73=Filters!$B$9)
)</f>
        <v>0</v>
      </c>
      <c r="AE73">
        <f t="shared" si="13"/>
        <v>6</v>
      </c>
      <c r="AF73">
        <f t="shared" si="14"/>
        <v>7</v>
      </c>
      <c r="AG73">
        <f t="shared" si="15"/>
        <v>7</v>
      </c>
      <c r="AH73" s="9" t="str">
        <f t="shared" si="16"/>
        <v/>
      </c>
      <c r="AI73" s="9" t="str">
        <f t="shared" si="17"/>
        <v/>
      </c>
      <c r="AJ73" s="9" t="str">
        <f t="shared" si="18"/>
        <v/>
      </c>
      <c r="AK73" s="9" t="str">
        <f t="shared" si="19"/>
        <v/>
      </c>
      <c r="AL73" s="9" t="str">
        <f t="shared" si="20"/>
        <v/>
      </c>
      <c r="AM73" s="9" t="str">
        <f t="shared" si="21"/>
        <v/>
      </c>
      <c r="AN73" s="9" t="str">
        <f t="shared" si="22"/>
        <v/>
      </c>
      <c r="AO73" s="9" t="str">
        <f t="shared" si="23"/>
        <v/>
      </c>
      <c r="AP73" s="9" t="str">
        <f t="shared" si="24"/>
        <v/>
      </c>
      <c r="AQ73" s="10" t="str">
        <f t="shared" si="25"/>
        <v/>
      </c>
    </row>
    <row r="74" spans="1:43">
      <c r="A74">
        <v>73</v>
      </c>
      <c r="B74" t="s">
        <v>23</v>
      </c>
      <c r="C74" t="s">
        <v>174</v>
      </c>
      <c r="D74" t="s">
        <v>175</v>
      </c>
      <c r="E74" t="s">
        <v>97</v>
      </c>
      <c r="G74" t="s">
        <v>18</v>
      </c>
      <c r="H74" s="4">
        <v>23490000</v>
      </c>
      <c r="I74" s="5">
        <v>256</v>
      </c>
      <c r="J74" s="5">
        <v>0</v>
      </c>
      <c r="K74" s="5">
        <v>8</v>
      </c>
      <c r="L74">
        <v>7.6</v>
      </c>
      <c r="M74">
        <v>6.5</v>
      </c>
      <c r="N74">
        <v>5.92</v>
      </c>
      <c r="O74" s="6">
        <v>15.6</v>
      </c>
      <c r="P74" s="7">
        <v>2.2000000000000002</v>
      </c>
      <c r="U74" t="s">
        <v>84</v>
      </c>
      <c r="V74" t="s">
        <v>121</v>
      </c>
      <c r="W74">
        <v>1.8</v>
      </c>
      <c r="X74" t="s">
        <v>104</v>
      </c>
      <c r="Y74" t="s">
        <v>176</v>
      </c>
      <c r="Z74" t="s">
        <v>100</v>
      </c>
      <c r="AA74" t="s">
        <v>101</v>
      </c>
      <c r="AB74" t="s">
        <v>115</v>
      </c>
      <c r="AC74">
        <v>870</v>
      </c>
      <c r="AD74" s="8" t="b">
        <f>AND(
 H74&gt;=Filters!$B$3,
 H74&lt;=Filters!$B$4,
 I74&gt;=Filters!$B$5,
 OR(Filters!$B$6="All",B74=Filters!$B$6),
 F74&gt;=Filters!$B$7,
 F74&lt;=Filters!$B$8,
 OR(Filters!$B$9="All",G74=Filters!$B$9)
)</f>
        <v>1</v>
      </c>
      <c r="AE74">
        <f t="shared" si="13"/>
        <v>6</v>
      </c>
      <c r="AF74">
        <f t="shared" si="14"/>
        <v>7</v>
      </c>
      <c r="AG74">
        <f t="shared" si="15"/>
        <v>7</v>
      </c>
      <c r="AH74" s="9">
        <f t="shared" si="16"/>
        <v>0.76190476190476186</v>
      </c>
      <c r="AI74" s="9">
        <f t="shared" si="17"/>
        <v>0.80952380952380942</v>
      </c>
      <c r="AJ74" s="9">
        <f t="shared" si="18"/>
        <v>0.63095238095238093</v>
      </c>
      <c r="AK74" s="9">
        <f t="shared" si="19"/>
        <v>0.56190476190476191</v>
      </c>
      <c r="AL74" s="9">
        <f t="shared" si="20"/>
        <v>0.88095238095238082</v>
      </c>
      <c r="AM74" s="9">
        <f t="shared" si="21"/>
        <v>0.5714285714285714</v>
      </c>
      <c r="AN74" s="9">
        <f t="shared" si="22"/>
        <v>0.69047619047619047</v>
      </c>
      <c r="AO74" s="9">
        <f t="shared" si="23"/>
        <v>0.69047619047619047</v>
      </c>
      <c r="AP74" s="9">
        <f t="shared" si="24"/>
        <v>0.70552561321438378</v>
      </c>
      <c r="AQ74" s="10">
        <f t="shared" si="25"/>
        <v>0.7055256872143838</v>
      </c>
    </row>
    <row r="75" spans="1:43">
      <c r="A75">
        <v>74</v>
      </c>
      <c r="B75" t="s">
        <v>30</v>
      </c>
      <c r="C75" t="s">
        <v>275</v>
      </c>
      <c r="D75" t="s">
        <v>276</v>
      </c>
      <c r="E75" t="s">
        <v>158</v>
      </c>
      <c r="G75" t="s">
        <v>18</v>
      </c>
      <c r="H75" s="4">
        <v>29565000</v>
      </c>
      <c r="I75" s="5">
        <v>128</v>
      </c>
      <c r="J75" s="5">
        <v>1024</v>
      </c>
      <c r="K75" s="5">
        <v>8</v>
      </c>
      <c r="L75">
        <v>7</v>
      </c>
      <c r="M75">
        <v>9.1999999999999993</v>
      </c>
      <c r="N75">
        <v>5.83</v>
      </c>
      <c r="O75" s="6">
        <v>17.3</v>
      </c>
      <c r="P75" s="7">
        <v>2.7</v>
      </c>
      <c r="U75" t="s">
        <v>84</v>
      </c>
      <c r="V75" t="s">
        <v>159</v>
      </c>
      <c r="W75">
        <v>2.5</v>
      </c>
      <c r="X75" t="s">
        <v>122</v>
      </c>
      <c r="Y75" t="s">
        <v>160</v>
      </c>
      <c r="Z75" t="s">
        <v>161</v>
      </c>
      <c r="AA75" t="s">
        <v>101</v>
      </c>
      <c r="AB75" t="s">
        <v>115</v>
      </c>
      <c r="AC75">
        <v>1095</v>
      </c>
      <c r="AD75" s="8" t="b">
        <f>AND(
 H75&gt;=Filters!$B$3,
 H75&lt;=Filters!$B$4,
 I75&gt;=Filters!$B$5,
 OR(Filters!$B$6="All",B75=Filters!$B$6),
 F75&gt;=Filters!$B$7,
 F75&lt;=Filters!$B$8,
 OR(Filters!$B$9="All",G75=Filters!$B$9)
)</f>
        <v>0</v>
      </c>
      <c r="AE75">
        <f t="shared" si="13"/>
        <v>6</v>
      </c>
      <c r="AF75">
        <f t="shared" si="14"/>
        <v>7</v>
      </c>
      <c r="AG75">
        <f t="shared" si="15"/>
        <v>7</v>
      </c>
      <c r="AH75" s="9" t="str">
        <f t="shared" si="16"/>
        <v/>
      </c>
      <c r="AI75" s="9" t="str">
        <f t="shared" si="17"/>
        <v/>
      </c>
      <c r="AJ75" s="9" t="str">
        <f t="shared" si="18"/>
        <v/>
      </c>
      <c r="AK75" s="9" t="str">
        <f t="shared" si="19"/>
        <v/>
      </c>
      <c r="AL75" s="9" t="str">
        <f t="shared" si="20"/>
        <v/>
      </c>
      <c r="AM75" s="9" t="str">
        <f t="shared" si="21"/>
        <v/>
      </c>
      <c r="AN75" s="9" t="str">
        <f t="shared" si="22"/>
        <v/>
      </c>
      <c r="AO75" s="9" t="str">
        <f t="shared" si="23"/>
        <v/>
      </c>
      <c r="AP75" s="9" t="str">
        <f t="shared" si="24"/>
        <v/>
      </c>
      <c r="AQ75" s="10" t="str">
        <f t="shared" si="25"/>
        <v/>
      </c>
    </row>
    <row r="76" spans="1:43">
      <c r="A76">
        <v>75</v>
      </c>
      <c r="B76" t="s">
        <v>17</v>
      </c>
      <c r="C76" t="s">
        <v>277</v>
      </c>
      <c r="D76" t="s">
        <v>278</v>
      </c>
      <c r="E76" t="s">
        <v>97</v>
      </c>
      <c r="G76" t="s">
        <v>18</v>
      </c>
      <c r="H76" s="4">
        <v>10503000</v>
      </c>
      <c r="I76" s="5">
        <v>0</v>
      </c>
      <c r="J76" s="5">
        <v>1024</v>
      </c>
      <c r="K76" s="5">
        <v>8</v>
      </c>
      <c r="L76">
        <v>4</v>
      </c>
      <c r="M76">
        <v>3.5</v>
      </c>
      <c r="N76">
        <v>4</v>
      </c>
      <c r="O76" s="6">
        <v>14</v>
      </c>
      <c r="P76" s="7">
        <v>2.1</v>
      </c>
      <c r="U76" t="s">
        <v>84</v>
      </c>
      <c r="V76" t="s">
        <v>129</v>
      </c>
      <c r="W76">
        <v>2</v>
      </c>
      <c r="X76" t="s">
        <v>84</v>
      </c>
      <c r="Y76" t="s">
        <v>130</v>
      </c>
      <c r="Z76" t="s">
        <v>146</v>
      </c>
      <c r="AA76" t="s">
        <v>114</v>
      </c>
      <c r="AB76" t="s">
        <v>115</v>
      </c>
      <c r="AC76">
        <v>389</v>
      </c>
      <c r="AD76" s="8" t="b">
        <f>AND(
 H76&gt;=Filters!$B$3,
 H76&lt;=Filters!$B$4,
 I76&gt;=Filters!$B$5,
 OR(Filters!$B$6="All",B76=Filters!$B$6),
 F76&gt;=Filters!$B$7,
 F76&lt;=Filters!$B$8,
 OR(Filters!$B$9="All",G76=Filters!$B$9)
)</f>
        <v>0</v>
      </c>
      <c r="AE76">
        <f t="shared" si="13"/>
        <v>6</v>
      </c>
      <c r="AF76">
        <f t="shared" si="14"/>
        <v>7</v>
      </c>
      <c r="AG76">
        <f t="shared" si="15"/>
        <v>7</v>
      </c>
      <c r="AH76" s="9" t="str">
        <f t="shared" si="16"/>
        <v/>
      </c>
      <c r="AI76" s="9" t="str">
        <f t="shared" si="17"/>
        <v/>
      </c>
      <c r="AJ76" s="9" t="str">
        <f t="shared" si="18"/>
        <v/>
      </c>
      <c r="AK76" s="9" t="str">
        <f t="shared" si="19"/>
        <v/>
      </c>
      <c r="AL76" s="9" t="str">
        <f t="shared" si="20"/>
        <v/>
      </c>
      <c r="AM76" s="9" t="str">
        <f t="shared" si="21"/>
        <v/>
      </c>
      <c r="AN76" s="9" t="str">
        <f t="shared" si="22"/>
        <v/>
      </c>
      <c r="AO76" s="9" t="str">
        <f t="shared" si="23"/>
        <v/>
      </c>
      <c r="AP76" s="9" t="str">
        <f t="shared" si="24"/>
        <v/>
      </c>
      <c r="AQ76" s="10" t="str">
        <f t="shared" si="25"/>
        <v/>
      </c>
    </row>
    <row r="77" spans="1:43">
      <c r="A77">
        <v>76</v>
      </c>
      <c r="B77" t="s">
        <v>21</v>
      </c>
      <c r="C77" t="s">
        <v>279</v>
      </c>
      <c r="D77" t="s">
        <v>280</v>
      </c>
      <c r="E77" t="s">
        <v>158</v>
      </c>
      <c r="G77" t="s">
        <v>18</v>
      </c>
      <c r="H77" s="4">
        <v>25623000</v>
      </c>
      <c r="I77" s="5">
        <v>0</v>
      </c>
      <c r="J77" s="5">
        <v>1024</v>
      </c>
      <c r="K77" s="5">
        <v>8</v>
      </c>
      <c r="L77">
        <v>9.6</v>
      </c>
      <c r="M77">
        <v>9.1999999999999993</v>
      </c>
      <c r="N77">
        <v>5.92</v>
      </c>
      <c r="O77" s="6">
        <v>15.6</v>
      </c>
      <c r="P77" s="7">
        <v>2.2000000000000002</v>
      </c>
      <c r="U77" t="s">
        <v>84</v>
      </c>
      <c r="V77" t="s">
        <v>210</v>
      </c>
      <c r="W77">
        <v>2.8</v>
      </c>
      <c r="X77" t="s">
        <v>122</v>
      </c>
      <c r="Y77" t="s">
        <v>160</v>
      </c>
      <c r="Z77" t="s">
        <v>146</v>
      </c>
      <c r="AA77" t="s">
        <v>101</v>
      </c>
      <c r="AB77" t="s">
        <v>115</v>
      </c>
      <c r="AC77">
        <v>949</v>
      </c>
      <c r="AD77" s="8" t="b">
        <f>AND(
 H77&gt;=Filters!$B$3,
 H77&lt;=Filters!$B$4,
 I77&gt;=Filters!$B$5,
 OR(Filters!$B$6="All",B77=Filters!$B$6),
 F77&gt;=Filters!$B$7,
 F77&lt;=Filters!$B$8,
 OR(Filters!$B$9="All",G77=Filters!$B$9)
)</f>
        <v>0</v>
      </c>
      <c r="AE77">
        <f t="shared" si="13"/>
        <v>6</v>
      </c>
      <c r="AF77">
        <f t="shared" si="14"/>
        <v>7</v>
      </c>
      <c r="AG77">
        <f t="shared" si="15"/>
        <v>7</v>
      </c>
      <c r="AH77" s="9" t="str">
        <f t="shared" si="16"/>
        <v/>
      </c>
      <c r="AI77" s="9" t="str">
        <f t="shared" si="17"/>
        <v/>
      </c>
      <c r="AJ77" s="9" t="str">
        <f t="shared" si="18"/>
        <v/>
      </c>
      <c r="AK77" s="9" t="str">
        <f t="shared" si="19"/>
        <v/>
      </c>
      <c r="AL77" s="9" t="str">
        <f t="shared" si="20"/>
        <v/>
      </c>
      <c r="AM77" s="9" t="str">
        <f t="shared" si="21"/>
        <v/>
      </c>
      <c r="AN77" s="9" t="str">
        <f t="shared" si="22"/>
        <v/>
      </c>
      <c r="AO77" s="9" t="str">
        <f t="shared" si="23"/>
        <v/>
      </c>
      <c r="AP77" s="9" t="str">
        <f t="shared" si="24"/>
        <v/>
      </c>
      <c r="AQ77" s="10" t="str">
        <f t="shared" si="25"/>
        <v/>
      </c>
    </row>
    <row r="78" spans="1:43">
      <c r="A78">
        <v>77</v>
      </c>
      <c r="B78" t="s">
        <v>29</v>
      </c>
      <c r="C78" t="s">
        <v>281</v>
      </c>
      <c r="D78" t="s">
        <v>282</v>
      </c>
      <c r="E78" t="s">
        <v>97</v>
      </c>
      <c r="G78" t="s">
        <v>18</v>
      </c>
      <c r="H78" s="4">
        <v>14013000</v>
      </c>
      <c r="I78" s="5">
        <v>0</v>
      </c>
      <c r="J78" s="5">
        <v>2048</v>
      </c>
      <c r="K78" s="5">
        <v>8</v>
      </c>
      <c r="L78">
        <v>7</v>
      </c>
      <c r="M78">
        <v>3.5</v>
      </c>
      <c r="N78">
        <v>5.92</v>
      </c>
      <c r="O78" s="6">
        <v>15.6</v>
      </c>
      <c r="P78" s="7">
        <v>2.2000000000000002</v>
      </c>
      <c r="U78" t="s">
        <v>84</v>
      </c>
      <c r="V78" t="s">
        <v>98</v>
      </c>
      <c r="W78">
        <v>2.5</v>
      </c>
      <c r="X78" t="s">
        <v>84</v>
      </c>
      <c r="Y78" t="s">
        <v>99</v>
      </c>
      <c r="Z78" t="s">
        <v>283</v>
      </c>
      <c r="AA78" t="s">
        <v>101</v>
      </c>
      <c r="AB78" t="s">
        <v>102</v>
      </c>
      <c r="AC78">
        <v>519</v>
      </c>
      <c r="AD78" s="8" t="b">
        <f>AND(
 H78&gt;=Filters!$B$3,
 H78&lt;=Filters!$B$4,
 I78&gt;=Filters!$B$5,
 OR(Filters!$B$6="All",B78=Filters!$B$6),
 F78&gt;=Filters!$B$7,
 F78&lt;=Filters!$B$8,
 OR(Filters!$B$9="All",G78=Filters!$B$9)
)</f>
        <v>0</v>
      </c>
      <c r="AE78">
        <f t="shared" si="13"/>
        <v>6</v>
      </c>
      <c r="AF78">
        <f t="shared" si="14"/>
        <v>7</v>
      </c>
      <c r="AG78">
        <f t="shared" si="15"/>
        <v>7</v>
      </c>
      <c r="AH78" s="9" t="str">
        <f t="shared" si="16"/>
        <v/>
      </c>
      <c r="AI78" s="9" t="str">
        <f t="shared" si="17"/>
        <v/>
      </c>
      <c r="AJ78" s="9" t="str">
        <f t="shared" si="18"/>
        <v/>
      </c>
      <c r="AK78" s="9" t="str">
        <f t="shared" si="19"/>
        <v/>
      </c>
      <c r="AL78" s="9" t="str">
        <f t="shared" si="20"/>
        <v/>
      </c>
      <c r="AM78" s="9" t="str">
        <f t="shared" si="21"/>
        <v/>
      </c>
      <c r="AN78" s="9" t="str">
        <f t="shared" si="22"/>
        <v/>
      </c>
      <c r="AO78" s="9" t="str">
        <f t="shared" si="23"/>
        <v/>
      </c>
      <c r="AP78" s="9" t="str">
        <f t="shared" si="24"/>
        <v/>
      </c>
      <c r="AQ78" s="10" t="str">
        <f t="shared" si="25"/>
        <v/>
      </c>
    </row>
    <row r="79" spans="1:43">
      <c r="A79">
        <v>78</v>
      </c>
      <c r="B79" t="s">
        <v>23</v>
      </c>
      <c r="C79" t="s">
        <v>174</v>
      </c>
      <c r="D79" t="s">
        <v>175</v>
      </c>
      <c r="E79" t="s">
        <v>97</v>
      </c>
      <c r="G79" t="s">
        <v>18</v>
      </c>
      <c r="H79" s="4">
        <v>23085000</v>
      </c>
      <c r="I79" s="5">
        <v>128</v>
      </c>
      <c r="J79" s="5">
        <v>1024</v>
      </c>
      <c r="K79" s="5">
        <v>8</v>
      </c>
      <c r="L79">
        <v>7.6</v>
      </c>
      <c r="M79">
        <v>3.8</v>
      </c>
      <c r="N79">
        <v>5.92</v>
      </c>
      <c r="O79" s="6">
        <v>15.6</v>
      </c>
      <c r="P79" s="7">
        <v>2.02</v>
      </c>
      <c r="U79" t="s">
        <v>84</v>
      </c>
      <c r="V79" t="s">
        <v>121</v>
      </c>
      <c r="W79">
        <v>1.8</v>
      </c>
      <c r="X79" t="s">
        <v>84</v>
      </c>
      <c r="Y79" t="s">
        <v>127</v>
      </c>
      <c r="Z79" t="s">
        <v>161</v>
      </c>
      <c r="AA79" t="s">
        <v>101</v>
      </c>
      <c r="AB79" t="s">
        <v>115</v>
      </c>
      <c r="AC79">
        <v>855</v>
      </c>
      <c r="AD79" s="8" t="b">
        <f>AND(
 H79&gt;=Filters!$B$3,
 H79&lt;=Filters!$B$4,
 I79&gt;=Filters!$B$5,
 OR(Filters!$B$6="All",B79=Filters!$B$6),
 F79&gt;=Filters!$B$7,
 F79&lt;=Filters!$B$8,
 OR(Filters!$B$9="All",G79=Filters!$B$9)
)</f>
        <v>0</v>
      </c>
      <c r="AE79">
        <f t="shared" si="13"/>
        <v>6</v>
      </c>
      <c r="AF79">
        <f t="shared" si="14"/>
        <v>7</v>
      </c>
      <c r="AG79">
        <f t="shared" si="15"/>
        <v>7</v>
      </c>
      <c r="AH79" s="9" t="str">
        <f t="shared" si="16"/>
        <v/>
      </c>
      <c r="AI79" s="9" t="str">
        <f t="shared" si="17"/>
        <v/>
      </c>
      <c r="AJ79" s="9" t="str">
        <f t="shared" si="18"/>
        <v/>
      </c>
      <c r="AK79" s="9" t="str">
        <f t="shared" si="19"/>
        <v/>
      </c>
      <c r="AL79" s="9" t="str">
        <f t="shared" si="20"/>
        <v/>
      </c>
      <c r="AM79" s="9" t="str">
        <f t="shared" si="21"/>
        <v/>
      </c>
      <c r="AN79" s="9" t="str">
        <f t="shared" si="22"/>
        <v/>
      </c>
      <c r="AO79" s="9" t="str">
        <f t="shared" si="23"/>
        <v/>
      </c>
      <c r="AP79" s="9" t="str">
        <f t="shared" si="24"/>
        <v/>
      </c>
      <c r="AQ79" s="10" t="str">
        <f t="shared" si="25"/>
        <v/>
      </c>
    </row>
    <row r="80" spans="1:43">
      <c r="A80">
        <v>79</v>
      </c>
      <c r="B80" t="s">
        <v>17</v>
      </c>
      <c r="C80" t="s">
        <v>284</v>
      </c>
      <c r="D80" t="s">
        <v>285</v>
      </c>
      <c r="E80" t="s">
        <v>97</v>
      </c>
      <c r="G80" t="s">
        <v>18</v>
      </c>
      <c r="H80" s="4">
        <v>14310000</v>
      </c>
      <c r="I80" s="5">
        <v>0</v>
      </c>
      <c r="J80" s="5">
        <v>1024</v>
      </c>
      <c r="K80" s="5">
        <v>4</v>
      </c>
      <c r="L80">
        <v>5.4</v>
      </c>
      <c r="M80">
        <v>6.5</v>
      </c>
      <c r="N80">
        <v>5.92</v>
      </c>
      <c r="O80" s="6">
        <v>15.6</v>
      </c>
      <c r="P80" s="7">
        <v>2.2000000000000002</v>
      </c>
      <c r="U80" t="s">
        <v>84</v>
      </c>
      <c r="V80" t="s">
        <v>200</v>
      </c>
      <c r="W80">
        <v>2.7</v>
      </c>
      <c r="X80" t="s">
        <v>122</v>
      </c>
      <c r="Y80" t="s">
        <v>286</v>
      </c>
      <c r="Z80" t="s">
        <v>146</v>
      </c>
      <c r="AA80" t="s">
        <v>101</v>
      </c>
      <c r="AB80" t="s">
        <v>115</v>
      </c>
      <c r="AC80">
        <v>530</v>
      </c>
      <c r="AD80" s="8" t="b">
        <f>AND(
 H80&gt;=Filters!$B$3,
 H80&lt;=Filters!$B$4,
 I80&gt;=Filters!$B$5,
 OR(Filters!$B$6="All",B80=Filters!$B$6),
 F80&gt;=Filters!$B$7,
 F80&lt;=Filters!$B$8,
 OR(Filters!$B$9="All",G80=Filters!$B$9)
)</f>
        <v>0</v>
      </c>
      <c r="AE80">
        <f t="shared" si="13"/>
        <v>6</v>
      </c>
      <c r="AF80">
        <f t="shared" si="14"/>
        <v>7</v>
      </c>
      <c r="AG80">
        <f t="shared" si="15"/>
        <v>7</v>
      </c>
      <c r="AH80" s="9" t="str">
        <f t="shared" si="16"/>
        <v/>
      </c>
      <c r="AI80" s="9" t="str">
        <f t="shared" si="17"/>
        <v/>
      </c>
      <c r="AJ80" s="9" t="str">
        <f t="shared" si="18"/>
        <v/>
      </c>
      <c r="AK80" s="9" t="str">
        <f t="shared" si="19"/>
        <v/>
      </c>
      <c r="AL80" s="9" t="str">
        <f t="shared" si="20"/>
        <v/>
      </c>
      <c r="AM80" s="9" t="str">
        <f t="shared" si="21"/>
        <v/>
      </c>
      <c r="AN80" s="9" t="str">
        <f t="shared" si="22"/>
        <v/>
      </c>
      <c r="AO80" s="9" t="str">
        <f t="shared" si="23"/>
        <v/>
      </c>
      <c r="AP80" s="9" t="str">
        <f t="shared" si="24"/>
        <v/>
      </c>
      <c r="AQ80" s="10" t="str">
        <f t="shared" si="25"/>
        <v/>
      </c>
    </row>
    <row r="81" spans="1:43">
      <c r="A81">
        <v>80</v>
      </c>
      <c r="B81" t="s">
        <v>26</v>
      </c>
      <c r="C81" t="s">
        <v>181</v>
      </c>
      <c r="D81" t="s">
        <v>182</v>
      </c>
      <c r="E81" t="s">
        <v>97</v>
      </c>
      <c r="G81" t="s">
        <v>18</v>
      </c>
      <c r="H81" s="4">
        <v>26379000</v>
      </c>
      <c r="I81" s="5">
        <v>128</v>
      </c>
      <c r="J81" s="5">
        <v>1024</v>
      </c>
      <c r="K81" s="5">
        <v>8</v>
      </c>
      <c r="L81">
        <v>5.2</v>
      </c>
      <c r="M81">
        <v>6.5</v>
      </c>
      <c r="N81">
        <v>5.83</v>
      </c>
      <c r="O81" s="6">
        <v>17.3</v>
      </c>
      <c r="P81" s="7">
        <v>2.5</v>
      </c>
      <c r="U81" t="s">
        <v>84</v>
      </c>
      <c r="V81" t="s">
        <v>126</v>
      </c>
      <c r="W81">
        <v>1.6</v>
      </c>
      <c r="X81" t="s">
        <v>122</v>
      </c>
      <c r="Y81" t="s">
        <v>183</v>
      </c>
      <c r="Z81" t="s">
        <v>161</v>
      </c>
      <c r="AA81" t="s">
        <v>101</v>
      </c>
      <c r="AB81" t="s">
        <v>115</v>
      </c>
      <c r="AC81">
        <v>977</v>
      </c>
      <c r="AD81" s="8" t="b">
        <f>AND(
 H81&gt;=Filters!$B$3,
 H81&lt;=Filters!$B$4,
 I81&gt;=Filters!$B$5,
 OR(Filters!$B$6="All",B81=Filters!$B$6),
 F81&gt;=Filters!$B$7,
 F81&lt;=Filters!$B$8,
 OR(Filters!$B$9="All",G81=Filters!$B$9)
)</f>
        <v>0</v>
      </c>
      <c r="AE81">
        <f t="shared" si="13"/>
        <v>6</v>
      </c>
      <c r="AF81">
        <f t="shared" si="14"/>
        <v>7</v>
      </c>
      <c r="AG81">
        <f t="shared" si="15"/>
        <v>7</v>
      </c>
      <c r="AH81" s="9" t="str">
        <f t="shared" si="16"/>
        <v/>
      </c>
      <c r="AI81" s="9" t="str">
        <f t="shared" si="17"/>
        <v/>
      </c>
      <c r="AJ81" s="9" t="str">
        <f t="shared" si="18"/>
        <v/>
      </c>
      <c r="AK81" s="9" t="str">
        <f t="shared" si="19"/>
        <v/>
      </c>
      <c r="AL81" s="9" t="str">
        <f t="shared" si="20"/>
        <v/>
      </c>
      <c r="AM81" s="9" t="str">
        <f t="shared" si="21"/>
        <v/>
      </c>
      <c r="AN81" s="9" t="str">
        <f t="shared" si="22"/>
        <v/>
      </c>
      <c r="AO81" s="9" t="str">
        <f t="shared" si="23"/>
        <v/>
      </c>
      <c r="AP81" s="9" t="str">
        <f t="shared" si="24"/>
        <v/>
      </c>
      <c r="AQ81" s="10" t="str">
        <f t="shared" si="25"/>
        <v/>
      </c>
    </row>
    <row r="82" spans="1:43">
      <c r="A82">
        <v>81</v>
      </c>
      <c r="B82" t="s">
        <v>23</v>
      </c>
      <c r="C82" t="s">
        <v>177</v>
      </c>
      <c r="D82" t="s">
        <v>178</v>
      </c>
      <c r="E82" t="s">
        <v>83</v>
      </c>
      <c r="G82" t="s">
        <v>18</v>
      </c>
      <c r="H82" s="4">
        <v>29596320</v>
      </c>
      <c r="I82" s="5">
        <v>256</v>
      </c>
      <c r="J82" s="5">
        <v>0</v>
      </c>
      <c r="K82" s="5">
        <v>8</v>
      </c>
      <c r="L82">
        <v>5.2</v>
      </c>
      <c r="M82">
        <v>3.8</v>
      </c>
      <c r="N82">
        <v>6.32</v>
      </c>
      <c r="O82" s="6">
        <v>15.6</v>
      </c>
      <c r="P82" s="7">
        <v>1.88</v>
      </c>
      <c r="U82" t="s">
        <v>84</v>
      </c>
      <c r="V82" t="s">
        <v>126</v>
      </c>
      <c r="W82">
        <v>1.6</v>
      </c>
      <c r="X82" t="s">
        <v>84</v>
      </c>
      <c r="Y82" t="s">
        <v>127</v>
      </c>
      <c r="Z82" t="s">
        <v>100</v>
      </c>
      <c r="AA82" t="s">
        <v>128</v>
      </c>
      <c r="AB82" t="s">
        <v>115</v>
      </c>
      <c r="AC82">
        <v>1096.1600000000001</v>
      </c>
      <c r="AD82" s="8" t="b">
        <f>AND(
 H82&gt;=Filters!$B$3,
 H82&lt;=Filters!$B$4,
 I82&gt;=Filters!$B$5,
 OR(Filters!$B$6="All",B82=Filters!$B$6),
 F82&gt;=Filters!$B$7,
 F82&lt;=Filters!$B$8,
 OR(Filters!$B$9="All",G82=Filters!$B$9)
)</f>
        <v>0</v>
      </c>
      <c r="AE82">
        <f t="shared" si="13"/>
        <v>6</v>
      </c>
      <c r="AF82">
        <f t="shared" si="14"/>
        <v>7</v>
      </c>
      <c r="AG82">
        <f t="shared" si="15"/>
        <v>7</v>
      </c>
      <c r="AH82" s="9" t="str">
        <f t="shared" si="16"/>
        <v/>
      </c>
      <c r="AI82" s="9" t="str">
        <f t="shared" si="17"/>
        <v/>
      </c>
      <c r="AJ82" s="9" t="str">
        <f t="shared" si="18"/>
        <v/>
      </c>
      <c r="AK82" s="9" t="str">
        <f t="shared" si="19"/>
        <v/>
      </c>
      <c r="AL82" s="9" t="str">
        <f t="shared" si="20"/>
        <v/>
      </c>
      <c r="AM82" s="9" t="str">
        <f t="shared" si="21"/>
        <v/>
      </c>
      <c r="AN82" s="9" t="str">
        <f t="shared" si="22"/>
        <v/>
      </c>
      <c r="AO82" s="9" t="str">
        <f t="shared" si="23"/>
        <v/>
      </c>
      <c r="AP82" s="9" t="str">
        <f t="shared" si="24"/>
        <v/>
      </c>
      <c r="AQ82" s="10" t="str">
        <f t="shared" si="25"/>
        <v/>
      </c>
    </row>
    <row r="83" spans="1:43">
      <c r="A83">
        <v>82</v>
      </c>
      <c r="B83" t="s">
        <v>19</v>
      </c>
      <c r="C83" t="s">
        <v>135</v>
      </c>
      <c r="D83" t="s">
        <v>136</v>
      </c>
      <c r="E83" t="s">
        <v>83</v>
      </c>
      <c r="G83" t="s">
        <v>18</v>
      </c>
      <c r="H83" s="4">
        <v>40770000</v>
      </c>
      <c r="I83" s="5">
        <v>512</v>
      </c>
      <c r="J83" s="5">
        <v>0</v>
      </c>
      <c r="K83" s="5">
        <v>8</v>
      </c>
      <c r="L83">
        <v>4.5999999999999996</v>
      </c>
      <c r="M83">
        <v>3.5</v>
      </c>
      <c r="N83">
        <v>7.9</v>
      </c>
      <c r="O83" s="6">
        <v>12</v>
      </c>
      <c r="P83" s="7">
        <v>0.92</v>
      </c>
      <c r="U83" t="s">
        <v>84</v>
      </c>
      <c r="V83" t="s">
        <v>85</v>
      </c>
      <c r="W83">
        <v>1.3</v>
      </c>
      <c r="X83" t="s">
        <v>84</v>
      </c>
      <c r="Y83" t="s">
        <v>138</v>
      </c>
      <c r="Z83" t="s">
        <v>106</v>
      </c>
      <c r="AA83" t="s">
        <v>139</v>
      </c>
      <c r="AB83" t="s">
        <v>89</v>
      </c>
      <c r="AC83">
        <v>1510</v>
      </c>
      <c r="AD83" s="8" t="b">
        <f>AND(
 H83&gt;=Filters!$B$3,
 H83&lt;=Filters!$B$4,
 I83&gt;=Filters!$B$5,
 OR(Filters!$B$6="All",B83=Filters!$B$6),
 F83&gt;=Filters!$B$7,
 F83&lt;=Filters!$B$8,
 OR(Filters!$B$9="All",G83=Filters!$B$9)
)</f>
        <v>0</v>
      </c>
      <c r="AE83">
        <f t="shared" si="13"/>
        <v>6</v>
      </c>
      <c r="AF83">
        <f t="shared" si="14"/>
        <v>7</v>
      </c>
      <c r="AG83">
        <f t="shared" si="15"/>
        <v>7</v>
      </c>
      <c r="AH83" s="9" t="str">
        <f t="shared" si="16"/>
        <v/>
      </c>
      <c r="AI83" s="9" t="str">
        <f t="shared" si="17"/>
        <v/>
      </c>
      <c r="AJ83" s="9" t="str">
        <f t="shared" si="18"/>
        <v/>
      </c>
      <c r="AK83" s="9" t="str">
        <f t="shared" si="19"/>
        <v/>
      </c>
      <c r="AL83" s="9" t="str">
        <f t="shared" si="20"/>
        <v/>
      </c>
      <c r="AM83" s="9" t="str">
        <f t="shared" si="21"/>
        <v/>
      </c>
      <c r="AN83" s="9" t="str">
        <f t="shared" si="22"/>
        <v/>
      </c>
      <c r="AO83" s="9" t="str">
        <f t="shared" si="23"/>
        <v/>
      </c>
      <c r="AP83" s="9" t="str">
        <f t="shared" si="24"/>
        <v/>
      </c>
      <c r="AQ83" s="10" t="str">
        <f t="shared" si="25"/>
        <v/>
      </c>
    </row>
    <row r="84" spans="1:43">
      <c r="A84">
        <v>83</v>
      </c>
      <c r="B84" t="s">
        <v>26</v>
      </c>
      <c r="C84" t="s">
        <v>287</v>
      </c>
      <c r="D84" t="s">
        <v>288</v>
      </c>
      <c r="E84" t="s">
        <v>97</v>
      </c>
      <c r="G84" t="s">
        <v>18</v>
      </c>
      <c r="H84" s="4">
        <v>23220000</v>
      </c>
      <c r="I84" s="5">
        <v>256</v>
      </c>
      <c r="J84" s="5">
        <v>0</v>
      </c>
      <c r="K84" s="5">
        <v>8</v>
      </c>
      <c r="L84">
        <v>5.2</v>
      </c>
      <c r="M84">
        <v>3.5</v>
      </c>
      <c r="N84">
        <v>6</v>
      </c>
      <c r="O84" s="6">
        <v>14</v>
      </c>
      <c r="P84" s="7">
        <v>1.63</v>
      </c>
      <c r="U84" t="s">
        <v>84</v>
      </c>
      <c r="V84" t="s">
        <v>126</v>
      </c>
      <c r="W84">
        <v>1.6</v>
      </c>
      <c r="X84" t="s">
        <v>84</v>
      </c>
      <c r="Y84" t="s">
        <v>99</v>
      </c>
      <c r="Z84" t="s">
        <v>100</v>
      </c>
      <c r="AA84" t="s">
        <v>101</v>
      </c>
      <c r="AB84" t="s">
        <v>115</v>
      </c>
      <c r="AC84">
        <v>860</v>
      </c>
      <c r="AD84" s="8" t="b">
        <f>AND(
 H84&gt;=Filters!$B$3,
 H84&lt;=Filters!$B$4,
 I84&gt;=Filters!$B$5,
 OR(Filters!$B$6="All",B84=Filters!$B$6),
 F84&gt;=Filters!$B$7,
 F84&lt;=Filters!$B$8,
 OR(Filters!$B$9="All",G84=Filters!$B$9)
)</f>
        <v>1</v>
      </c>
      <c r="AE84">
        <f t="shared" si="13"/>
        <v>6</v>
      </c>
      <c r="AF84">
        <f t="shared" si="14"/>
        <v>7</v>
      </c>
      <c r="AG84">
        <f t="shared" si="15"/>
        <v>7</v>
      </c>
      <c r="AH84" s="9">
        <f t="shared" si="16"/>
        <v>0.47619047619047616</v>
      </c>
      <c r="AI84" s="9">
        <f t="shared" si="17"/>
        <v>0.80952380952380942</v>
      </c>
      <c r="AJ84" s="9">
        <f t="shared" si="18"/>
        <v>0.27380952380952378</v>
      </c>
      <c r="AK84" s="9">
        <f t="shared" si="19"/>
        <v>0.5714285714285714</v>
      </c>
      <c r="AL84" s="9">
        <f t="shared" si="20"/>
        <v>0.94880952380952377</v>
      </c>
      <c r="AM84" s="9">
        <f t="shared" si="21"/>
        <v>0.5714285714285714</v>
      </c>
      <c r="AN84" s="9">
        <f t="shared" si="22"/>
        <v>0.69047619047619047</v>
      </c>
      <c r="AO84" s="9">
        <f t="shared" si="23"/>
        <v>0.69047619047619047</v>
      </c>
      <c r="AP84" s="9">
        <f t="shared" si="24"/>
        <v>0.62658247810128354</v>
      </c>
      <c r="AQ84" s="10">
        <f t="shared" si="25"/>
        <v>0.62658256210128349</v>
      </c>
    </row>
    <row r="85" spans="1:43">
      <c r="A85">
        <v>84</v>
      </c>
      <c r="B85" t="s">
        <v>29</v>
      </c>
      <c r="C85" t="s">
        <v>289</v>
      </c>
      <c r="D85" t="s">
        <v>290</v>
      </c>
      <c r="E85" t="s">
        <v>97</v>
      </c>
      <c r="G85" t="s">
        <v>18</v>
      </c>
      <c r="H85" s="4">
        <v>10773000</v>
      </c>
      <c r="I85" s="5">
        <v>128</v>
      </c>
      <c r="J85" s="5">
        <v>0</v>
      </c>
      <c r="K85" s="5">
        <v>4</v>
      </c>
      <c r="L85">
        <v>6</v>
      </c>
      <c r="M85">
        <v>6.5</v>
      </c>
      <c r="N85">
        <v>5.92</v>
      </c>
      <c r="O85" s="6">
        <v>15.6</v>
      </c>
      <c r="P85" s="7">
        <v>2.2000000000000002</v>
      </c>
      <c r="U85" t="s">
        <v>104</v>
      </c>
      <c r="V85" t="s">
        <v>194</v>
      </c>
      <c r="W85">
        <v>2.5</v>
      </c>
      <c r="X85" t="s">
        <v>104</v>
      </c>
      <c r="Y85" t="s">
        <v>291</v>
      </c>
      <c r="Z85" t="s">
        <v>87</v>
      </c>
      <c r="AA85" t="s">
        <v>101</v>
      </c>
      <c r="AB85" t="s">
        <v>115</v>
      </c>
      <c r="AC85">
        <v>399</v>
      </c>
      <c r="AD85" s="8" t="b">
        <f>AND(
 H85&gt;=Filters!$B$3,
 H85&lt;=Filters!$B$4,
 I85&gt;=Filters!$B$5,
 OR(Filters!$B$6="All",B85=Filters!$B$6),
 F85&gt;=Filters!$B$7,
 F85&lt;=Filters!$B$8,
 OR(Filters!$B$9="All",G85=Filters!$B$9)
)</f>
        <v>0</v>
      </c>
      <c r="AE85">
        <f t="shared" si="13"/>
        <v>6</v>
      </c>
      <c r="AF85">
        <f t="shared" si="14"/>
        <v>7</v>
      </c>
      <c r="AG85">
        <f t="shared" si="15"/>
        <v>7</v>
      </c>
      <c r="AH85" s="9" t="str">
        <f t="shared" si="16"/>
        <v/>
      </c>
      <c r="AI85" s="9" t="str">
        <f t="shared" si="17"/>
        <v/>
      </c>
      <c r="AJ85" s="9" t="str">
        <f t="shared" si="18"/>
        <v/>
      </c>
      <c r="AK85" s="9" t="str">
        <f t="shared" si="19"/>
        <v/>
      </c>
      <c r="AL85" s="9" t="str">
        <f t="shared" si="20"/>
        <v/>
      </c>
      <c r="AM85" s="9" t="str">
        <f t="shared" si="21"/>
        <v/>
      </c>
      <c r="AN85" s="9" t="str">
        <f t="shared" si="22"/>
        <v/>
      </c>
      <c r="AO85" s="9" t="str">
        <f t="shared" si="23"/>
        <v/>
      </c>
      <c r="AP85" s="9" t="str">
        <f t="shared" si="24"/>
        <v/>
      </c>
      <c r="AQ85" s="10" t="str">
        <f t="shared" si="25"/>
        <v/>
      </c>
    </row>
    <row r="86" spans="1:43">
      <c r="A86">
        <v>85</v>
      </c>
      <c r="B86" t="s">
        <v>17</v>
      </c>
      <c r="C86" t="s">
        <v>109</v>
      </c>
      <c r="D86" t="s">
        <v>110</v>
      </c>
      <c r="E86" t="s">
        <v>97</v>
      </c>
      <c r="G86" t="s">
        <v>18</v>
      </c>
      <c r="H86" s="4">
        <v>10665000</v>
      </c>
      <c r="I86" s="5">
        <v>0</v>
      </c>
      <c r="J86" s="5">
        <v>1024</v>
      </c>
      <c r="K86" s="5">
        <v>4</v>
      </c>
      <c r="L86">
        <v>7</v>
      </c>
      <c r="M86">
        <v>6.5</v>
      </c>
      <c r="N86">
        <v>3.92</v>
      </c>
      <c r="O86" s="6">
        <v>15.6</v>
      </c>
      <c r="P86" s="7">
        <v>2.1</v>
      </c>
      <c r="U86" t="s">
        <v>104</v>
      </c>
      <c r="V86" t="s">
        <v>111</v>
      </c>
      <c r="W86">
        <v>3</v>
      </c>
      <c r="X86" t="s">
        <v>104</v>
      </c>
      <c r="Y86" t="s">
        <v>112</v>
      </c>
      <c r="Z86" t="s">
        <v>146</v>
      </c>
      <c r="AA86" t="s">
        <v>114</v>
      </c>
      <c r="AB86" t="s">
        <v>115</v>
      </c>
      <c r="AC86">
        <v>395</v>
      </c>
      <c r="AD86" s="8" t="b">
        <f>AND(
 H86&gt;=Filters!$B$3,
 H86&lt;=Filters!$B$4,
 I86&gt;=Filters!$B$5,
 OR(Filters!$B$6="All",B86=Filters!$B$6),
 F86&gt;=Filters!$B$7,
 F86&lt;=Filters!$B$8,
 OR(Filters!$B$9="All",G86=Filters!$B$9)
)</f>
        <v>0</v>
      </c>
      <c r="AE86">
        <f t="shared" si="13"/>
        <v>6</v>
      </c>
      <c r="AF86">
        <f t="shared" si="14"/>
        <v>7</v>
      </c>
      <c r="AG86">
        <f t="shared" si="15"/>
        <v>7</v>
      </c>
      <c r="AH86" s="9" t="str">
        <f t="shared" si="16"/>
        <v/>
      </c>
      <c r="AI86" s="9" t="str">
        <f t="shared" si="17"/>
        <v/>
      </c>
      <c r="AJ86" s="9" t="str">
        <f t="shared" si="18"/>
        <v/>
      </c>
      <c r="AK86" s="9" t="str">
        <f t="shared" si="19"/>
        <v/>
      </c>
      <c r="AL86" s="9" t="str">
        <f t="shared" si="20"/>
        <v/>
      </c>
      <c r="AM86" s="9" t="str">
        <f t="shared" si="21"/>
        <v/>
      </c>
      <c r="AN86" s="9" t="str">
        <f t="shared" si="22"/>
        <v/>
      </c>
      <c r="AO86" s="9" t="str">
        <f t="shared" si="23"/>
        <v/>
      </c>
      <c r="AP86" s="9" t="str">
        <f t="shared" si="24"/>
        <v/>
      </c>
      <c r="AQ86" s="10" t="str">
        <f t="shared" si="25"/>
        <v/>
      </c>
    </row>
    <row r="87" spans="1:43">
      <c r="A87">
        <v>86</v>
      </c>
      <c r="B87" t="s">
        <v>23</v>
      </c>
      <c r="C87" t="s">
        <v>208</v>
      </c>
      <c r="D87" t="s">
        <v>209</v>
      </c>
      <c r="E87" t="s">
        <v>158</v>
      </c>
      <c r="G87" t="s">
        <v>18</v>
      </c>
      <c r="H87" s="4">
        <v>36423000</v>
      </c>
      <c r="I87" s="5">
        <v>128</v>
      </c>
      <c r="J87" s="5">
        <v>1024</v>
      </c>
      <c r="K87" s="5">
        <v>16</v>
      </c>
      <c r="L87">
        <v>9.6</v>
      </c>
      <c r="M87">
        <v>9.1999999999999993</v>
      </c>
      <c r="N87">
        <v>6.32</v>
      </c>
      <c r="O87" s="6">
        <v>15.6</v>
      </c>
      <c r="P87" s="7">
        <v>2.65</v>
      </c>
      <c r="U87" t="s">
        <v>84</v>
      </c>
      <c r="V87" t="s">
        <v>210</v>
      </c>
      <c r="W87">
        <v>2.8</v>
      </c>
      <c r="X87" t="s">
        <v>122</v>
      </c>
      <c r="Y87" t="s">
        <v>260</v>
      </c>
      <c r="Z87" t="s">
        <v>161</v>
      </c>
      <c r="AA87" t="s">
        <v>128</v>
      </c>
      <c r="AB87" t="s">
        <v>115</v>
      </c>
      <c r="AC87">
        <v>1349</v>
      </c>
      <c r="AD87" s="8" t="b">
        <f>AND(
 H87&gt;=Filters!$B$3,
 H87&lt;=Filters!$B$4,
 I87&gt;=Filters!$B$5,
 OR(Filters!$B$6="All",B87=Filters!$B$6),
 F87&gt;=Filters!$B$7,
 F87&lt;=Filters!$B$8,
 OR(Filters!$B$9="All",G87=Filters!$B$9)
)</f>
        <v>0</v>
      </c>
      <c r="AE87">
        <f t="shared" si="13"/>
        <v>6</v>
      </c>
      <c r="AF87">
        <f t="shared" si="14"/>
        <v>7</v>
      </c>
      <c r="AG87">
        <f t="shared" si="15"/>
        <v>7</v>
      </c>
      <c r="AH87" s="9" t="str">
        <f t="shared" si="16"/>
        <v/>
      </c>
      <c r="AI87" s="9" t="str">
        <f t="shared" si="17"/>
        <v/>
      </c>
      <c r="AJ87" s="9" t="str">
        <f t="shared" si="18"/>
        <v/>
      </c>
      <c r="AK87" s="9" t="str">
        <f t="shared" si="19"/>
        <v/>
      </c>
      <c r="AL87" s="9" t="str">
        <f t="shared" si="20"/>
        <v/>
      </c>
      <c r="AM87" s="9" t="str">
        <f t="shared" si="21"/>
        <v/>
      </c>
      <c r="AN87" s="9" t="str">
        <f t="shared" si="22"/>
        <v/>
      </c>
      <c r="AO87" s="9" t="str">
        <f t="shared" si="23"/>
        <v/>
      </c>
      <c r="AP87" s="9" t="str">
        <f t="shared" si="24"/>
        <v/>
      </c>
      <c r="AQ87" s="10" t="str">
        <f t="shared" si="25"/>
        <v/>
      </c>
    </row>
    <row r="88" spans="1:43">
      <c r="A88">
        <v>87</v>
      </c>
      <c r="B88" t="s">
        <v>26</v>
      </c>
      <c r="C88" t="s">
        <v>292</v>
      </c>
      <c r="D88" t="s">
        <v>293</v>
      </c>
      <c r="E88" t="s">
        <v>83</v>
      </c>
      <c r="G88" t="s">
        <v>18</v>
      </c>
      <c r="H88" s="4">
        <v>18873000</v>
      </c>
      <c r="I88" s="5">
        <v>256</v>
      </c>
      <c r="J88" s="5">
        <v>0</v>
      </c>
      <c r="K88" s="5">
        <v>8</v>
      </c>
      <c r="L88">
        <v>7.6</v>
      </c>
      <c r="M88">
        <v>9.1999999999999993</v>
      </c>
      <c r="N88">
        <v>6.32</v>
      </c>
      <c r="O88" s="6">
        <v>15.6</v>
      </c>
      <c r="P88" s="7">
        <v>1.83</v>
      </c>
      <c r="U88" t="s">
        <v>84</v>
      </c>
      <c r="V88" t="s">
        <v>121</v>
      </c>
      <c r="W88">
        <v>1.8</v>
      </c>
      <c r="X88" t="s">
        <v>122</v>
      </c>
      <c r="Y88" t="s">
        <v>294</v>
      </c>
      <c r="Z88" t="s">
        <v>100</v>
      </c>
      <c r="AA88" t="s">
        <v>128</v>
      </c>
      <c r="AB88" t="s">
        <v>115</v>
      </c>
      <c r="AC88">
        <v>699</v>
      </c>
      <c r="AD88" s="8" t="b">
        <f>AND(
 H88&gt;=Filters!$B$3,
 H88&lt;=Filters!$B$4,
 I88&gt;=Filters!$B$5,
 OR(Filters!$B$6="All",B88=Filters!$B$6),
 F88&gt;=Filters!$B$7,
 F88&lt;=Filters!$B$8,
 OR(Filters!$B$9="All",G88=Filters!$B$9)
)</f>
        <v>1</v>
      </c>
      <c r="AE88">
        <f t="shared" si="13"/>
        <v>6</v>
      </c>
      <c r="AF88">
        <f t="shared" si="14"/>
        <v>7</v>
      </c>
      <c r="AG88">
        <f t="shared" si="15"/>
        <v>7</v>
      </c>
      <c r="AH88" s="9">
        <f t="shared" si="16"/>
        <v>0.76190476190476186</v>
      </c>
      <c r="AI88" s="9">
        <f t="shared" si="17"/>
        <v>0.80952380952380942</v>
      </c>
      <c r="AJ88" s="9">
        <f t="shared" si="18"/>
        <v>0.95238095238095222</v>
      </c>
      <c r="AK88" s="9">
        <f t="shared" si="19"/>
        <v>0.60952380952380947</v>
      </c>
      <c r="AL88" s="9">
        <f t="shared" si="20"/>
        <v>0.92499999999999993</v>
      </c>
      <c r="AM88" s="9">
        <f t="shared" si="21"/>
        <v>0.5714285714285714</v>
      </c>
      <c r="AN88" s="9">
        <f t="shared" si="22"/>
        <v>0.69047619047619047</v>
      </c>
      <c r="AO88" s="9">
        <f t="shared" si="23"/>
        <v>0.69047619047619047</v>
      </c>
      <c r="AP88" s="9">
        <f t="shared" si="24"/>
        <v>0.732813194124595</v>
      </c>
      <c r="AQ88" s="10">
        <f t="shared" si="25"/>
        <v>0.73281328212459496</v>
      </c>
    </row>
    <row r="89" spans="1:43">
      <c r="A89">
        <v>88</v>
      </c>
      <c r="B89" t="s">
        <v>26</v>
      </c>
      <c r="C89" t="s">
        <v>95</v>
      </c>
      <c r="D89" t="s">
        <v>96</v>
      </c>
      <c r="E89" t="s">
        <v>97</v>
      </c>
      <c r="G89" t="s">
        <v>18</v>
      </c>
      <c r="H89" s="4">
        <v>16172730</v>
      </c>
      <c r="I89" s="5">
        <v>256</v>
      </c>
      <c r="J89" s="5">
        <v>0</v>
      </c>
      <c r="K89" s="5">
        <v>8</v>
      </c>
      <c r="L89">
        <v>7</v>
      </c>
      <c r="M89">
        <v>3.5</v>
      </c>
      <c r="N89">
        <v>5.92</v>
      </c>
      <c r="O89" s="6">
        <v>15.6</v>
      </c>
      <c r="P89" s="7">
        <v>1.96</v>
      </c>
      <c r="U89" t="s">
        <v>84</v>
      </c>
      <c r="V89" t="s">
        <v>98</v>
      </c>
      <c r="W89">
        <v>2.5</v>
      </c>
      <c r="X89" t="s">
        <v>84</v>
      </c>
      <c r="Y89" t="s">
        <v>99</v>
      </c>
      <c r="Z89" t="s">
        <v>100</v>
      </c>
      <c r="AA89" t="s">
        <v>101</v>
      </c>
      <c r="AB89" t="s">
        <v>115</v>
      </c>
      <c r="AC89">
        <v>598.99</v>
      </c>
      <c r="AD89" s="8" t="b">
        <f>AND(
 H89&gt;=Filters!$B$3,
 H89&lt;=Filters!$B$4,
 I89&gt;=Filters!$B$5,
 OR(Filters!$B$6="All",B89=Filters!$B$6),
 F89&gt;=Filters!$B$7,
 F89&lt;=Filters!$B$8,
 OR(Filters!$B$9="All",G89=Filters!$B$9)
)</f>
        <v>1</v>
      </c>
      <c r="AE89">
        <f t="shared" si="13"/>
        <v>6</v>
      </c>
      <c r="AF89">
        <f t="shared" si="14"/>
        <v>7</v>
      </c>
      <c r="AG89">
        <f t="shared" si="15"/>
        <v>7</v>
      </c>
      <c r="AH89" s="9">
        <f t="shared" si="16"/>
        <v>0.69047619047619047</v>
      </c>
      <c r="AI89" s="9">
        <f t="shared" si="17"/>
        <v>0.80952380952380942</v>
      </c>
      <c r="AJ89" s="9">
        <f t="shared" si="18"/>
        <v>0.27380952380952378</v>
      </c>
      <c r="AK89" s="9">
        <f t="shared" si="19"/>
        <v>0.56190476190476191</v>
      </c>
      <c r="AL89" s="9">
        <f t="shared" si="20"/>
        <v>0.9095238095238094</v>
      </c>
      <c r="AM89" s="9">
        <f t="shared" si="21"/>
        <v>0.5714285714285714</v>
      </c>
      <c r="AN89" s="9">
        <f t="shared" si="22"/>
        <v>0.69047619047619047</v>
      </c>
      <c r="AO89" s="9">
        <f t="shared" si="23"/>
        <v>0.69047619047619047</v>
      </c>
      <c r="AP89" s="9">
        <f t="shared" si="24"/>
        <v>0.66856864881903555</v>
      </c>
      <c r="AQ89" s="10">
        <f t="shared" si="25"/>
        <v>0.66856873781903559</v>
      </c>
    </row>
    <row r="90" spans="1:43">
      <c r="A90">
        <v>89</v>
      </c>
      <c r="B90" t="s">
        <v>21</v>
      </c>
      <c r="C90" t="s">
        <v>295</v>
      </c>
      <c r="D90" t="s">
        <v>296</v>
      </c>
      <c r="E90" t="s">
        <v>158</v>
      </c>
      <c r="G90" t="s">
        <v>18</v>
      </c>
      <c r="H90" s="4">
        <v>39123000</v>
      </c>
      <c r="I90" s="5">
        <v>128</v>
      </c>
      <c r="J90" s="5">
        <v>1024</v>
      </c>
      <c r="K90" s="5">
        <v>16</v>
      </c>
      <c r="L90">
        <v>9.6</v>
      </c>
      <c r="M90">
        <v>9.1999999999999993</v>
      </c>
      <c r="N90">
        <v>6.32</v>
      </c>
      <c r="O90" s="6">
        <v>15.6</v>
      </c>
      <c r="P90" s="7">
        <v>2.2000000000000002</v>
      </c>
      <c r="U90" t="s">
        <v>84</v>
      </c>
      <c r="V90" t="s">
        <v>210</v>
      </c>
      <c r="W90">
        <v>2.8</v>
      </c>
      <c r="X90" t="s">
        <v>122</v>
      </c>
      <c r="Y90" t="s">
        <v>211</v>
      </c>
      <c r="Z90" t="s">
        <v>161</v>
      </c>
      <c r="AA90" t="s">
        <v>128</v>
      </c>
      <c r="AB90" t="s">
        <v>115</v>
      </c>
      <c r="AC90">
        <v>1449</v>
      </c>
      <c r="AD90" s="8" t="b">
        <f>AND(
 H90&gt;=Filters!$B$3,
 H90&lt;=Filters!$B$4,
 I90&gt;=Filters!$B$5,
 OR(Filters!$B$6="All",B90=Filters!$B$6),
 F90&gt;=Filters!$B$7,
 F90&lt;=Filters!$B$8,
 OR(Filters!$B$9="All",G90=Filters!$B$9)
)</f>
        <v>0</v>
      </c>
      <c r="AE90">
        <f t="shared" si="13"/>
        <v>6</v>
      </c>
      <c r="AF90">
        <f t="shared" si="14"/>
        <v>7</v>
      </c>
      <c r="AG90">
        <f t="shared" si="15"/>
        <v>7</v>
      </c>
      <c r="AH90" s="9" t="str">
        <f t="shared" si="16"/>
        <v/>
      </c>
      <c r="AI90" s="9" t="str">
        <f t="shared" si="17"/>
        <v/>
      </c>
      <c r="AJ90" s="9" t="str">
        <f t="shared" si="18"/>
        <v/>
      </c>
      <c r="AK90" s="9" t="str">
        <f t="shared" si="19"/>
        <v/>
      </c>
      <c r="AL90" s="9" t="str">
        <f t="shared" si="20"/>
        <v/>
      </c>
      <c r="AM90" s="9" t="str">
        <f t="shared" si="21"/>
        <v/>
      </c>
      <c r="AN90" s="9" t="str">
        <f t="shared" si="22"/>
        <v/>
      </c>
      <c r="AO90" s="9" t="str">
        <f t="shared" si="23"/>
        <v/>
      </c>
      <c r="AP90" s="9" t="str">
        <f t="shared" si="24"/>
        <v/>
      </c>
      <c r="AQ90" s="10" t="str">
        <f t="shared" si="25"/>
        <v/>
      </c>
    </row>
    <row r="91" spans="1:43">
      <c r="A91">
        <v>90</v>
      </c>
      <c r="B91" t="s">
        <v>23</v>
      </c>
      <c r="C91" t="s">
        <v>147</v>
      </c>
      <c r="D91" t="s">
        <v>148</v>
      </c>
      <c r="E91" t="s">
        <v>83</v>
      </c>
      <c r="G91" t="s">
        <v>18</v>
      </c>
      <c r="H91" s="4">
        <v>44523000</v>
      </c>
      <c r="I91" s="5">
        <v>256</v>
      </c>
      <c r="J91" s="5">
        <v>0</v>
      </c>
      <c r="K91" s="5">
        <v>8</v>
      </c>
      <c r="L91">
        <v>7.6</v>
      </c>
      <c r="M91">
        <v>3.8</v>
      </c>
      <c r="N91">
        <v>6.37</v>
      </c>
      <c r="O91" s="6">
        <v>13.3</v>
      </c>
      <c r="P91" s="7">
        <v>1.21</v>
      </c>
      <c r="U91" t="s">
        <v>84</v>
      </c>
      <c r="V91" t="s">
        <v>121</v>
      </c>
      <c r="W91">
        <v>1.8</v>
      </c>
      <c r="X91" t="s">
        <v>84</v>
      </c>
      <c r="Y91" t="s">
        <v>127</v>
      </c>
      <c r="Z91" t="s">
        <v>100</v>
      </c>
      <c r="AA91" t="s">
        <v>128</v>
      </c>
      <c r="AB91" t="s">
        <v>115</v>
      </c>
      <c r="AC91">
        <v>1649</v>
      </c>
      <c r="AD91" s="8" t="b">
        <f>AND(
 H91&gt;=Filters!$B$3,
 H91&lt;=Filters!$B$4,
 I91&gt;=Filters!$B$5,
 OR(Filters!$B$6="All",B91=Filters!$B$6),
 F91&gt;=Filters!$B$7,
 F91&lt;=Filters!$B$8,
 OR(Filters!$B$9="All",G91=Filters!$B$9)
)</f>
        <v>0</v>
      </c>
      <c r="AE91">
        <f t="shared" si="13"/>
        <v>6</v>
      </c>
      <c r="AF91">
        <f t="shared" si="14"/>
        <v>7</v>
      </c>
      <c r="AG91">
        <f t="shared" si="15"/>
        <v>7</v>
      </c>
      <c r="AH91" s="9" t="str">
        <f t="shared" si="16"/>
        <v/>
      </c>
      <c r="AI91" s="9" t="str">
        <f t="shared" si="17"/>
        <v/>
      </c>
      <c r="AJ91" s="9" t="str">
        <f t="shared" si="18"/>
        <v/>
      </c>
      <c r="AK91" s="9" t="str">
        <f t="shared" si="19"/>
        <v/>
      </c>
      <c r="AL91" s="9" t="str">
        <f t="shared" si="20"/>
        <v/>
      </c>
      <c r="AM91" s="9" t="str">
        <f t="shared" si="21"/>
        <v/>
      </c>
      <c r="AN91" s="9" t="str">
        <f t="shared" si="22"/>
        <v/>
      </c>
      <c r="AO91" s="9" t="str">
        <f t="shared" si="23"/>
        <v/>
      </c>
      <c r="AP91" s="9" t="str">
        <f t="shared" si="24"/>
        <v/>
      </c>
      <c r="AQ91" s="10" t="str">
        <f t="shared" si="25"/>
        <v/>
      </c>
    </row>
    <row r="92" spans="1:43">
      <c r="A92">
        <v>91</v>
      </c>
      <c r="B92" t="s">
        <v>21</v>
      </c>
      <c r="C92" t="s">
        <v>297</v>
      </c>
      <c r="D92" t="s">
        <v>298</v>
      </c>
      <c r="E92" t="s">
        <v>158</v>
      </c>
      <c r="G92" t="s">
        <v>18</v>
      </c>
      <c r="H92" s="4">
        <v>18873000</v>
      </c>
      <c r="I92" s="5">
        <v>0</v>
      </c>
      <c r="J92" s="5">
        <v>1024</v>
      </c>
      <c r="K92" s="5">
        <v>8</v>
      </c>
      <c r="L92">
        <v>7</v>
      </c>
      <c r="M92">
        <v>8</v>
      </c>
      <c r="N92">
        <v>5.92</v>
      </c>
      <c r="O92" s="6">
        <v>15.6</v>
      </c>
      <c r="P92" s="7">
        <v>2.4500000000000002</v>
      </c>
      <c r="U92" t="s">
        <v>104</v>
      </c>
      <c r="V92" t="s">
        <v>299</v>
      </c>
      <c r="W92">
        <v>3</v>
      </c>
      <c r="X92" t="s">
        <v>104</v>
      </c>
      <c r="Y92" t="s">
        <v>300</v>
      </c>
      <c r="Z92" t="s">
        <v>146</v>
      </c>
      <c r="AA92" t="s">
        <v>101</v>
      </c>
      <c r="AB92" t="s">
        <v>115</v>
      </c>
      <c r="AC92">
        <v>699</v>
      </c>
      <c r="AD92" s="8" t="b">
        <f>AND(
 H92&gt;=Filters!$B$3,
 H92&lt;=Filters!$B$4,
 I92&gt;=Filters!$B$5,
 OR(Filters!$B$6="All",B92=Filters!$B$6),
 F92&gt;=Filters!$B$7,
 F92&lt;=Filters!$B$8,
 OR(Filters!$B$9="All",G92=Filters!$B$9)
)</f>
        <v>0</v>
      </c>
      <c r="AE92">
        <f t="shared" si="13"/>
        <v>6</v>
      </c>
      <c r="AF92">
        <f t="shared" si="14"/>
        <v>7</v>
      </c>
      <c r="AG92">
        <f t="shared" si="15"/>
        <v>7</v>
      </c>
      <c r="AH92" s="9" t="str">
        <f t="shared" si="16"/>
        <v/>
      </c>
      <c r="AI92" s="9" t="str">
        <f t="shared" si="17"/>
        <v/>
      </c>
      <c r="AJ92" s="9" t="str">
        <f t="shared" si="18"/>
        <v/>
      </c>
      <c r="AK92" s="9" t="str">
        <f t="shared" si="19"/>
        <v/>
      </c>
      <c r="AL92" s="9" t="str">
        <f t="shared" si="20"/>
        <v/>
      </c>
      <c r="AM92" s="9" t="str">
        <f t="shared" si="21"/>
        <v/>
      </c>
      <c r="AN92" s="9" t="str">
        <f t="shared" si="22"/>
        <v/>
      </c>
      <c r="AO92" s="9" t="str">
        <f t="shared" si="23"/>
        <v/>
      </c>
      <c r="AP92" s="9" t="str">
        <f t="shared" si="24"/>
        <v/>
      </c>
      <c r="AQ92" s="10" t="str">
        <f t="shared" si="25"/>
        <v/>
      </c>
    </row>
    <row r="93" spans="1:43">
      <c r="A93">
        <v>92</v>
      </c>
      <c r="B93" t="s">
        <v>17</v>
      </c>
      <c r="C93" t="s">
        <v>301</v>
      </c>
      <c r="D93" t="s">
        <v>302</v>
      </c>
      <c r="E93" t="s">
        <v>97</v>
      </c>
      <c r="G93" t="s">
        <v>18</v>
      </c>
      <c r="H93" s="4">
        <v>18603000</v>
      </c>
      <c r="I93" s="5">
        <v>0</v>
      </c>
      <c r="J93" s="5">
        <v>1024</v>
      </c>
      <c r="K93" s="5">
        <v>8</v>
      </c>
      <c r="L93">
        <v>7.6</v>
      </c>
      <c r="M93">
        <v>6.5</v>
      </c>
      <c r="N93">
        <v>5.92</v>
      </c>
      <c r="O93" s="6">
        <v>15.6</v>
      </c>
      <c r="P93" s="7">
        <v>2.2000000000000002</v>
      </c>
      <c r="U93" t="s">
        <v>84</v>
      </c>
      <c r="V93" t="s">
        <v>121</v>
      </c>
      <c r="W93">
        <v>1.8</v>
      </c>
      <c r="X93" t="s">
        <v>122</v>
      </c>
      <c r="Y93" t="s">
        <v>123</v>
      </c>
      <c r="Z93" t="s">
        <v>146</v>
      </c>
      <c r="AA93" t="s">
        <v>101</v>
      </c>
      <c r="AB93" t="s">
        <v>115</v>
      </c>
      <c r="AC93">
        <v>689</v>
      </c>
      <c r="AD93" s="8" t="b">
        <f>AND(
 H93&gt;=Filters!$B$3,
 H93&lt;=Filters!$B$4,
 I93&gt;=Filters!$B$5,
 OR(Filters!$B$6="All",B93=Filters!$B$6),
 F93&gt;=Filters!$B$7,
 F93&lt;=Filters!$B$8,
 OR(Filters!$B$9="All",G93=Filters!$B$9)
)</f>
        <v>0</v>
      </c>
      <c r="AE93">
        <f t="shared" si="13"/>
        <v>6</v>
      </c>
      <c r="AF93">
        <f t="shared" si="14"/>
        <v>7</v>
      </c>
      <c r="AG93">
        <f t="shared" si="15"/>
        <v>7</v>
      </c>
      <c r="AH93" s="9" t="str">
        <f t="shared" si="16"/>
        <v/>
      </c>
      <c r="AI93" s="9" t="str">
        <f t="shared" si="17"/>
        <v/>
      </c>
      <c r="AJ93" s="9" t="str">
        <f t="shared" si="18"/>
        <v/>
      </c>
      <c r="AK93" s="9" t="str">
        <f t="shared" si="19"/>
        <v/>
      </c>
      <c r="AL93" s="9" t="str">
        <f t="shared" si="20"/>
        <v/>
      </c>
      <c r="AM93" s="9" t="str">
        <f t="shared" si="21"/>
        <v/>
      </c>
      <c r="AN93" s="9" t="str">
        <f t="shared" si="22"/>
        <v/>
      </c>
      <c r="AO93" s="9" t="str">
        <f t="shared" si="23"/>
        <v/>
      </c>
      <c r="AP93" s="9" t="str">
        <f t="shared" si="24"/>
        <v/>
      </c>
      <c r="AQ93" s="10" t="str">
        <f t="shared" si="25"/>
        <v/>
      </c>
    </row>
    <row r="94" spans="1:43">
      <c r="A94">
        <v>93</v>
      </c>
      <c r="B94" t="s">
        <v>26</v>
      </c>
      <c r="C94" t="s">
        <v>303</v>
      </c>
      <c r="D94" t="s">
        <v>304</v>
      </c>
      <c r="E94" t="s">
        <v>97</v>
      </c>
      <c r="G94" t="s">
        <v>18</v>
      </c>
      <c r="H94" s="4">
        <v>32319000</v>
      </c>
      <c r="I94" s="5">
        <v>512</v>
      </c>
      <c r="J94" s="5">
        <v>0</v>
      </c>
      <c r="K94" s="5">
        <v>16</v>
      </c>
      <c r="L94">
        <v>7.6</v>
      </c>
      <c r="M94">
        <v>3.8</v>
      </c>
      <c r="N94">
        <v>5.96</v>
      </c>
      <c r="O94" s="6">
        <v>13.3</v>
      </c>
      <c r="P94" s="7">
        <v>1.49</v>
      </c>
      <c r="U94" t="s">
        <v>84</v>
      </c>
      <c r="V94" t="s">
        <v>121</v>
      </c>
      <c r="W94">
        <v>1.8</v>
      </c>
      <c r="X94" t="s">
        <v>84</v>
      </c>
      <c r="Y94" t="s">
        <v>127</v>
      </c>
      <c r="Z94" t="s">
        <v>106</v>
      </c>
      <c r="AA94" t="s">
        <v>101</v>
      </c>
      <c r="AB94" t="s">
        <v>115</v>
      </c>
      <c r="AC94">
        <v>1197</v>
      </c>
      <c r="AD94" s="8" t="b">
        <f>AND(
 H94&gt;=Filters!$B$3,
 H94&lt;=Filters!$B$4,
 I94&gt;=Filters!$B$5,
 OR(Filters!$B$6="All",B94=Filters!$B$6),
 F94&gt;=Filters!$B$7,
 F94&lt;=Filters!$B$8,
 OR(Filters!$B$9="All",G94=Filters!$B$9)
)</f>
        <v>0</v>
      </c>
      <c r="AE94">
        <f t="shared" si="13"/>
        <v>6</v>
      </c>
      <c r="AF94">
        <f t="shared" si="14"/>
        <v>7</v>
      </c>
      <c r="AG94">
        <f t="shared" si="15"/>
        <v>7</v>
      </c>
      <c r="AH94" s="9" t="str">
        <f t="shared" si="16"/>
        <v/>
      </c>
      <c r="AI94" s="9" t="str">
        <f t="shared" si="17"/>
        <v/>
      </c>
      <c r="AJ94" s="9" t="str">
        <f t="shared" si="18"/>
        <v/>
      </c>
      <c r="AK94" s="9" t="str">
        <f t="shared" si="19"/>
        <v/>
      </c>
      <c r="AL94" s="9" t="str">
        <f t="shared" si="20"/>
        <v/>
      </c>
      <c r="AM94" s="9" t="str">
        <f t="shared" si="21"/>
        <v/>
      </c>
      <c r="AN94" s="9" t="str">
        <f t="shared" si="22"/>
        <v/>
      </c>
      <c r="AO94" s="9" t="str">
        <f t="shared" si="23"/>
        <v/>
      </c>
      <c r="AP94" s="9" t="str">
        <f t="shared" si="24"/>
        <v/>
      </c>
      <c r="AQ94" s="10" t="str">
        <f t="shared" si="25"/>
        <v/>
      </c>
    </row>
    <row r="95" spans="1:43">
      <c r="A95">
        <v>94</v>
      </c>
      <c r="B95" t="s">
        <v>23</v>
      </c>
      <c r="C95" t="s">
        <v>208</v>
      </c>
      <c r="D95" t="s">
        <v>209</v>
      </c>
      <c r="E95" t="s">
        <v>158</v>
      </c>
      <c r="G95" t="s">
        <v>18</v>
      </c>
      <c r="H95" s="4">
        <v>32265000</v>
      </c>
      <c r="I95" s="5">
        <v>256</v>
      </c>
      <c r="J95" s="5">
        <v>0</v>
      </c>
      <c r="K95" s="5">
        <v>8</v>
      </c>
      <c r="L95">
        <v>7</v>
      </c>
      <c r="M95">
        <v>9.1999999999999993</v>
      </c>
      <c r="N95">
        <v>5.92</v>
      </c>
      <c r="O95" s="6">
        <v>15.6</v>
      </c>
      <c r="P95" s="7">
        <v>2.65</v>
      </c>
      <c r="U95" t="s">
        <v>84</v>
      </c>
      <c r="V95" t="s">
        <v>159</v>
      </c>
      <c r="W95">
        <v>2.5</v>
      </c>
      <c r="X95" t="s">
        <v>122</v>
      </c>
      <c r="Y95" t="s">
        <v>211</v>
      </c>
      <c r="Z95" t="s">
        <v>100</v>
      </c>
      <c r="AA95" t="s">
        <v>101</v>
      </c>
      <c r="AB95" t="s">
        <v>115</v>
      </c>
      <c r="AC95">
        <v>1195</v>
      </c>
      <c r="AD95" s="8" t="b">
        <f>AND(
 H95&gt;=Filters!$B$3,
 H95&lt;=Filters!$B$4,
 I95&gt;=Filters!$B$5,
 OR(Filters!$B$6="All",B95=Filters!$B$6),
 F95&gt;=Filters!$B$7,
 F95&lt;=Filters!$B$8,
 OR(Filters!$B$9="All",G95=Filters!$B$9)
)</f>
        <v>0</v>
      </c>
      <c r="AE95">
        <f t="shared" si="13"/>
        <v>6</v>
      </c>
      <c r="AF95">
        <f t="shared" si="14"/>
        <v>7</v>
      </c>
      <c r="AG95">
        <f t="shared" si="15"/>
        <v>7</v>
      </c>
      <c r="AH95" s="9" t="str">
        <f t="shared" si="16"/>
        <v/>
      </c>
      <c r="AI95" s="9" t="str">
        <f t="shared" si="17"/>
        <v/>
      </c>
      <c r="AJ95" s="9" t="str">
        <f t="shared" si="18"/>
        <v/>
      </c>
      <c r="AK95" s="9" t="str">
        <f t="shared" si="19"/>
        <v/>
      </c>
      <c r="AL95" s="9" t="str">
        <f t="shared" si="20"/>
        <v/>
      </c>
      <c r="AM95" s="9" t="str">
        <f t="shared" si="21"/>
        <v/>
      </c>
      <c r="AN95" s="9" t="str">
        <f t="shared" si="22"/>
        <v/>
      </c>
      <c r="AO95" s="9" t="str">
        <f t="shared" si="23"/>
        <v/>
      </c>
      <c r="AP95" s="9" t="str">
        <f t="shared" si="24"/>
        <v/>
      </c>
      <c r="AQ95" s="10" t="str">
        <f t="shared" si="25"/>
        <v/>
      </c>
    </row>
    <row r="96" spans="1:43">
      <c r="A96">
        <v>95</v>
      </c>
      <c r="B96" t="s">
        <v>21</v>
      </c>
      <c r="C96" t="s">
        <v>305</v>
      </c>
      <c r="D96" t="s">
        <v>306</v>
      </c>
      <c r="E96" t="s">
        <v>83</v>
      </c>
      <c r="G96" t="s">
        <v>18</v>
      </c>
      <c r="H96" s="4">
        <v>28323000</v>
      </c>
      <c r="I96" s="5">
        <v>256</v>
      </c>
      <c r="J96" s="5">
        <v>0</v>
      </c>
      <c r="K96" s="5">
        <v>8</v>
      </c>
      <c r="L96">
        <v>9.4</v>
      </c>
      <c r="M96">
        <v>3.5</v>
      </c>
      <c r="N96">
        <v>6</v>
      </c>
      <c r="O96" s="6">
        <v>14</v>
      </c>
      <c r="P96" s="7">
        <v>1.25</v>
      </c>
      <c r="U96" t="s">
        <v>84</v>
      </c>
      <c r="V96" t="s">
        <v>140</v>
      </c>
      <c r="W96">
        <v>2.7</v>
      </c>
      <c r="X96" t="s">
        <v>84</v>
      </c>
      <c r="Y96" t="s">
        <v>99</v>
      </c>
      <c r="Z96" t="s">
        <v>100</v>
      </c>
      <c r="AA96" t="s">
        <v>101</v>
      </c>
      <c r="AB96" t="s">
        <v>115</v>
      </c>
      <c r="AC96">
        <v>1049</v>
      </c>
      <c r="AD96" s="8" t="b">
        <f>AND(
 H96&gt;=Filters!$B$3,
 H96&lt;=Filters!$B$4,
 I96&gt;=Filters!$B$5,
 OR(Filters!$B$6="All",B96=Filters!$B$6),
 F96&gt;=Filters!$B$7,
 F96&lt;=Filters!$B$8,
 OR(Filters!$B$9="All",G96=Filters!$B$9)
)</f>
        <v>0</v>
      </c>
      <c r="AE96">
        <f t="shared" si="13"/>
        <v>6</v>
      </c>
      <c r="AF96">
        <f t="shared" si="14"/>
        <v>7</v>
      </c>
      <c r="AG96">
        <f t="shared" si="15"/>
        <v>7</v>
      </c>
      <c r="AH96" s="9" t="str">
        <f t="shared" si="16"/>
        <v/>
      </c>
      <c r="AI96" s="9" t="str">
        <f t="shared" si="17"/>
        <v/>
      </c>
      <c r="AJ96" s="9" t="str">
        <f t="shared" si="18"/>
        <v/>
      </c>
      <c r="AK96" s="9" t="str">
        <f t="shared" si="19"/>
        <v/>
      </c>
      <c r="AL96" s="9" t="str">
        <f t="shared" si="20"/>
        <v/>
      </c>
      <c r="AM96" s="9" t="str">
        <f t="shared" si="21"/>
        <v/>
      </c>
      <c r="AN96" s="9" t="str">
        <f t="shared" si="22"/>
        <v/>
      </c>
      <c r="AO96" s="9" t="str">
        <f t="shared" si="23"/>
        <v/>
      </c>
      <c r="AP96" s="9" t="str">
        <f t="shared" si="24"/>
        <v/>
      </c>
      <c r="AQ96" s="10" t="str">
        <f t="shared" si="25"/>
        <v/>
      </c>
    </row>
    <row r="97" spans="1:43">
      <c r="A97">
        <v>96</v>
      </c>
      <c r="B97" t="s">
        <v>17</v>
      </c>
      <c r="C97" t="s">
        <v>307</v>
      </c>
      <c r="D97" t="s">
        <v>308</v>
      </c>
      <c r="E97" t="s">
        <v>168</v>
      </c>
      <c r="G97" t="s">
        <v>18</v>
      </c>
      <c r="H97" s="4">
        <v>22869000</v>
      </c>
      <c r="I97" s="5">
        <v>256</v>
      </c>
      <c r="J97" s="5">
        <v>0</v>
      </c>
      <c r="K97" s="5">
        <v>8</v>
      </c>
      <c r="L97">
        <v>5.2</v>
      </c>
      <c r="M97">
        <v>3.8</v>
      </c>
      <c r="N97">
        <v>6.67</v>
      </c>
      <c r="O97" s="6">
        <v>13.3</v>
      </c>
      <c r="P97" s="7">
        <v>1.5</v>
      </c>
      <c r="U97" t="s">
        <v>84</v>
      </c>
      <c r="V97" t="s">
        <v>126</v>
      </c>
      <c r="W97">
        <v>1.6</v>
      </c>
      <c r="X97" t="s">
        <v>84</v>
      </c>
      <c r="Y97" t="s">
        <v>127</v>
      </c>
      <c r="Z97" t="s">
        <v>100</v>
      </c>
      <c r="AA97" t="s">
        <v>149</v>
      </c>
      <c r="AB97" t="s">
        <v>115</v>
      </c>
      <c r="AC97">
        <v>847</v>
      </c>
      <c r="AD97" s="8" t="b">
        <f>AND(
 H97&gt;=Filters!$B$3,
 H97&lt;=Filters!$B$4,
 I97&gt;=Filters!$B$5,
 OR(Filters!$B$6="All",B97=Filters!$B$6),
 F97&gt;=Filters!$B$7,
 F97&lt;=Filters!$B$8,
 OR(Filters!$B$9="All",G97=Filters!$B$9)
)</f>
        <v>1</v>
      </c>
      <c r="AE97">
        <f t="shared" si="13"/>
        <v>6</v>
      </c>
      <c r="AF97">
        <f t="shared" si="14"/>
        <v>7</v>
      </c>
      <c r="AG97">
        <f t="shared" si="15"/>
        <v>7</v>
      </c>
      <c r="AH97" s="9">
        <f t="shared" si="16"/>
        <v>0.47619047619047616</v>
      </c>
      <c r="AI97" s="9">
        <f t="shared" si="17"/>
        <v>0.80952380952380942</v>
      </c>
      <c r="AJ97" s="9">
        <f t="shared" si="18"/>
        <v>0.30952380952380948</v>
      </c>
      <c r="AK97" s="9">
        <f t="shared" si="19"/>
        <v>0.6511904761904761</v>
      </c>
      <c r="AL97" s="9">
        <f t="shared" si="20"/>
        <v>0.96428571428571419</v>
      </c>
      <c r="AM97" s="9">
        <f t="shared" si="21"/>
        <v>0.5714285714285714</v>
      </c>
      <c r="AN97" s="9">
        <f t="shared" si="22"/>
        <v>0.69047619047619047</v>
      </c>
      <c r="AO97" s="9">
        <f t="shared" si="23"/>
        <v>0.69047619047619047</v>
      </c>
      <c r="AP97" s="9">
        <f t="shared" si="24"/>
        <v>0.63627743407706672</v>
      </c>
      <c r="AQ97" s="10">
        <f t="shared" si="25"/>
        <v>0.63627753107706675</v>
      </c>
    </row>
    <row r="98" spans="1:43">
      <c r="A98">
        <v>97</v>
      </c>
      <c r="B98" t="s">
        <v>23</v>
      </c>
      <c r="C98" t="s">
        <v>132</v>
      </c>
      <c r="D98" t="s">
        <v>133</v>
      </c>
      <c r="E98" t="s">
        <v>97</v>
      </c>
      <c r="G98" t="s">
        <v>18</v>
      </c>
      <c r="H98" s="4">
        <v>16197300</v>
      </c>
      <c r="I98" s="5">
        <v>0</v>
      </c>
      <c r="J98" s="5">
        <v>1024</v>
      </c>
      <c r="K98" s="5">
        <v>8</v>
      </c>
      <c r="L98">
        <v>9.4</v>
      </c>
      <c r="M98">
        <v>6.5</v>
      </c>
      <c r="N98">
        <v>5.92</v>
      </c>
      <c r="O98" s="6">
        <v>15.6</v>
      </c>
      <c r="P98" s="7">
        <v>2.2000000000000002</v>
      </c>
      <c r="U98" t="s">
        <v>84</v>
      </c>
      <c r="V98" t="s">
        <v>140</v>
      </c>
      <c r="W98">
        <v>2.7</v>
      </c>
      <c r="X98" t="s">
        <v>104</v>
      </c>
      <c r="Y98" t="s">
        <v>134</v>
      </c>
      <c r="Z98" t="s">
        <v>146</v>
      </c>
      <c r="AA98" t="s">
        <v>101</v>
      </c>
      <c r="AB98" t="s">
        <v>201</v>
      </c>
      <c r="AC98">
        <v>599.9</v>
      </c>
      <c r="AD98" s="8" t="b">
        <f>AND(
 H98&gt;=Filters!$B$3,
 H98&lt;=Filters!$B$4,
 I98&gt;=Filters!$B$5,
 OR(Filters!$B$6="All",B98=Filters!$B$6),
 F98&gt;=Filters!$B$7,
 F98&lt;=Filters!$B$8,
 OR(Filters!$B$9="All",G98=Filters!$B$9)
)</f>
        <v>0</v>
      </c>
      <c r="AE98">
        <f t="shared" si="13"/>
        <v>6</v>
      </c>
      <c r="AF98">
        <f t="shared" si="14"/>
        <v>7</v>
      </c>
      <c r="AG98">
        <f t="shared" si="15"/>
        <v>7</v>
      </c>
      <c r="AH98" s="9" t="str">
        <f t="shared" si="16"/>
        <v/>
      </c>
      <c r="AI98" s="9" t="str">
        <f t="shared" si="17"/>
        <v/>
      </c>
      <c r="AJ98" s="9" t="str">
        <f t="shared" si="18"/>
        <v/>
      </c>
      <c r="AK98" s="9" t="str">
        <f t="shared" si="19"/>
        <v/>
      </c>
      <c r="AL98" s="9" t="str">
        <f t="shared" si="20"/>
        <v/>
      </c>
      <c r="AM98" s="9" t="str">
        <f t="shared" si="21"/>
        <v/>
      </c>
      <c r="AN98" s="9" t="str">
        <f t="shared" si="22"/>
        <v/>
      </c>
      <c r="AO98" s="9" t="str">
        <f t="shared" si="23"/>
        <v/>
      </c>
      <c r="AP98" s="9" t="str">
        <f t="shared" si="24"/>
        <v/>
      </c>
      <c r="AQ98" s="10" t="str">
        <f t="shared" si="25"/>
        <v/>
      </c>
    </row>
    <row r="99" spans="1:43">
      <c r="A99">
        <v>98</v>
      </c>
      <c r="B99" t="s">
        <v>23</v>
      </c>
      <c r="C99" t="s">
        <v>132</v>
      </c>
      <c r="D99" t="s">
        <v>133</v>
      </c>
      <c r="E99" t="s">
        <v>97</v>
      </c>
      <c r="G99" t="s">
        <v>18</v>
      </c>
      <c r="H99" s="4">
        <v>13095000</v>
      </c>
      <c r="I99" s="5">
        <v>256</v>
      </c>
      <c r="J99" s="5">
        <v>0</v>
      </c>
      <c r="K99" s="5">
        <v>4</v>
      </c>
      <c r="L99">
        <v>4</v>
      </c>
      <c r="M99">
        <v>6.5</v>
      </c>
      <c r="N99">
        <v>5.92</v>
      </c>
      <c r="O99" s="6">
        <v>15.6</v>
      </c>
      <c r="P99" s="7">
        <v>2.2000000000000002</v>
      </c>
      <c r="U99" t="s">
        <v>84</v>
      </c>
      <c r="V99" t="s">
        <v>129</v>
      </c>
      <c r="W99">
        <v>2</v>
      </c>
      <c r="X99" t="s">
        <v>104</v>
      </c>
      <c r="Y99" t="s">
        <v>134</v>
      </c>
      <c r="Z99" t="s">
        <v>100</v>
      </c>
      <c r="AA99" t="s">
        <v>101</v>
      </c>
      <c r="AB99" t="s">
        <v>201</v>
      </c>
      <c r="AC99">
        <v>485</v>
      </c>
      <c r="AD99" s="8" t="b">
        <f>AND(
 H99&gt;=Filters!$B$3,
 H99&lt;=Filters!$B$4,
 I99&gt;=Filters!$B$5,
 OR(Filters!$B$6="All",B99=Filters!$B$6),
 F99&gt;=Filters!$B$7,
 F99&lt;=Filters!$B$8,
 OR(Filters!$B$9="All",G99=Filters!$B$9)
)</f>
        <v>1</v>
      </c>
      <c r="AE99">
        <f t="shared" si="13"/>
        <v>6</v>
      </c>
      <c r="AF99">
        <f t="shared" si="14"/>
        <v>7</v>
      </c>
      <c r="AG99">
        <f t="shared" si="15"/>
        <v>7</v>
      </c>
      <c r="AH99" s="9">
        <f t="shared" si="16"/>
        <v>0.33333333333333331</v>
      </c>
      <c r="AI99" s="9">
        <f t="shared" si="17"/>
        <v>0.33333333333333331</v>
      </c>
      <c r="AJ99" s="9">
        <f t="shared" si="18"/>
        <v>0.63095238095238093</v>
      </c>
      <c r="AK99" s="9">
        <f t="shared" si="19"/>
        <v>0.56190476190476191</v>
      </c>
      <c r="AL99" s="9">
        <f t="shared" si="20"/>
        <v>0.88095238095238082</v>
      </c>
      <c r="AM99" s="9">
        <f t="shared" si="21"/>
        <v>0.5714285714285714</v>
      </c>
      <c r="AN99" s="9">
        <f t="shared" si="22"/>
        <v>0.69047619047619047</v>
      </c>
      <c r="AO99" s="9">
        <f t="shared" si="23"/>
        <v>0.69047619047619047</v>
      </c>
      <c r="AP99" s="9">
        <f t="shared" si="24"/>
        <v>0.52929524455260701</v>
      </c>
      <c r="AQ99" s="10">
        <f t="shared" si="25"/>
        <v>0.52929534355260699</v>
      </c>
    </row>
    <row r="100" spans="1:43">
      <c r="A100">
        <v>99</v>
      </c>
      <c r="B100" t="s">
        <v>21</v>
      </c>
      <c r="C100" t="s">
        <v>309</v>
      </c>
      <c r="D100" t="s">
        <v>310</v>
      </c>
      <c r="E100" t="s">
        <v>97</v>
      </c>
      <c r="G100" t="s">
        <v>18</v>
      </c>
      <c r="H100" s="4">
        <v>15579000</v>
      </c>
      <c r="I100" s="5">
        <v>256</v>
      </c>
      <c r="J100" s="5">
        <v>0</v>
      </c>
      <c r="K100" s="5">
        <v>6</v>
      </c>
      <c r="L100">
        <v>4.8</v>
      </c>
      <c r="M100">
        <v>8.5</v>
      </c>
      <c r="N100">
        <v>5.92</v>
      </c>
      <c r="O100" s="6">
        <v>15.6</v>
      </c>
      <c r="P100" s="7">
        <v>2</v>
      </c>
      <c r="U100" t="s">
        <v>84</v>
      </c>
      <c r="V100" t="s">
        <v>144</v>
      </c>
      <c r="W100">
        <v>2.4</v>
      </c>
      <c r="X100" t="s">
        <v>122</v>
      </c>
      <c r="Y100" t="s">
        <v>311</v>
      </c>
      <c r="Z100" t="s">
        <v>100</v>
      </c>
      <c r="AA100" t="s">
        <v>101</v>
      </c>
      <c r="AB100" t="s">
        <v>115</v>
      </c>
      <c r="AC100">
        <v>577</v>
      </c>
      <c r="AD100" s="8" t="b">
        <f>AND(
 H100&gt;=Filters!$B$3,
 H100&lt;=Filters!$B$4,
 I100&gt;=Filters!$B$5,
 OR(Filters!$B$6="All",B100=Filters!$B$6),
 F100&gt;=Filters!$B$7,
 F100&lt;=Filters!$B$8,
 OR(Filters!$B$9="All",G100=Filters!$B$9)
)</f>
        <v>1</v>
      </c>
      <c r="AE100">
        <f t="shared" si="13"/>
        <v>6</v>
      </c>
      <c r="AF100">
        <f t="shared" si="14"/>
        <v>7</v>
      </c>
      <c r="AG100">
        <f t="shared" si="15"/>
        <v>7</v>
      </c>
      <c r="AH100" s="9">
        <f t="shared" si="16"/>
        <v>0.42857142857142849</v>
      </c>
      <c r="AI100" s="9">
        <f t="shared" si="17"/>
        <v>0.5714285714285714</v>
      </c>
      <c r="AJ100" s="9">
        <f t="shared" si="18"/>
        <v>0.86904761904761896</v>
      </c>
      <c r="AK100" s="9">
        <f t="shared" si="19"/>
        <v>0.56190476190476191</v>
      </c>
      <c r="AL100" s="9">
        <f t="shared" si="20"/>
        <v>0.90476190476190466</v>
      </c>
      <c r="AM100" s="9">
        <f t="shared" si="21"/>
        <v>0.5714285714285714</v>
      </c>
      <c r="AN100" s="9">
        <f t="shared" si="22"/>
        <v>0.69047619047619047</v>
      </c>
      <c r="AO100" s="9">
        <f t="shared" si="23"/>
        <v>0.69047619047619047</v>
      </c>
      <c r="AP100" s="9">
        <f t="shared" si="24"/>
        <v>0.60940688953593092</v>
      </c>
      <c r="AQ100" s="10">
        <f t="shared" si="25"/>
        <v>0.60940698953593087</v>
      </c>
    </row>
    <row r="101" spans="1:43">
      <c r="A101">
        <v>100</v>
      </c>
      <c r="B101" t="s">
        <v>26</v>
      </c>
      <c r="C101" t="s">
        <v>312</v>
      </c>
      <c r="D101" t="s">
        <v>313</v>
      </c>
      <c r="E101" t="s">
        <v>158</v>
      </c>
      <c r="G101" t="s">
        <v>18</v>
      </c>
      <c r="H101" s="4">
        <v>33723000</v>
      </c>
      <c r="I101" s="5">
        <v>128</v>
      </c>
      <c r="J101" s="5">
        <v>1024</v>
      </c>
      <c r="K101" s="5">
        <v>12</v>
      </c>
      <c r="L101">
        <v>9.6</v>
      </c>
      <c r="M101">
        <v>9.1999999999999993</v>
      </c>
      <c r="N101">
        <v>6.32</v>
      </c>
      <c r="O101" s="6">
        <v>15.6</v>
      </c>
      <c r="P101" s="7">
        <v>2.62</v>
      </c>
      <c r="U101" t="s">
        <v>84</v>
      </c>
      <c r="V101" t="s">
        <v>210</v>
      </c>
      <c r="W101">
        <v>2.8</v>
      </c>
      <c r="X101" t="s">
        <v>122</v>
      </c>
      <c r="Y101" t="s">
        <v>160</v>
      </c>
      <c r="Z101" t="s">
        <v>161</v>
      </c>
      <c r="AA101" t="s">
        <v>128</v>
      </c>
      <c r="AB101" t="s">
        <v>115</v>
      </c>
      <c r="AC101">
        <v>1249</v>
      </c>
      <c r="AD101" s="8" t="b">
        <f>AND(
 H101&gt;=Filters!$B$3,
 H101&lt;=Filters!$B$4,
 I101&gt;=Filters!$B$5,
 OR(Filters!$B$6="All",B101=Filters!$B$6),
 F101&gt;=Filters!$B$7,
 F101&lt;=Filters!$B$8,
 OR(Filters!$B$9="All",G101=Filters!$B$9)
)</f>
        <v>0</v>
      </c>
      <c r="AE101">
        <f t="shared" si="13"/>
        <v>6</v>
      </c>
      <c r="AF101">
        <f t="shared" si="14"/>
        <v>7</v>
      </c>
      <c r="AG101">
        <f t="shared" si="15"/>
        <v>7</v>
      </c>
      <c r="AH101" s="9" t="str">
        <f t="shared" si="16"/>
        <v/>
      </c>
      <c r="AI101" s="9" t="str">
        <f t="shared" si="17"/>
        <v/>
      </c>
      <c r="AJ101" s="9" t="str">
        <f t="shared" si="18"/>
        <v/>
      </c>
      <c r="AK101" s="9" t="str">
        <f t="shared" si="19"/>
        <v/>
      </c>
      <c r="AL101" s="9" t="str">
        <f t="shared" si="20"/>
        <v/>
      </c>
      <c r="AM101" s="9" t="str">
        <f t="shared" si="21"/>
        <v/>
      </c>
      <c r="AN101" s="9" t="str">
        <f t="shared" si="22"/>
        <v/>
      </c>
      <c r="AO101" s="9" t="str">
        <f t="shared" si="23"/>
        <v/>
      </c>
      <c r="AP101" s="9" t="str">
        <f t="shared" si="24"/>
        <v/>
      </c>
      <c r="AQ101" s="10" t="str">
        <f t="shared" si="25"/>
        <v/>
      </c>
    </row>
    <row r="102" spans="1:43">
      <c r="A102">
        <v>101</v>
      </c>
      <c r="B102" t="s">
        <v>26</v>
      </c>
      <c r="C102" t="s">
        <v>314</v>
      </c>
      <c r="D102" t="s">
        <v>315</v>
      </c>
      <c r="E102" t="s">
        <v>97</v>
      </c>
      <c r="G102" t="s">
        <v>18</v>
      </c>
      <c r="H102" s="4">
        <v>19413000</v>
      </c>
      <c r="I102" s="5">
        <v>256</v>
      </c>
      <c r="J102" s="5">
        <v>0</v>
      </c>
      <c r="K102" s="5">
        <v>8</v>
      </c>
      <c r="L102">
        <v>9.4</v>
      </c>
      <c r="M102">
        <v>6.5</v>
      </c>
      <c r="N102">
        <v>5.92</v>
      </c>
      <c r="O102" s="6">
        <v>15.6</v>
      </c>
      <c r="P102" s="7">
        <v>1.91</v>
      </c>
      <c r="U102" t="s">
        <v>84</v>
      </c>
      <c r="V102" t="s">
        <v>140</v>
      </c>
      <c r="W102">
        <v>2.7</v>
      </c>
      <c r="X102" t="s">
        <v>104</v>
      </c>
      <c r="Y102" t="s">
        <v>176</v>
      </c>
      <c r="Z102" t="s">
        <v>100</v>
      </c>
      <c r="AA102" t="s">
        <v>101</v>
      </c>
      <c r="AB102" t="s">
        <v>115</v>
      </c>
      <c r="AC102">
        <v>719</v>
      </c>
      <c r="AD102" s="8" t="b">
        <f>AND(
 H102&gt;=Filters!$B$3,
 H102&lt;=Filters!$B$4,
 I102&gt;=Filters!$B$5,
 OR(Filters!$B$6="All",B102=Filters!$B$6),
 F102&gt;=Filters!$B$7,
 F102&lt;=Filters!$B$8,
 OR(Filters!$B$9="All",G102=Filters!$B$9)
)</f>
        <v>1</v>
      </c>
      <c r="AE102">
        <f t="shared" si="13"/>
        <v>6</v>
      </c>
      <c r="AF102">
        <f t="shared" si="14"/>
        <v>7</v>
      </c>
      <c r="AG102">
        <f t="shared" si="15"/>
        <v>7</v>
      </c>
      <c r="AH102" s="9">
        <f t="shared" si="16"/>
        <v>0.97619047619047628</v>
      </c>
      <c r="AI102" s="9">
        <f t="shared" si="17"/>
        <v>0.80952380952380942</v>
      </c>
      <c r="AJ102" s="9">
        <f t="shared" si="18"/>
        <v>0.63095238095238093</v>
      </c>
      <c r="AK102" s="9">
        <f t="shared" si="19"/>
        <v>0.56190476190476191</v>
      </c>
      <c r="AL102" s="9">
        <f t="shared" si="20"/>
        <v>0.91547619047619033</v>
      </c>
      <c r="AM102" s="9">
        <f t="shared" si="21"/>
        <v>0.5714285714285714</v>
      </c>
      <c r="AN102" s="9">
        <f t="shared" si="22"/>
        <v>0.69047619047619047</v>
      </c>
      <c r="AO102" s="9">
        <f t="shared" si="23"/>
        <v>0.69047619047619047</v>
      </c>
      <c r="AP102" s="9">
        <f t="shared" si="24"/>
        <v>0.75203790655481195</v>
      </c>
      <c r="AQ102" s="10">
        <f t="shared" si="25"/>
        <v>0.75203800855481195</v>
      </c>
    </row>
    <row r="103" spans="1:43">
      <c r="A103">
        <v>102</v>
      </c>
      <c r="B103" t="s">
        <v>26</v>
      </c>
      <c r="C103" t="s">
        <v>316</v>
      </c>
      <c r="D103" t="s">
        <v>317</v>
      </c>
      <c r="E103" t="s">
        <v>97</v>
      </c>
      <c r="G103" t="s">
        <v>18</v>
      </c>
      <c r="H103" s="4">
        <v>9423000</v>
      </c>
      <c r="I103" s="5">
        <v>0</v>
      </c>
      <c r="J103" s="5">
        <v>500</v>
      </c>
      <c r="K103" s="5">
        <v>4</v>
      </c>
      <c r="L103">
        <v>4</v>
      </c>
      <c r="M103">
        <v>6.5</v>
      </c>
      <c r="N103">
        <v>5.92</v>
      </c>
      <c r="O103" s="6">
        <v>15.6</v>
      </c>
      <c r="P103" s="7">
        <v>2.1</v>
      </c>
      <c r="U103" t="s">
        <v>104</v>
      </c>
      <c r="V103" t="s">
        <v>164</v>
      </c>
      <c r="W103">
        <v>1.5</v>
      </c>
      <c r="X103" t="s">
        <v>104</v>
      </c>
      <c r="Y103" t="s">
        <v>165</v>
      </c>
      <c r="Z103" t="s">
        <v>113</v>
      </c>
      <c r="AA103" t="s">
        <v>101</v>
      </c>
      <c r="AB103" t="s">
        <v>115</v>
      </c>
      <c r="AC103">
        <v>349</v>
      </c>
      <c r="AD103" s="8" t="b">
        <f>AND(
 H103&gt;=Filters!$B$3,
 H103&lt;=Filters!$B$4,
 I103&gt;=Filters!$B$5,
 OR(Filters!$B$6="All",B103=Filters!$B$6),
 F103&gt;=Filters!$B$7,
 F103&lt;=Filters!$B$8,
 OR(Filters!$B$9="All",G103=Filters!$B$9)
)</f>
        <v>0</v>
      </c>
      <c r="AE103">
        <f t="shared" si="13"/>
        <v>6</v>
      </c>
      <c r="AF103">
        <f t="shared" si="14"/>
        <v>7</v>
      </c>
      <c r="AG103">
        <f t="shared" si="15"/>
        <v>7</v>
      </c>
      <c r="AH103" s="9" t="str">
        <f t="shared" si="16"/>
        <v/>
      </c>
      <c r="AI103" s="9" t="str">
        <f t="shared" si="17"/>
        <v/>
      </c>
      <c r="AJ103" s="9" t="str">
        <f t="shared" si="18"/>
        <v/>
      </c>
      <c r="AK103" s="9" t="str">
        <f t="shared" si="19"/>
        <v/>
      </c>
      <c r="AL103" s="9" t="str">
        <f t="shared" si="20"/>
        <v/>
      </c>
      <c r="AM103" s="9" t="str">
        <f t="shared" si="21"/>
        <v/>
      </c>
      <c r="AN103" s="9" t="str">
        <f t="shared" si="22"/>
        <v/>
      </c>
      <c r="AO103" s="9" t="str">
        <f t="shared" si="23"/>
        <v/>
      </c>
      <c r="AP103" s="9" t="str">
        <f t="shared" si="24"/>
        <v/>
      </c>
      <c r="AQ103" s="10" t="str">
        <f t="shared" si="25"/>
        <v/>
      </c>
    </row>
    <row r="104" spans="1:43">
      <c r="A104">
        <v>103</v>
      </c>
      <c r="B104" t="s">
        <v>23</v>
      </c>
      <c r="C104" t="s">
        <v>239</v>
      </c>
      <c r="D104" t="s">
        <v>240</v>
      </c>
      <c r="E104" t="s">
        <v>97</v>
      </c>
      <c r="G104" t="s">
        <v>18</v>
      </c>
      <c r="H104" s="4">
        <v>17469000</v>
      </c>
      <c r="I104" s="5">
        <v>0</v>
      </c>
      <c r="J104" s="5">
        <v>1024</v>
      </c>
      <c r="K104" s="5">
        <v>8</v>
      </c>
      <c r="L104">
        <v>5.2</v>
      </c>
      <c r="M104">
        <v>6.5</v>
      </c>
      <c r="N104">
        <v>5.92</v>
      </c>
      <c r="O104" s="6">
        <v>15.6</v>
      </c>
      <c r="P104" s="7">
        <v>2.2000000000000002</v>
      </c>
      <c r="U104" t="s">
        <v>84</v>
      </c>
      <c r="V104" t="s">
        <v>126</v>
      </c>
      <c r="W104">
        <v>1.6</v>
      </c>
      <c r="X104" t="s">
        <v>104</v>
      </c>
      <c r="Y104" t="s">
        <v>241</v>
      </c>
      <c r="Z104" t="s">
        <v>146</v>
      </c>
      <c r="AA104" t="s">
        <v>101</v>
      </c>
      <c r="AB104" t="s">
        <v>201</v>
      </c>
      <c r="AC104">
        <v>647</v>
      </c>
      <c r="AD104" s="8" t="b">
        <f>AND(
 H104&gt;=Filters!$B$3,
 H104&lt;=Filters!$B$4,
 I104&gt;=Filters!$B$5,
 OR(Filters!$B$6="All",B104=Filters!$B$6),
 F104&gt;=Filters!$B$7,
 F104&lt;=Filters!$B$8,
 OR(Filters!$B$9="All",G104=Filters!$B$9)
)</f>
        <v>0</v>
      </c>
      <c r="AE104">
        <f t="shared" si="13"/>
        <v>6</v>
      </c>
      <c r="AF104">
        <f t="shared" si="14"/>
        <v>7</v>
      </c>
      <c r="AG104">
        <f t="shared" si="15"/>
        <v>7</v>
      </c>
      <c r="AH104" s="9" t="str">
        <f t="shared" si="16"/>
        <v/>
      </c>
      <c r="AI104" s="9" t="str">
        <f t="shared" si="17"/>
        <v/>
      </c>
      <c r="AJ104" s="9" t="str">
        <f t="shared" si="18"/>
        <v/>
      </c>
      <c r="AK104" s="9" t="str">
        <f t="shared" si="19"/>
        <v/>
      </c>
      <c r="AL104" s="9" t="str">
        <f t="shared" si="20"/>
        <v/>
      </c>
      <c r="AM104" s="9" t="str">
        <f t="shared" si="21"/>
        <v/>
      </c>
      <c r="AN104" s="9" t="str">
        <f t="shared" si="22"/>
        <v/>
      </c>
      <c r="AO104" s="9" t="str">
        <f t="shared" si="23"/>
        <v/>
      </c>
      <c r="AP104" s="9" t="str">
        <f t="shared" si="24"/>
        <v/>
      </c>
      <c r="AQ104" s="10" t="str">
        <f t="shared" si="25"/>
        <v/>
      </c>
    </row>
    <row r="105" spans="1:43">
      <c r="A105">
        <v>104</v>
      </c>
      <c r="B105" t="s">
        <v>26</v>
      </c>
      <c r="C105" t="s">
        <v>318</v>
      </c>
      <c r="D105" t="s">
        <v>319</v>
      </c>
      <c r="E105" t="s">
        <v>83</v>
      </c>
      <c r="G105" t="s">
        <v>18</v>
      </c>
      <c r="H105" s="4">
        <v>30213000</v>
      </c>
      <c r="I105" s="5">
        <v>256</v>
      </c>
      <c r="J105" s="5">
        <v>0</v>
      </c>
      <c r="K105" s="5">
        <v>8</v>
      </c>
      <c r="L105">
        <v>9.4</v>
      </c>
      <c r="M105">
        <v>6.5</v>
      </c>
      <c r="N105">
        <v>6.37</v>
      </c>
      <c r="O105" s="6">
        <v>13.3</v>
      </c>
      <c r="P105" s="7">
        <v>1.38</v>
      </c>
      <c r="U105" t="s">
        <v>84</v>
      </c>
      <c r="V105" t="s">
        <v>140</v>
      </c>
      <c r="W105">
        <v>2.7</v>
      </c>
      <c r="X105" t="s">
        <v>122</v>
      </c>
      <c r="Y105" t="s">
        <v>123</v>
      </c>
      <c r="Z105" t="s">
        <v>100</v>
      </c>
      <c r="AA105" t="s">
        <v>128</v>
      </c>
      <c r="AB105" t="s">
        <v>115</v>
      </c>
      <c r="AC105">
        <v>1119</v>
      </c>
      <c r="AD105" s="8" t="b">
        <f>AND(
 H105&gt;=Filters!$B$3,
 H105&lt;=Filters!$B$4,
 I105&gt;=Filters!$B$5,
 OR(Filters!$B$6="All",B105=Filters!$B$6),
 F105&gt;=Filters!$B$7,
 F105&lt;=Filters!$B$8,
 OR(Filters!$B$9="All",G105=Filters!$B$9)
)</f>
        <v>0</v>
      </c>
      <c r="AE105">
        <f t="shared" si="13"/>
        <v>6</v>
      </c>
      <c r="AF105">
        <f t="shared" si="14"/>
        <v>7</v>
      </c>
      <c r="AG105">
        <f t="shared" si="15"/>
        <v>7</v>
      </c>
      <c r="AH105" s="9" t="str">
        <f t="shared" si="16"/>
        <v/>
      </c>
      <c r="AI105" s="9" t="str">
        <f t="shared" si="17"/>
        <v/>
      </c>
      <c r="AJ105" s="9" t="str">
        <f t="shared" si="18"/>
        <v/>
      </c>
      <c r="AK105" s="9" t="str">
        <f t="shared" si="19"/>
        <v/>
      </c>
      <c r="AL105" s="9" t="str">
        <f t="shared" si="20"/>
        <v/>
      </c>
      <c r="AM105" s="9" t="str">
        <f t="shared" si="21"/>
        <v/>
      </c>
      <c r="AN105" s="9" t="str">
        <f t="shared" si="22"/>
        <v/>
      </c>
      <c r="AO105" s="9" t="str">
        <f t="shared" si="23"/>
        <v/>
      </c>
      <c r="AP105" s="9" t="str">
        <f t="shared" si="24"/>
        <v/>
      </c>
      <c r="AQ105" s="10" t="str">
        <f t="shared" si="25"/>
        <v/>
      </c>
    </row>
    <row r="106" spans="1:43">
      <c r="A106">
        <v>105</v>
      </c>
      <c r="B106" t="s">
        <v>32</v>
      </c>
      <c r="C106" t="s">
        <v>269</v>
      </c>
      <c r="D106" t="s">
        <v>270</v>
      </c>
      <c r="E106" t="s">
        <v>83</v>
      </c>
      <c r="G106" t="s">
        <v>18</v>
      </c>
      <c r="H106" s="4">
        <v>36180000</v>
      </c>
      <c r="I106" s="5">
        <v>256</v>
      </c>
      <c r="J106" s="5">
        <v>0</v>
      </c>
      <c r="K106" s="5">
        <v>8</v>
      </c>
      <c r="L106">
        <v>7</v>
      </c>
      <c r="M106">
        <v>3.5</v>
      </c>
      <c r="N106">
        <v>7.27</v>
      </c>
      <c r="O106" s="6">
        <v>13.5</v>
      </c>
      <c r="P106" s="7">
        <v>1.252</v>
      </c>
      <c r="U106" t="s">
        <v>84</v>
      </c>
      <c r="V106" t="s">
        <v>98</v>
      </c>
      <c r="W106">
        <v>2.5</v>
      </c>
      <c r="X106" t="s">
        <v>84</v>
      </c>
      <c r="Y106" t="s">
        <v>99</v>
      </c>
      <c r="Z106" t="s">
        <v>100</v>
      </c>
      <c r="AA106" t="s">
        <v>271</v>
      </c>
      <c r="AB106" t="s">
        <v>272</v>
      </c>
      <c r="AC106">
        <v>1340</v>
      </c>
      <c r="AD106" s="8" t="b">
        <f>AND(
 H106&gt;=Filters!$B$3,
 H106&lt;=Filters!$B$4,
 I106&gt;=Filters!$B$5,
 OR(Filters!$B$6="All",B106=Filters!$B$6),
 F106&gt;=Filters!$B$7,
 F106&lt;=Filters!$B$8,
 OR(Filters!$B$9="All",G106=Filters!$B$9)
)</f>
        <v>0</v>
      </c>
      <c r="AE106">
        <f t="shared" si="13"/>
        <v>6</v>
      </c>
      <c r="AF106">
        <f t="shared" si="14"/>
        <v>7</v>
      </c>
      <c r="AG106">
        <f t="shared" si="15"/>
        <v>7</v>
      </c>
      <c r="AH106" s="9" t="str">
        <f t="shared" si="16"/>
        <v/>
      </c>
      <c r="AI106" s="9" t="str">
        <f t="shared" si="17"/>
        <v/>
      </c>
      <c r="AJ106" s="9" t="str">
        <f t="shared" si="18"/>
        <v/>
      </c>
      <c r="AK106" s="9" t="str">
        <f t="shared" si="19"/>
        <v/>
      </c>
      <c r="AL106" s="9" t="str">
        <f t="shared" si="20"/>
        <v/>
      </c>
      <c r="AM106" s="9" t="str">
        <f t="shared" si="21"/>
        <v/>
      </c>
      <c r="AN106" s="9" t="str">
        <f t="shared" si="22"/>
        <v/>
      </c>
      <c r="AO106" s="9" t="str">
        <f t="shared" si="23"/>
        <v/>
      </c>
      <c r="AP106" s="9" t="str">
        <f t="shared" si="24"/>
        <v/>
      </c>
      <c r="AQ106" s="10" t="str">
        <f t="shared" si="25"/>
        <v/>
      </c>
    </row>
    <row r="107" spans="1:43">
      <c r="A107">
        <v>106</v>
      </c>
      <c r="B107" t="s">
        <v>26</v>
      </c>
      <c r="C107" t="s">
        <v>320</v>
      </c>
      <c r="D107" t="s">
        <v>321</v>
      </c>
      <c r="E107" t="s">
        <v>97</v>
      </c>
      <c r="G107" t="s">
        <v>18</v>
      </c>
      <c r="H107" s="4">
        <v>17793000</v>
      </c>
      <c r="I107" s="5">
        <v>256</v>
      </c>
      <c r="J107" s="5">
        <v>0</v>
      </c>
      <c r="K107" s="5">
        <v>6</v>
      </c>
      <c r="L107">
        <v>7</v>
      </c>
      <c r="M107">
        <v>6.5</v>
      </c>
      <c r="N107">
        <v>6.4</v>
      </c>
      <c r="O107" s="6">
        <v>14</v>
      </c>
      <c r="P107" s="7">
        <v>1.58</v>
      </c>
      <c r="U107" t="s">
        <v>84</v>
      </c>
      <c r="V107" t="s">
        <v>98</v>
      </c>
      <c r="W107">
        <v>2.5</v>
      </c>
      <c r="X107" t="s">
        <v>122</v>
      </c>
      <c r="Y107" t="s">
        <v>145</v>
      </c>
      <c r="Z107" t="s">
        <v>100</v>
      </c>
      <c r="AA107" t="s">
        <v>128</v>
      </c>
      <c r="AB107" t="s">
        <v>115</v>
      </c>
      <c r="AC107">
        <v>659</v>
      </c>
      <c r="AD107" s="8" t="b">
        <f>AND(
 H107&gt;=Filters!$B$3,
 H107&lt;=Filters!$B$4,
 I107&gt;=Filters!$B$5,
 OR(Filters!$B$6="All",B107=Filters!$B$6),
 F107&gt;=Filters!$B$7,
 F107&lt;=Filters!$B$8,
 OR(Filters!$B$9="All",G107=Filters!$B$9)
)</f>
        <v>1</v>
      </c>
      <c r="AE107">
        <f t="shared" si="13"/>
        <v>6</v>
      </c>
      <c r="AF107">
        <f t="shared" si="14"/>
        <v>7</v>
      </c>
      <c r="AG107">
        <f t="shared" si="15"/>
        <v>7</v>
      </c>
      <c r="AH107" s="9">
        <f t="shared" si="16"/>
        <v>0.69047619047619047</v>
      </c>
      <c r="AI107" s="9">
        <f t="shared" si="17"/>
        <v>0.5714285714285714</v>
      </c>
      <c r="AJ107" s="9">
        <f t="shared" si="18"/>
        <v>0.63095238095238093</v>
      </c>
      <c r="AK107" s="9">
        <f t="shared" si="19"/>
        <v>0.61904761904761907</v>
      </c>
      <c r="AL107" s="9">
        <f t="shared" si="20"/>
        <v>0.9547619047619047</v>
      </c>
      <c r="AM107" s="9">
        <f t="shared" si="21"/>
        <v>0.5714285714285714</v>
      </c>
      <c r="AN107" s="9">
        <f t="shared" si="22"/>
        <v>0.69047619047619047</v>
      </c>
      <c r="AO107" s="9">
        <f t="shared" si="23"/>
        <v>0.69047619047619047</v>
      </c>
      <c r="AP107" s="9">
        <f t="shared" si="24"/>
        <v>0.65569511734098029</v>
      </c>
      <c r="AQ107" s="10">
        <f t="shared" si="25"/>
        <v>0.65569522434098026</v>
      </c>
    </row>
    <row r="108" spans="1:43">
      <c r="A108">
        <v>107</v>
      </c>
      <c r="B108" t="s">
        <v>29</v>
      </c>
      <c r="C108" t="s">
        <v>322</v>
      </c>
      <c r="D108" t="s">
        <v>323</v>
      </c>
      <c r="E108" t="s">
        <v>97</v>
      </c>
      <c r="G108" t="s">
        <v>18</v>
      </c>
      <c r="H108" s="4">
        <v>11202300</v>
      </c>
      <c r="I108" s="5">
        <v>0</v>
      </c>
      <c r="J108" s="5">
        <v>1024</v>
      </c>
      <c r="K108" s="5">
        <v>4</v>
      </c>
      <c r="L108">
        <v>4</v>
      </c>
      <c r="M108">
        <v>3.5</v>
      </c>
      <c r="N108">
        <v>5.92</v>
      </c>
      <c r="O108" s="6">
        <v>15.6</v>
      </c>
      <c r="P108" s="7">
        <v>1.85</v>
      </c>
      <c r="U108" t="s">
        <v>84</v>
      </c>
      <c r="V108" t="s">
        <v>129</v>
      </c>
      <c r="W108">
        <v>2</v>
      </c>
      <c r="X108" t="s">
        <v>84</v>
      </c>
      <c r="Y108" t="s">
        <v>130</v>
      </c>
      <c r="Z108" t="s">
        <v>146</v>
      </c>
      <c r="AA108" t="s">
        <v>101</v>
      </c>
      <c r="AB108" t="s">
        <v>115</v>
      </c>
      <c r="AC108">
        <v>414.9</v>
      </c>
      <c r="AD108" s="8" t="b">
        <f>AND(
 H108&gt;=Filters!$B$3,
 H108&lt;=Filters!$B$4,
 I108&gt;=Filters!$B$5,
 OR(Filters!$B$6="All",B108=Filters!$B$6),
 F108&gt;=Filters!$B$7,
 F108&lt;=Filters!$B$8,
 OR(Filters!$B$9="All",G108=Filters!$B$9)
)</f>
        <v>0</v>
      </c>
      <c r="AE108">
        <f t="shared" si="13"/>
        <v>6</v>
      </c>
      <c r="AF108">
        <f t="shared" si="14"/>
        <v>7</v>
      </c>
      <c r="AG108">
        <f t="shared" si="15"/>
        <v>7</v>
      </c>
      <c r="AH108" s="9" t="str">
        <f t="shared" si="16"/>
        <v/>
      </c>
      <c r="AI108" s="9" t="str">
        <f t="shared" si="17"/>
        <v/>
      </c>
      <c r="AJ108" s="9" t="str">
        <f t="shared" si="18"/>
        <v/>
      </c>
      <c r="AK108" s="9" t="str">
        <f t="shared" si="19"/>
        <v/>
      </c>
      <c r="AL108" s="9" t="str">
        <f t="shared" si="20"/>
        <v/>
      </c>
      <c r="AM108" s="9" t="str">
        <f t="shared" si="21"/>
        <v/>
      </c>
      <c r="AN108" s="9" t="str">
        <f t="shared" si="22"/>
        <v/>
      </c>
      <c r="AO108" s="9" t="str">
        <f t="shared" si="23"/>
        <v/>
      </c>
      <c r="AP108" s="9" t="str">
        <f t="shared" si="24"/>
        <v/>
      </c>
      <c r="AQ108" s="10" t="str">
        <f t="shared" si="25"/>
        <v/>
      </c>
    </row>
    <row r="109" spans="1:43">
      <c r="A109">
        <v>108</v>
      </c>
      <c r="B109" t="s">
        <v>21</v>
      </c>
      <c r="C109" t="s">
        <v>324</v>
      </c>
      <c r="D109" t="s">
        <v>325</v>
      </c>
      <c r="E109" t="s">
        <v>83</v>
      </c>
      <c r="G109" t="s">
        <v>18</v>
      </c>
      <c r="H109" s="4">
        <v>32211000</v>
      </c>
      <c r="I109" s="5">
        <v>256</v>
      </c>
      <c r="J109" s="5">
        <v>0</v>
      </c>
      <c r="K109" s="5">
        <v>8</v>
      </c>
      <c r="L109">
        <v>9.4</v>
      </c>
      <c r="M109">
        <v>6.5</v>
      </c>
      <c r="N109">
        <v>6.4</v>
      </c>
      <c r="O109" s="6">
        <v>14</v>
      </c>
      <c r="P109" s="7">
        <v>1.3</v>
      </c>
      <c r="U109" t="s">
        <v>84</v>
      </c>
      <c r="V109" t="s">
        <v>140</v>
      </c>
      <c r="W109">
        <v>2.7</v>
      </c>
      <c r="X109" t="s">
        <v>122</v>
      </c>
      <c r="Y109" t="s">
        <v>145</v>
      </c>
      <c r="Z109" t="s">
        <v>100</v>
      </c>
      <c r="AA109" t="s">
        <v>128</v>
      </c>
      <c r="AB109" t="s">
        <v>115</v>
      </c>
      <c r="AC109">
        <v>1193</v>
      </c>
      <c r="AD109" s="8" t="b">
        <f>AND(
 H109&gt;=Filters!$B$3,
 H109&lt;=Filters!$B$4,
 I109&gt;=Filters!$B$5,
 OR(Filters!$B$6="All",B109=Filters!$B$6),
 F109&gt;=Filters!$B$7,
 F109&lt;=Filters!$B$8,
 OR(Filters!$B$9="All",G109=Filters!$B$9)
)</f>
        <v>0</v>
      </c>
      <c r="AE109">
        <f t="shared" si="13"/>
        <v>6</v>
      </c>
      <c r="AF109">
        <f t="shared" si="14"/>
        <v>7</v>
      </c>
      <c r="AG109">
        <f t="shared" si="15"/>
        <v>7</v>
      </c>
      <c r="AH109" s="9" t="str">
        <f t="shared" si="16"/>
        <v/>
      </c>
      <c r="AI109" s="9" t="str">
        <f t="shared" si="17"/>
        <v/>
      </c>
      <c r="AJ109" s="9" t="str">
        <f t="shared" si="18"/>
        <v/>
      </c>
      <c r="AK109" s="9" t="str">
        <f t="shared" si="19"/>
        <v/>
      </c>
      <c r="AL109" s="9" t="str">
        <f t="shared" si="20"/>
        <v/>
      </c>
      <c r="AM109" s="9" t="str">
        <f t="shared" si="21"/>
        <v/>
      </c>
      <c r="AN109" s="9" t="str">
        <f t="shared" si="22"/>
        <v/>
      </c>
      <c r="AO109" s="9" t="str">
        <f t="shared" si="23"/>
        <v/>
      </c>
      <c r="AP109" s="9" t="str">
        <f t="shared" si="24"/>
        <v/>
      </c>
      <c r="AQ109" s="10" t="str">
        <f t="shared" si="25"/>
        <v/>
      </c>
    </row>
    <row r="110" spans="1:43">
      <c r="A110">
        <v>109</v>
      </c>
      <c r="B110" t="s">
        <v>30</v>
      </c>
      <c r="C110" t="s">
        <v>326</v>
      </c>
      <c r="D110" t="s">
        <v>327</v>
      </c>
      <c r="E110" t="s">
        <v>158</v>
      </c>
      <c r="G110" t="s">
        <v>18</v>
      </c>
      <c r="H110" s="4">
        <v>35073000</v>
      </c>
      <c r="I110" s="5">
        <v>256</v>
      </c>
      <c r="J110" s="5">
        <v>1024</v>
      </c>
      <c r="K110" s="5">
        <v>16</v>
      </c>
      <c r="L110">
        <v>9.6</v>
      </c>
      <c r="M110">
        <v>9.1999999999999993</v>
      </c>
      <c r="N110">
        <v>5.92</v>
      </c>
      <c r="O110" s="6">
        <v>15.6</v>
      </c>
      <c r="P110" s="7">
        <v>2.2000000000000002</v>
      </c>
      <c r="U110" t="s">
        <v>84</v>
      </c>
      <c r="V110" t="s">
        <v>210</v>
      </c>
      <c r="W110">
        <v>2.8</v>
      </c>
      <c r="X110" t="s">
        <v>122</v>
      </c>
      <c r="Y110" t="s">
        <v>260</v>
      </c>
      <c r="Z110" t="s">
        <v>212</v>
      </c>
      <c r="AA110" t="s">
        <v>101</v>
      </c>
      <c r="AB110" t="s">
        <v>115</v>
      </c>
      <c r="AC110">
        <v>1299</v>
      </c>
      <c r="AD110" s="8" t="b">
        <f>AND(
 H110&gt;=Filters!$B$3,
 H110&lt;=Filters!$B$4,
 I110&gt;=Filters!$B$5,
 OR(Filters!$B$6="All",B110=Filters!$B$6),
 F110&gt;=Filters!$B$7,
 F110&lt;=Filters!$B$8,
 OR(Filters!$B$9="All",G110=Filters!$B$9)
)</f>
        <v>0</v>
      </c>
      <c r="AE110">
        <f t="shared" si="13"/>
        <v>6</v>
      </c>
      <c r="AF110">
        <f t="shared" si="14"/>
        <v>7</v>
      </c>
      <c r="AG110">
        <f t="shared" si="15"/>
        <v>7</v>
      </c>
      <c r="AH110" s="9" t="str">
        <f t="shared" si="16"/>
        <v/>
      </c>
      <c r="AI110" s="9" t="str">
        <f t="shared" si="17"/>
        <v/>
      </c>
      <c r="AJ110" s="9" t="str">
        <f t="shared" si="18"/>
        <v/>
      </c>
      <c r="AK110" s="9" t="str">
        <f t="shared" si="19"/>
        <v/>
      </c>
      <c r="AL110" s="9" t="str">
        <f t="shared" si="20"/>
        <v/>
      </c>
      <c r="AM110" s="9" t="str">
        <f t="shared" si="21"/>
        <v/>
      </c>
      <c r="AN110" s="9" t="str">
        <f t="shared" si="22"/>
        <v/>
      </c>
      <c r="AO110" s="9" t="str">
        <f t="shared" si="23"/>
        <v/>
      </c>
      <c r="AP110" s="9" t="str">
        <f t="shared" si="24"/>
        <v/>
      </c>
      <c r="AQ110" s="10" t="str">
        <f t="shared" si="25"/>
        <v/>
      </c>
    </row>
    <row r="111" spans="1:43">
      <c r="A111">
        <v>110</v>
      </c>
      <c r="B111" t="s">
        <v>29</v>
      </c>
      <c r="C111" t="s">
        <v>328</v>
      </c>
      <c r="D111" t="s">
        <v>329</v>
      </c>
      <c r="E111" t="s">
        <v>97</v>
      </c>
      <c r="G111" t="s">
        <v>18</v>
      </c>
      <c r="H111" s="4">
        <v>39960000</v>
      </c>
      <c r="I111" s="5">
        <v>256</v>
      </c>
      <c r="J111" s="5">
        <v>0</v>
      </c>
      <c r="K111" s="5">
        <v>8</v>
      </c>
      <c r="L111">
        <v>9.4</v>
      </c>
      <c r="M111">
        <v>3.5</v>
      </c>
      <c r="N111">
        <v>6.4</v>
      </c>
      <c r="O111" s="6">
        <v>14</v>
      </c>
      <c r="P111" s="7">
        <v>1.58</v>
      </c>
      <c r="U111" t="s">
        <v>84</v>
      </c>
      <c r="V111" t="s">
        <v>140</v>
      </c>
      <c r="W111">
        <v>2.7</v>
      </c>
      <c r="X111" t="s">
        <v>84</v>
      </c>
      <c r="Y111" t="s">
        <v>99</v>
      </c>
      <c r="Z111" t="s">
        <v>100</v>
      </c>
      <c r="AA111" t="s">
        <v>128</v>
      </c>
      <c r="AB111" t="s">
        <v>115</v>
      </c>
      <c r="AC111">
        <v>1480</v>
      </c>
      <c r="AD111" s="8" t="b">
        <f>AND(
 H111&gt;=Filters!$B$3,
 H111&lt;=Filters!$B$4,
 I111&gt;=Filters!$B$5,
 OR(Filters!$B$6="All",B111=Filters!$B$6),
 F111&gt;=Filters!$B$7,
 F111&lt;=Filters!$B$8,
 OR(Filters!$B$9="All",G111=Filters!$B$9)
)</f>
        <v>0</v>
      </c>
      <c r="AE111">
        <f t="shared" si="13"/>
        <v>6</v>
      </c>
      <c r="AF111">
        <f t="shared" si="14"/>
        <v>7</v>
      </c>
      <c r="AG111">
        <f t="shared" si="15"/>
        <v>7</v>
      </c>
      <c r="AH111" s="9" t="str">
        <f t="shared" si="16"/>
        <v/>
      </c>
      <c r="AI111" s="9" t="str">
        <f t="shared" si="17"/>
        <v/>
      </c>
      <c r="AJ111" s="9" t="str">
        <f t="shared" si="18"/>
        <v/>
      </c>
      <c r="AK111" s="9" t="str">
        <f t="shared" si="19"/>
        <v/>
      </c>
      <c r="AL111" s="9" t="str">
        <f t="shared" si="20"/>
        <v/>
      </c>
      <c r="AM111" s="9" t="str">
        <f t="shared" si="21"/>
        <v/>
      </c>
      <c r="AN111" s="9" t="str">
        <f t="shared" si="22"/>
        <v/>
      </c>
      <c r="AO111" s="9" t="str">
        <f t="shared" si="23"/>
        <v/>
      </c>
      <c r="AP111" s="9" t="str">
        <f t="shared" si="24"/>
        <v/>
      </c>
      <c r="AQ111" s="10" t="str">
        <f t="shared" si="25"/>
        <v/>
      </c>
    </row>
    <row r="112" spans="1:43">
      <c r="A112">
        <v>111</v>
      </c>
      <c r="B112" t="s">
        <v>21</v>
      </c>
      <c r="C112" t="s">
        <v>330</v>
      </c>
      <c r="D112" t="s">
        <v>331</v>
      </c>
      <c r="E112" t="s">
        <v>83</v>
      </c>
      <c r="G112" t="s">
        <v>18</v>
      </c>
      <c r="H112" s="4">
        <v>34074000</v>
      </c>
      <c r="I112" s="5">
        <v>256</v>
      </c>
      <c r="J112" s="5">
        <v>1024</v>
      </c>
      <c r="K112" s="5">
        <v>16</v>
      </c>
      <c r="L112">
        <v>7.6</v>
      </c>
      <c r="M112">
        <v>6.5</v>
      </c>
      <c r="N112">
        <v>5.92</v>
      </c>
      <c r="O112" s="6">
        <v>15.6</v>
      </c>
      <c r="P112" s="7">
        <v>1.5</v>
      </c>
      <c r="U112" t="s">
        <v>84</v>
      </c>
      <c r="V112" t="s">
        <v>121</v>
      </c>
      <c r="W112">
        <v>1.8</v>
      </c>
      <c r="X112" t="s">
        <v>122</v>
      </c>
      <c r="Y112" t="s">
        <v>123</v>
      </c>
      <c r="Z112" t="s">
        <v>212</v>
      </c>
      <c r="AA112" t="s">
        <v>101</v>
      </c>
      <c r="AB112" t="s">
        <v>115</v>
      </c>
      <c r="AC112">
        <v>1262</v>
      </c>
      <c r="AD112" s="8" t="b">
        <f>AND(
 H112&gt;=Filters!$B$3,
 H112&lt;=Filters!$B$4,
 I112&gt;=Filters!$B$5,
 OR(Filters!$B$6="All",B112=Filters!$B$6),
 F112&gt;=Filters!$B$7,
 F112&lt;=Filters!$B$8,
 OR(Filters!$B$9="All",G112=Filters!$B$9)
)</f>
        <v>0</v>
      </c>
      <c r="AE112">
        <f t="shared" si="13"/>
        <v>6</v>
      </c>
      <c r="AF112">
        <f t="shared" si="14"/>
        <v>7</v>
      </c>
      <c r="AG112">
        <f t="shared" si="15"/>
        <v>7</v>
      </c>
      <c r="AH112" s="9" t="str">
        <f t="shared" si="16"/>
        <v/>
      </c>
      <c r="AI112" s="9" t="str">
        <f t="shared" si="17"/>
        <v/>
      </c>
      <c r="AJ112" s="9" t="str">
        <f t="shared" si="18"/>
        <v/>
      </c>
      <c r="AK112" s="9" t="str">
        <f t="shared" si="19"/>
        <v/>
      </c>
      <c r="AL112" s="9" t="str">
        <f t="shared" si="20"/>
        <v/>
      </c>
      <c r="AM112" s="9" t="str">
        <f t="shared" si="21"/>
        <v/>
      </c>
      <c r="AN112" s="9" t="str">
        <f t="shared" si="22"/>
        <v/>
      </c>
      <c r="AO112" s="9" t="str">
        <f t="shared" si="23"/>
        <v/>
      </c>
      <c r="AP112" s="9" t="str">
        <f t="shared" si="24"/>
        <v/>
      </c>
      <c r="AQ112" s="10" t="str">
        <f t="shared" si="25"/>
        <v/>
      </c>
    </row>
    <row r="113" spans="1:43">
      <c r="A113">
        <v>112</v>
      </c>
      <c r="B113" t="s">
        <v>23</v>
      </c>
      <c r="C113" t="s">
        <v>147</v>
      </c>
      <c r="D113" t="s">
        <v>148</v>
      </c>
      <c r="E113" t="s">
        <v>83</v>
      </c>
      <c r="G113" t="s">
        <v>18</v>
      </c>
      <c r="H113" s="4">
        <v>37233000</v>
      </c>
      <c r="I113" s="5">
        <v>256</v>
      </c>
      <c r="J113" s="5">
        <v>0</v>
      </c>
      <c r="K113" s="5">
        <v>8</v>
      </c>
      <c r="L113">
        <v>8.8000000000000007</v>
      </c>
      <c r="M113">
        <v>4.2</v>
      </c>
      <c r="N113">
        <v>8.4600000000000009</v>
      </c>
      <c r="O113" s="6">
        <v>13.3</v>
      </c>
      <c r="P113" s="7">
        <v>1.23</v>
      </c>
      <c r="U113" t="s">
        <v>84</v>
      </c>
      <c r="V113" t="s">
        <v>332</v>
      </c>
      <c r="W113">
        <v>2.4</v>
      </c>
      <c r="X113" t="s">
        <v>84</v>
      </c>
      <c r="Y113" t="s">
        <v>86</v>
      </c>
      <c r="Z113" t="s">
        <v>100</v>
      </c>
      <c r="AA113" t="s">
        <v>333</v>
      </c>
      <c r="AB113" t="s">
        <v>115</v>
      </c>
      <c r="AC113">
        <v>1379</v>
      </c>
      <c r="AD113" s="8" t="b">
        <f>AND(
 H113&gt;=Filters!$B$3,
 H113&lt;=Filters!$B$4,
 I113&gt;=Filters!$B$5,
 OR(Filters!$B$6="All",B113=Filters!$B$6),
 F113&gt;=Filters!$B$7,
 F113&lt;=Filters!$B$8,
 OR(Filters!$B$9="All",G113=Filters!$B$9)
)</f>
        <v>0</v>
      </c>
      <c r="AE113">
        <f t="shared" si="13"/>
        <v>6</v>
      </c>
      <c r="AF113">
        <f t="shared" si="14"/>
        <v>7</v>
      </c>
      <c r="AG113">
        <f t="shared" si="15"/>
        <v>7</v>
      </c>
      <c r="AH113" s="9" t="str">
        <f t="shared" si="16"/>
        <v/>
      </c>
      <c r="AI113" s="9" t="str">
        <f t="shared" si="17"/>
        <v/>
      </c>
      <c r="AJ113" s="9" t="str">
        <f t="shared" si="18"/>
        <v/>
      </c>
      <c r="AK113" s="9" t="str">
        <f t="shared" si="19"/>
        <v/>
      </c>
      <c r="AL113" s="9" t="str">
        <f t="shared" si="20"/>
        <v/>
      </c>
      <c r="AM113" s="9" t="str">
        <f t="shared" si="21"/>
        <v/>
      </c>
      <c r="AN113" s="9" t="str">
        <f t="shared" si="22"/>
        <v/>
      </c>
      <c r="AO113" s="9" t="str">
        <f t="shared" si="23"/>
        <v/>
      </c>
      <c r="AP113" s="9" t="str">
        <f t="shared" si="24"/>
        <v/>
      </c>
      <c r="AQ113" s="10" t="str">
        <f t="shared" si="25"/>
        <v/>
      </c>
    </row>
    <row r="114" spans="1:43">
      <c r="A114">
        <v>113</v>
      </c>
      <c r="B114" t="s">
        <v>29</v>
      </c>
      <c r="C114" t="s">
        <v>334</v>
      </c>
      <c r="D114" t="s">
        <v>335</v>
      </c>
      <c r="E114" t="s">
        <v>168</v>
      </c>
      <c r="G114" t="s">
        <v>18</v>
      </c>
      <c r="H114" s="4">
        <v>37773000</v>
      </c>
      <c r="I114" s="5">
        <v>256</v>
      </c>
      <c r="J114" s="5">
        <v>0</v>
      </c>
      <c r="K114" s="5">
        <v>8</v>
      </c>
      <c r="L114">
        <v>7</v>
      </c>
      <c r="M114">
        <v>3.5</v>
      </c>
      <c r="N114">
        <v>6.67</v>
      </c>
      <c r="O114" s="6">
        <v>13.3</v>
      </c>
      <c r="P114" s="7">
        <v>1.37</v>
      </c>
      <c r="U114" t="s">
        <v>84</v>
      </c>
      <c r="V114" t="s">
        <v>98</v>
      </c>
      <c r="W114">
        <v>2.5</v>
      </c>
      <c r="X114" t="s">
        <v>84</v>
      </c>
      <c r="Y114" t="s">
        <v>99</v>
      </c>
      <c r="Z114" t="s">
        <v>100</v>
      </c>
      <c r="AA114" t="s">
        <v>149</v>
      </c>
      <c r="AB114" t="s">
        <v>115</v>
      </c>
      <c r="AC114">
        <v>1399</v>
      </c>
      <c r="AD114" s="8" t="b">
        <f>AND(
 H114&gt;=Filters!$B$3,
 H114&lt;=Filters!$B$4,
 I114&gt;=Filters!$B$5,
 OR(Filters!$B$6="All",B114=Filters!$B$6),
 F114&gt;=Filters!$B$7,
 F114&lt;=Filters!$B$8,
 OR(Filters!$B$9="All",G114=Filters!$B$9)
)</f>
        <v>0</v>
      </c>
      <c r="AE114">
        <f t="shared" si="13"/>
        <v>6</v>
      </c>
      <c r="AF114">
        <f t="shared" si="14"/>
        <v>7</v>
      </c>
      <c r="AG114">
        <f t="shared" si="15"/>
        <v>7</v>
      </c>
      <c r="AH114" s="9" t="str">
        <f t="shared" si="16"/>
        <v/>
      </c>
      <c r="AI114" s="9" t="str">
        <f t="shared" si="17"/>
        <v/>
      </c>
      <c r="AJ114" s="9" t="str">
        <f t="shared" si="18"/>
        <v/>
      </c>
      <c r="AK114" s="9" t="str">
        <f t="shared" si="19"/>
        <v/>
      </c>
      <c r="AL114" s="9" t="str">
        <f t="shared" si="20"/>
        <v/>
      </c>
      <c r="AM114" s="9" t="str">
        <f t="shared" si="21"/>
        <v/>
      </c>
      <c r="AN114" s="9" t="str">
        <f t="shared" si="22"/>
        <v/>
      </c>
      <c r="AO114" s="9" t="str">
        <f t="shared" si="23"/>
        <v/>
      </c>
      <c r="AP114" s="9" t="str">
        <f t="shared" si="24"/>
        <v/>
      </c>
      <c r="AQ114" s="10" t="str">
        <f t="shared" si="25"/>
        <v/>
      </c>
    </row>
    <row r="115" spans="1:43">
      <c r="A115">
        <v>114</v>
      </c>
      <c r="B115" t="s">
        <v>26</v>
      </c>
      <c r="C115" t="s">
        <v>336</v>
      </c>
      <c r="D115" t="s">
        <v>337</v>
      </c>
      <c r="E115" t="s">
        <v>97</v>
      </c>
      <c r="G115" t="s">
        <v>18</v>
      </c>
      <c r="H115" s="4">
        <v>19494000</v>
      </c>
      <c r="I115" s="5">
        <v>0</v>
      </c>
      <c r="J115" s="5">
        <v>500</v>
      </c>
      <c r="K115" s="5">
        <v>4</v>
      </c>
      <c r="L115">
        <v>5.2</v>
      </c>
      <c r="M115">
        <v>3.8</v>
      </c>
      <c r="N115">
        <v>4.4000000000000004</v>
      </c>
      <c r="O115" s="6">
        <v>14</v>
      </c>
      <c r="P115" s="7">
        <v>1.63</v>
      </c>
      <c r="U115" t="s">
        <v>84</v>
      </c>
      <c r="V115" t="s">
        <v>126</v>
      </c>
      <c r="W115">
        <v>1.6</v>
      </c>
      <c r="X115" t="s">
        <v>84</v>
      </c>
      <c r="Y115" t="s">
        <v>127</v>
      </c>
      <c r="Z115" t="s">
        <v>113</v>
      </c>
      <c r="AA115" t="s">
        <v>338</v>
      </c>
      <c r="AB115" t="s">
        <v>115</v>
      </c>
      <c r="AC115">
        <v>722</v>
      </c>
      <c r="AD115" s="8" t="b">
        <f>AND(
 H115&gt;=Filters!$B$3,
 H115&lt;=Filters!$B$4,
 I115&gt;=Filters!$B$5,
 OR(Filters!$B$6="All",B115=Filters!$B$6),
 F115&gt;=Filters!$B$7,
 F115&lt;=Filters!$B$8,
 OR(Filters!$B$9="All",G115=Filters!$B$9)
)</f>
        <v>0</v>
      </c>
      <c r="AE115">
        <f t="shared" si="13"/>
        <v>6</v>
      </c>
      <c r="AF115">
        <f t="shared" si="14"/>
        <v>7</v>
      </c>
      <c r="AG115">
        <f t="shared" si="15"/>
        <v>7</v>
      </c>
      <c r="AH115" s="9" t="str">
        <f t="shared" si="16"/>
        <v/>
      </c>
      <c r="AI115" s="9" t="str">
        <f t="shared" si="17"/>
        <v/>
      </c>
      <c r="AJ115" s="9" t="str">
        <f t="shared" si="18"/>
        <v/>
      </c>
      <c r="AK115" s="9" t="str">
        <f t="shared" si="19"/>
        <v/>
      </c>
      <c r="AL115" s="9" t="str">
        <f t="shared" si="20"/>
        <v/>
      </c>
      <c r="AM115" s="9" t="str">
        <f t="shared" si="21"/>
        <v/>
      </c>
      <c r="AN115" s="9" t="str">
        <f t="shared" si="22"/>
        <v/>
      </c>
      <c r="AO115" s="9" t="str">
        <f t="shared" si="23"/>
        <v/>
      </c>
      <c r="AP115" s="9" t="str">
        <f t="shared" si="24"/>
        <v/>
      </c>
      <c r="AQ115" s="10" t="str">
        <f t="shared" si="25"/>
        <v/>
      </c>
    </row>
    <row r="116" spans="1:43">
      <c r="A116">
        <v>115</v>
      </c>
      <c r="B116" t="s">
        <v>23</v>
      </c>
      <c r="C116" t="s">
        <v>147</v>
      </c>
      <c r="D116" t="s">
        <v>148</v>
      </c>
      <c r="E116" t="s">
        <v>83</v>
      </c>
      <c r="G116" t="s">
        <v>18</v>
      </c>
      <c r="H116" s="4">
        <v>43983000</v>
      </c>
      <c r="I116" s="5">
        <v>256</v>
      </c>
      <c r="J116" s="5">
        <v>0</v>
      </c>
      <c r="K116" s="5">
        <v>8</v>
      </c>
      <c r="L116">
        <v>5.2</v>
      </c>
      <c r="M116">
        <v>3.8</v>
      </c>
      <c r="N116">
        <v>6.37</v>
      </c>
      <c r="O116" s="6">
        <v>13.3</v>
      </c>
      <c r="P116" s="7">
        <v>1.21</v>
      </c>
      <c r="U116" t="s">
        <v>84</v>
      </c>
      <c r="V116" t="s">
        <v>126</v>
      </c>
      <c r="W116">
        <v>1.6</v>
      </c>
      <c r="X116" t="s">
        <v>84</v>
      </c>
      <c r="Y116" t="s">
        <v>127</v>
      </c>
      <c r="Z116" t="s">
        <v>100</v>
      </c>
      <c r="AA116" t="s">
        <v>128</v>
      </c>
      <c r="AB116" t="s">
        <v>115</v>
      </c>
      <c r="AC116">
        <v>1629</v>
      </c>
      <c r="AD116" s="8" t="b">
        <f>AND(
 H116&gt;=Filters!$B$3,
 H116&lt;=Filters!$B$4,
 I116&gt;=Filters!$B$5,
 OR(Filters!$B$6="All",B116=Filters!$B$6),
 F116&gt;=Filters!$B$7,
 F116&lt;=Filters!$B$8,
 OR(Filters!$B$9="All",G116=Filters!$B$9)
)</f>
        <v>0</v>
      </c>
      <c r="AE116">
        <f t="shared" si="13"/>
        <v>6</v>
      </c>
      <c r="AF116">
        <f t="shared" si="14"/>
        <v>7</v>
      </c>
      <c r="AG116">
        <f t="shared" si="15"/>
        <v>7</v>
      </c>
      <c r="AH116" s="9" t="str">
        <f t="shared" si="16"/>
        <v/>
      </c>
      <c r="AI116" s="9" t="str">
        <f t="shared" si="17"/>
        <v/>
      </c>
      <c r="AJ116" s="9" t="str">
        <f t="shared" si="18"/>
        <v/>
      </c>
      <c r="AK116" s="9" t="str">
        <f t="shared" si="19"/>
        <v/>
      </c>
      <c r="AL116" s="9" t="str">
        <f t="shared" si="20"/>
        <v/>
      </c>
      <c r="AM116" s="9" t="str">
        <f t="shared" si="21"/>
        <v/>
      </c>
      <c r="AN116" s="9" t="str">
        <f t="shared" si="22"/>
        <v/>
      </c>
      <c r="AO116" s="9" t="str">
        <f t="shared" si="23"/>
        <v/>
      </c>
      <c r="AP116" s="9" t="str">
        <f t="shared" si="24"/>
        <v/>
      </c>
      <c r="AQ116" s="10" t="str">
        <f t="shared" si="25"/>
        <v/>
      </c>
    </row>
    <row r="117" spans="1:43">
      <c r="A117">
        <v>116</v>
      </c>
      <c r="B117" t="s">
        <v>26</v>
      </c>
      <c r="C117" t="s">
        <v>339</v>
      </c>
      <c r="D117" t="s">
        <v>340</v>
      </c>
      <c r="E117" t="s">
        <v>168</v>
      </c>
      <c r="G117" t="s">
        <v>18</v>
      </c>
      <c r="H117" s="4">
        <v>37772730</v>
      </c>
      <c r="I117" s="5">
        <v>256</v>
      </c>
      <c r="J117" s="5">
        <v>0</v>
      </c>
      <c r="K117" s="5">
        <v>8</v>
      </c>
      <c r="L117">
        <v>5.2</v>
      </c>
      <c r="M117">
        <v>3.8</v>
      </c>
      <c r="N117">
        <v>6.67</v>
      </c>
      <c r="O117" s="6">
        <v>13.3</v>
      </c>
      <c r="P117" s="7">
        <v>1.26</v>
      </c>
      <c r="U117" t="s">
        <v>84</v>
      </c>
      <c r="V117" t="s">
        <v>126</v>
      </c>
      <c r="W117">
        <v>1.6</v>
      </c>
      <c r="X117" t="s">
        <v>84</v>
      </c>
      <c r="Y117" t="s">
        <v>127</v>
      </c>
      <c r="Z117" t="s">
        <v>100</v>
      </c>
      <c r="AA117" t="s">
        <v>149</v>
      </c>
      <c r="AB117" t="s">
        <v>115</v>
      </c>
      <c r="AC117">
        <v>1398.99</v>
      </c>
      <c r="AD117" s="8" t="b">
        <f>AND(
 H117&gt;=Filters!$B$3,
 H117&lt;=Filters!$B$4,
 I117&gt;=Filters!$B$5,
 OR(Filters!$B$6="All",B117=Filters!$B$6),
 F117&gt;=Filters!$B$7,
 F117&lt;=Filters!$B$8,
 OR(Filters!$B$9="All",G117=Filters!$B$9)
)</f>
        <v>0</v>
      </c>
      <c r="AE117">
        <f t="shared" si="13"/>
        <v>6</v>
      </c>
      <c r="AF117">
        <f t="shared" si="14"/>
        <v>7</v>
      </c>
      <c r="AG117">
        <f t="shared" si="15"/>
        <v>7</v>
      </c>
      <c r="AH117" s="9" t="str">
        <f t="shared" si="16"/>
        <v/>
      </c>
      <c r="AI117" s="9" t="str">
        <f t="shared" si="17"/>
        <v/>
      </c>
      <c r="AJ117" s="9" t="str">
        <f t="shared" si="18"/>
        <v/>
      </c>
      <c r="AK117" s="9" t="str">
        <f t="shared" si="19"/>
        <v/>
      </c>
      <c r="AL117" s="9" t="str">
        <f t="shared" si="20"/>
        <v/>
      </c>
      <c r="AM117" s="9" t="str">
        <f t="shared" si="21"/>
        <v/>
      </c>
      <c r="AN117" s="9" t="str">
        <f t="shared" si="22"/>
        <v/>
      </c>
      <c r="AO117" s="9" t="str">
        <f t="shared" si="23"/>
        <v/>
      </c>
      <c r="AP117" s="9" t="str">
        <f t="shared" si="24"/>
        <v/>
      </c>
      <c r="AQ117" s="10" t="str">
        <f t="shared" si="25"/>
        <v/>
      </c>
    </row>
    <row r="118" spans="1:43">
      <c r="A118">
        <v>117</v>
      </c>
      <c r="B118" t="s">
        <v>26</v>
      </c>
      <c r="C118" t="s">
        <v>336</v>
      </c>
      <c r="D118" t="s">
        <v>337</v>
      </c>
      <c r="E118" t="s">
        <v>97</v>
      </c>
      <c r="G118" t="s">
        <v>18</v>
      </c>
      <c r="H118" s="4">
        <v>29268000</v>
      </c>
      <c r="I118" s="5">
        <v>512</v>
      </c>
      <c r="J118" s="5">
        <v>0</v>
      </c>
      <c r="K118" s="5">
        <v>8</v>
      </c>
      <c r="L118">
        <v>7.6</v>
      </c>
      <c r="M118">
        <v>3.8</v>
      </c>
      <c r="N118">
        <v>6</v>
      </c>
      <c r="O118" s="6">
        <v>14</v>
      </c>
      <c r="P118" s="7">
        <v>1.63</v>
      </c>
      <c r="U118" t="s">
        <v>84</v>
      </c>
      <c r="V118" t="s">
        <v>121</v>
      </c>
      <c r="W118">
        <v>1.8</v>
      </c>
      <c r="X118" t="s">
        <v>84</v>
      </c>
      <c r="Y118" t="s">
        <v>127</v>
      </c>
      <c r="Z118" t="s">
        <v>106</v>
      </c>
      <c r="AA118" t="s">
        <v>101</v>
      </c>
      <c r="AB118" t="s">
        <v>115</v>
      </c>
      <c r="AC118">
        <v>1084</v>
      </c>
      <c r="AD118" s="8" t="b">
        <f>AND(
 H118&gt;=Filters!$B$3,
 H118&lt;=Filters!$B$4,
 I118&gt;=Filters!$B$5,
 OR(Filters!$B$6="All",B118=Filters!$B$6),
 F118&gt;=Filters!$B$7,
 F118&lt;=Filters!$B$8,
 OR(Filters!$B$9="All",G118=Filters!$B$9)
)</f>
        <v>0</v>
      </c>
      <c r="AE118">
        <f t="shared" si="13"/>
        <v>6</v>
      </c>
      <c r="AF118">
        <f t="shared" si="14"/>
        <v>7</v>
      </c>
      <c r="AG118">
        <f t="shared" si="15"/>
        <v>7</v>
      </c>
      <c r="AH118" s="9" t="str">
        <f t="shared" si="16"/>
        <v/>
      </c>
      <c r="AI118" s="9" t="str">
        <f t="shared" si="17"/>
        <v/>
      </c>
      <c r="AJ118" s="9" t="str">
        <f t="shared" si="18"/>
        <v/>
      </c>
      <c r="AK118" s="9" t="str">
        <f t="shared" si="19"/>
        <v/>
      </c>
      <c r="AL118" s="9" t="str">
        <f t="shared" si="20"/>
        <v/>
      </c>
      <c r="AM118" s="9" t="str">
        <f t="shared" si="21"/>
        <v/>
      </c>
      <c r="AN118" s="9" t="str">
        <f t="shared" si="22"/>
        <v/>
      </c>
      <c r="AO118" s="9" t="str">
        <f t="shared" si="23"/>
        <v/>
      </c>
      <c r="AP118" s="9" t="str">
        <f t="shared" si="24"/>
        <v/>
      </c>
      <c r="AQ118" s="10" t="str">
        <f t="shared" si="25"/>
        <v/>
      </c>
    </row>
    <row r="119" spans="1:43">
      <c r="A119">
        <v>118</v>
      </c>
      <c r="B119" t="s">
        <v>23</v>
      </c>
      <c r="C119" t="s">
        <v>341</v>
      </c>
      <c r="D119" t="s">
        <v>342</v>
      </c>
      <c r="E119" t="s">
        <v>97</v>
      </c>
      <c r="G119" t="s">
        <v>18</v>
      </c>
      <c r="H119" s="4">
        <v>30518910</v>
      </c>
      <c r="I119" s="5">
        <v>256</v>
      </c>
      <c r="J119" s="5">
        <v>1024</v>
      </c>
      <c r="K119" s="5">
        <v>8</v>
      </c>
      <c r="L119">
        <v>7.6</v>
      </c>
      <c r="M119">
        <v>6.5</v>
      </c>
      <c r="N119">
        <v>6.32</v>
      </c>
      <c r="O119" s="6">
        <v>15.6</v>
      </c>
      <c r="P119" s="7">
        <v>2.16</v>
      </c>
      <c r="U119" t="s">
        <v>84</v>
      </c>
      <c r="V119" t="s">
        <v>121</v>
      </c>
      <c r="W119">
        <v>1.8</v>
      </c>
      <c r="X119" t="s">
        <v>122</v>
      </c>
      <c r="Y119" t="s">
        <v>145</v>
      </c>
      <c r="Z119" t="s">
        <v>212</v>
      </c>
      <c r="AA119" t="s">
        <v>128</v>
      </c>
      <c r="AB119" t="s">
        <v>115</v>
      </c>
      <c r="AC119">
        <v>1130.33</v>
      </c>
      <c r="AD119" s="8" t="b">
        <f>AND(
 H119&gt;=Filters!$B$3,
 H119&lt;=Filters!$B$4,
 I119&gt;=Filters!$B$5,
 OR(Filters!$B$6="All",B119=Filters!$B$6),
 F119&gt;=Filters!$B$7,
 F119&lt;=Filters!$B$8,
 OR(Filters!$B$9="All",G119=Filters!$B$9)
)</f>
        <v>0</v>
      </c>
      <c r="AE119">
        <f t="shared" si="13"/>
        <v>6</v>
      </c>
      <c r="AF119">
        <f t="shared" si="14"/>
        <v>7</v>
      </c>
      <c r="AG119">
        <f t="shared" si="15"/>
        <v>7</v>
      </c>
      <c r="AH119" s="9" t="str">
        <f t="shared" si="16"/>
        <v/>
      </c>
      <c r="AI119" s="9" t="str">
        <f t="shared" si="17"/>
        <v/>
      </c>
      <c r="AJ119" s="9" t="str">
        <f t="shared" si="18"/>
        <v/>
      </c>
      <c r="AK119" s="9" t="str">
        <f t="shared" si="19"/>
        <v/>
      </c>
      <c r="AL119" s="9" t="str">
        <f t="shared" si="20"/>
        <v/>
      </c>
      <c r="AM119" s="9" t="str">
        <f t="shared" si="21"/>
        <v/>
      </c>
      <c r="AN119" s="9" t="str">
        <f t="shared" si="22"/>
        <v/>
      </c>
      <c r="AO119" s="9" t="str">
        <f t="shared" si="23"/>
        <v/>
      </c>
      <c r="AP119" s="9" t="str">
        <f t="shared" si="24"/>
        <v/>
      </c>
      <c r="AQ119" s="10" t="str">
        <f t="shared" si="25"/>
        <v/>
      </c>
    </row>
    <row r="120" spans="1:43">
      <c r="A120">
        <v>119</v>
      </c>
      <c r="B120" t="s">
        <v>21</v>
      </c>
      <c r="C120" t="s">
        <v>343</v>
      </c>
      <c r="D120" t="s">
        <v>344</v>
      </c>
      <c r="E120" t="s">
        <v>97</v>
      </c>
      <c r="G120" t="s">
        <v>18</v>
      </c>
      <c r="H120" s="4">
        <v>15228000</v>
      </c>
      <c r="I120" s="5">
        <v>0</v>
      </c>
      <c r="J120" s="5">
        <v>1024</v>
      </c>
      <c r="K120" s="5">
        <v>4</v>
      </c>
      <c r="L120">
        <v>4</v>
      </c>
      <c r="M120">
        <v>6.5</v>
      </c>
      <c r="N120">
        <v>5.83</v>
      </c>
      <c r="O120" s="6">
        <v>17.3</v>
      </c>
      <c r="P120" s="7">
        <v>2</v>
      </c>
      <c r="U120" t="s">
        <v>84</v>
      </c>
      <c r="V120" t="s">
        <v>129</v>
      </c>
      <c r="W120">
        <v>2</v>
      </c>
      <c r="X120" t="s">
        <v>122</v>
      </c>
      <c r="Y120" t="s">
        <v>230</v>
      </c>
      <c r="Z120" t="s">
        <v>146</v>
      </c>
      <c r="AA120" t="s">
        <v>101</v>
      </c>
      <c r="AB120" t="s">
        <v>115</v>
      </c>
      <c r="AC120">
        <v>564</v>
      </c>
      <c r="AD120" s="8" t="b">
        <f>AND(
 H120&gt;=Filters!$B$3,
 H120&lt;=Filters!$B$4,
 I120&gt;=Filters!$B$5,
 OR(Filters!$B$6="All",B120=Filters!$B$6),
 F120&gt;=Filters!$B$7,
 F120&lt;=Filters!$B$8,
 OR(Filters!$B$9="All",G120=Filters!$B$9)
)</f>
        <v>0</v>
      </c>
      <c r="AE120">
        <f t="shared" si="13"/>
        <v>6</v>
      </c>
      <c r="AF120">
        <f t="shared" si="14"/>
        <v>7</v>
      </c>
      <c r="AG120">
        <f t="shared" si="15"/>
        <v>7</v>
      </c>
      <c r="AH120" s="9" t="str">
        <f t="shared" si="16"/>
        <v/>
      </c>
      <c r="AI120" s="9" t="str">
        <f t="shared" si="17"/>
        <v/>
      </c>
      <c r="AJ120" s="9" t="str">
        <f t="shared" si="18"/>
        <v/>
      </c>
      <c r="AK120" s="9" t="str">
        <f t="shared" si="19"/>
        <v/>
      </c>
      <c r="AL120" s="9" t="str">
        <f t="shared" si="20"/>
        <v/>
      </c>
      <c r="AM120" s="9" t="str">
        <f t="shared" si="21"/>
        <v/>
      </c>
      <c r="AN120" s="9" t="str">
        <f t="shared" si="22"/>
        <v/>
      </c>
      <c r="AO120" s="9" t="str">
        <f t="shared" si="23"/>
        <v/>
      </c>
      <c r="AP120" s="9" t="str">
        <f t="shared" si="24"/>
        <v/>
      </c>
      <c r="AQ120" s="10" t="str">
        <f t="shared" si="25"/>
        <v/>
      </c>
    </row>
    <row r="121" spans="1:43">
      <c r="A121">
        <v>120</v>
      </c>
      <c r="B121" t="s">
        <v>21</v>
      </c>
      <c r="C121" t="s">
        <v>345</v>
      </c>
      <c r="D121" t="s">
        <v>331</v>
      </c>
      <c r="E121" t="s">
        <v>97</v>
      </c>
      <c r="G121" t="s">
        <v>18</v>
      </c>
      <c r="H121" s="4">
        <v>30186000</v>
      </c>
      <c r="I121" s="5">
        <v>256</v>
      </c>
      <c r="J121" s="5">
        <v>0</v>
      </c>
      <c r="K121" s="5">
        <v>8</v>
      </c>
      <c r="L121">
        <v>7.6</v>
      </c>
      <c r="M121">
        <v>6.5</v>
      </c>
      <c r="N121">
        <v>5.92</v>
      </c>
      <c r="O121" s="6">
        <v>15.6</v>
      </c>
      <c r="P121" s="7">
        <v>1.7</v>
      </c>
      <c r="U121" t="s">
        <v>84</v>
      </c>
      <c r="V121" t="s">
        <v>121</v>
      </c>
      <c r="W121">
        <v>1.8</v>
      </c>
      <c r="X121" t="s">
        <v>122</v>
      </c>
      <c r="Y121" t="s">
        <v>145</v>
      </c>
      <c r="Z121" t="s">
        <v>100</v>
      </c>
      <c r="AA121" t="s">
        <v>101</v>
      </c>
      <c r="AB121" t="s">
        <v>115</v>
      </c>
      <c r="AC121">
        <v>1118</v>
      </c>
      <c r="AD121" s="8" t="b">
        <f>AND(
 H121&gt;=Filters!$B$3,
 H121&lt;=Filters!$B$4,
 I121&gt;=Filters!$B$5,
 OR(Filters!$B$6="All",B121=Filters!$B$6),
 F121&gt;=Filters!$B$7,
 F121&lt;=Filters!$B$8,
 OR(Filters!$B$9="All",G121=Filters!$B$9)
)</f>
        <v>0</v>
      </c>
      <c r="AE121">
        <f t="shared" si="13"/>
        <v>6</v>
      </c>
      <c r="AF121">
        <f t="shared" si="14"/>
        <v>7</v>
      </c>
      <c r="AG121">
        <f t="shared" si="15"/>
        <v>7</v>
      </c>
      <c r="AH121" s="9" t="str">
        <f t="shared" si="16"/>
        <v/>
      </c>
      <c r="AI121" s="9" t="str">
        <f t="shared" si="17"/>
        <v/>
      </c>
      <c r="AJ121" s="9" t="str">
        <f t="shared" si="18"/>
        <v/>
      </c>
      <c r="AK121" s="9" t="str">
        <f t="shared" si="19"/>
        <v/>
      </c>
      <c r="AL121" s="9" t="str">
        <f t="shared" si="20"/>
        <v/>
      </c>
      <c r="AM121" s="9" t="str">
        <f t="shared" si="21"/>
        <v/>
      </c>
      <c r="AN121" s="9" t="str">
        <f t="shared" si="22"/>
        <v/>
      </c>
      <c r="AO121" s="9" t="str">
        <f t="shared" si="23"/>
        <v/>
      </c>
      <c r="AP121" s="9" t="str">
        <f t="shared" si="24"/>
        <v/>
      </c>
      <c r="AQ121" s="10" t="str">
        <f t="shared" si="25"/>
        <v/>
      </c>
    </row>
    <row r="122" spans="1:43">
      <c r="A122">
        <v>121</v>
      </c>
      <c r="B122" t="s">
        <v>17</v>
      </c>
      <c r="C122" t="s">
        <v>346</v>
      </c>
      <c r="D122" t="s">
        <v>347</v>
      </c>
      <c r="E122" t="s">
        <v>97</v>
      </c>
      <c r="G122" t="s">
        <v>18</v>
      </c>
      <c r="H122" s="4">
        <v>12933000</v>
      </c>
      <c r="I122" s="5">
        <v>0</v>
      </c>
      <c r="J122" s="5">
        <v>1024</v>
      </c>
      <c r="K122" s="5">
        <v>6</v>
      </c>
      <c r="L122">
        <v>4.8</v>
      </c>
      <c r="M122">
        <v>3.5</v>
      </c>
      <c r="N122">
        <v>6.62</v>
      </c>
      <c r="O122" s="6">
        <v>15.6</v>
      </c>
      <c r="P122" s="7">
        <v>2.1</v>
      </c>
      <c r="U122" t="s">
        <v>84</v>
      </c>
      <c r="V122" t="s">
        <v>144</v>
      </c>
      <c r="W122">
        <v>2.4</v>
      </c>
      <c r="X122" t="s">
        <v>84</v>
      </c>
      <c r="Y122" t="s">
        <v>99</v>
      </c>
      <c r="Z122" t="s">
        <v>146</v>
      </c>
      <c r="AA122" t="s">
        <v>149</v>
      </c>
      <c r="AB122" t="s">
        <v>115</v>
      </c>
      <c r="AC122">
        <v>479</v>
      </c>
      <c r="AD122" s="8" t="b">
        <f>AND(
 H122&gt;=Filters!$B$3,
 H122&lt;=Filters!$B$4,
 I122&gt;=Filters!$B$5,
 OR(Filters!$B$6="All",B122=Filters!$B$6),
 F122&gt;=Filters!$B$7,
 F122&lt;=Filters!$B$8,
 OR(Filters!$B$9="All",G122=Filters!$B$9)
)</f>
        <v>0</v>
      </c>
      <c r="AE122">
        <f t="shared" si="13"/>
        <v>6</v>
      </c>
      <c r="AF122">
        <f t="shared" si="14"/>
        <v>7</v>
      </c>
      <c r="AG122">
        <f t="shared" si="15"/>
        <v>7</v>
      </c>
      <c r="AH122" s="9" t="str">
        <f t="shared" si="16"/>
        <v/>
      </c>
      <c r="AI122" s="9" t="str">
        <f t="shared" si="17"/>
        <v/>
      </c>
      <c r="AJ122" s="9" t="str">
        <f t="shared" si="18"/>
        <v/>
      </c>
      <c r="AK122" s="9" t="str">
        <f t="shared" si="19"/>
        <v/>
      </c>
      <c r="AL122" s="9" t="str">
        <f t="shared" si="20"/>
        <v/>
      </c>
      <c r="AM122" s="9" t="str">
        <f t="shared" si="21"/>
        <v/>
      </c>
      <c r="AN122" s="9" t="str">
        <f t="shared" si="22"/>
        <v/>
      </c>
      <c r="AO122" s="9" t="str">
        <f t="shared" si="23"/>
        <v/>
      </c>
      <c r="AP122" s="9" t="str">
        <f t="shared" si="24"/>
        <v/>
      </c>
      <c r="AQ122" s="10" t="str">
        <f t="shared" si="25"/>
        <v/>
      </c>
    </row>
    <row r="123" spans="1:43">
      <c r="A123">
        <v>122</v>
      </c>
      <c r="B123" t="s">
        <v>30</v>
      </c>
      <c r="C123" t="s">
        <v>348</v>
      </c>
      <c r="D123" t="s">
        <v>349</v>
      </c>
      <c r="E123" t="s">
        <v>158</v>
      </c>
      <c r="G123" t="s">
        <v>18</v>
      </c>
      <c r="H123" s="4">
        <v>60520500</v>
      </c>
      <c r="I123" s="5">
        <v>256</v>
      </c>
      <c r="J123" s="5">
        <v>2048</v>
      </c>
      <c r="K123" s="5">
        <v>16</v>
      </c>
      <c r="L123">
        <v>9.6</v>
      </c>
      <c r="M123">
        <v>9.1999999999999993</v>
      </c>
      <c r="N123">
        <v>5.92</v>
      </c>
      <c r="O123" s="6">
        <v>15.6</v>
      </c>
      <c r="P123" s="7">
        <v>1.8</v>
      </c>
      <c r="U123" t="s">
        <v>84</v>
      </c>
      <c r="V123" t="s">
        <v>210</v>
      </c>
      <c r="W123">
        <v>2.8</v>
      </c>
      <c r="X123" t="s">
        <v>122</v>
      </c>
      <c r="Y123" t="s">
        <v>248</v>
      </c>
      <c r="Z123" t="s">
        <v>249</v>
      </c>
      <c r="AA123" t="s">
        <v>101</v>
      </c>
      <c r="AB123" t="s">
        <v>115</v>
      </c>
      <c r="AC123">
        <v>2241.5</v>
      </c>
      <c r="AD123" s="8" t="b">
        <f>AND(
 H123&gt;=Filters!$B$3,
 H123&lt;=Filters!$B$4,
 I123&gt;=Filters!$B$5,
 OR(Filters!$B$6="All",B123=Filters!$B$6),
 F123&gt;=Filters!$B$7,
 F123&lt;=Filters!$B$8,
 OR(Filters!$B$9="All",G123=Filters!$B$9)
)</f>
        <v>0</v>
      </c>
      <c r="AE123">
        <f t="shared" si="13"/>
        <v>6</v>
      </c>
      <c r="AF123">
        <f t="shared" si="14"/>
        <v>7</v>
      </c>
      <c r="AG123">
        <f t="shared" si="15"/>
        <v>7</v>
      </c>
      <c r="AH123" s="9" t="str">
        <f t="shared" si="16"/>
        <v/>
      </c>
      <c r="AI123" s="9" t="str">
        <f t="shared" si="17"/>
        <v/>
      </c>
      <c r="AJ123" s="9" t="str">
        <f t="shared" si="18"/>
        <v/>
      </c>
      <c r="AK123" s="9" t="str">
        <f t="shared" si="19"/>
        <v/>
      </c>
      <c r="AL123" s="9" t="str">
        <f t="shared" si="20"/>
        <v/>
      </c>
      <c r="AM123" s="9" t="str">
        <f t="shared" si="21"/>
        <v/>
      </c>
      <c r="AN123" s="9" t="str">
        <f t="shared" si="22"/>
        <v/>
      </c>
      <c r="AO123" s="9" t="str">
        <f t="shared" si="23"/>
        <v/>
      </c>
      <c r="AP123" s="9" t="str">
        <f t="shared" si="24"/>
        <v/>
      </c>
      <c r="AQ123" s="10" t="str">
        <f t="shared" si="25"/>
        <v/>
      </c>
    </row>
    <row r="124" spans="1:43">
      <c r="A124">
        <v>123</v>
      </c>
      <c r="B124" t="s">
        <v>29</v>
      </c>
      <c r="C124" t="s">
        <v>281</v>
      </c>
      <c r="D124" t="s">
        <v>282</v>
      </c>
      <c r="E124" t="s">
        <v>97</v>
      </c>
      <c r="G124" t="s">
        <v>18</v>
      </c>
      <c r="H124" s="4">
        <v>16983000</v>
      </c>
      <c r="I124" s="5">
        <v>256</v>
      </c>
      <c r="J124" s="5">
        <v>0</v>
      </c>
      <c r="K124" s="5">
        <v>8</v>
      </c>
      <c r="L124">
        <v>7</v>
      </c>
      <c r="M124">
        <v>6.5</v>
      </c>
      <c r="N124">
        <v>5.92</v>
      </c>
      <c r="O124" s="6">
        <v>15.6</v>
      </c>
      <c r="P124" s="7">
        <v>2.2000000000000002</v>
      </c>
      <c r="U124" t="s">
        <v>84</v>
      </c>
      <c r="V124" t="s">
        <v>98</v>
      </c>
      <c r="W124">
        <v>2.5</v>
      </c>
      <c r="X124" t="s">
        <v>122</v>
      </c>
      <c r="Y124" t="s">
        <v>145</v>
      </c>
      <c r="Z124" t="s">
        <v>100</v>
      </c>
      <c r="AA124" t="s">
        <v>101</v>
      </c>
      <c r="AB124" t="s">
        <v>102</v>
      </c>
      <c r="AC124">
        <v>629</v>
      </c>
      <c r="AD124" s="8" t="b">
        <f>AND(
 H124&gt;=Filters!$B$3,
 H124&lt;=Filters!$B$4,
 I124&gt;=Filters!$B$5,
 OR(Filters!$B$6="All",B124=Filters!$B$6),
 F124&gt;=Filters!$B$7,
 F124&lt;=Filters!$B$8,
 OR(Filters!$B$9="All",G124=Filters!$B$9)
)</f>
        <v>1</v>
      </c>
      <c r="AE124">
        <f t="shared" si="13"/>
        <v>6</v>
      </c>
      <c r="AF124">
        <f t="shared" si="14"/>
        <v>7</v>
      </c>
      <c r="AG124">
        <f t="shared" si="15"/>
        <v>7</v>
      </c>
      <c r="AH124" s="9">
        <f t="shared" si="16"/>
        <v>0.69047619047619047</v>
      </c>
      <c r="AI124" s="9">
        <f t="shared" si="17"/>
        <v>0.80952380952380942</v>
      </c>
      <c r="AJ124" s="9">
        <f t="shared" si="18"/>
        <v>0.63095238095238093</v>
      </c>
      <c r="AK124" s="9">
        <f t="shared" si="19"/>
        <v>0.56190476190476191</v>
      </c>
      <c r="AL124" s="9">
        <f t="shared" si="20"/>
        <v>0.88095238095238082</v>
      </c>
      <c r="AM124" s="9">
        <f t="shared" si="21"/>
        <v>0.5714285714285714</v>
      </c>
      <c r="AN124" s="9">
        <f t="shared" si="22"/>
        <v>0.69047619047619047</v>
      </c>
      <c r="AO124" s="9">
        <f t="shared" si="23"/>
        <v>0.69047619047619047</v>
      </c>
      <c r="AP124" s="9">
        <f t="shared" si="24"/>
        <v>0.69060504482930873</v>
      </c>
      <c r="AQ124" s="10">
        <f t="shared" si="25"/>
        <v>0.69060516882930878</v>
      </c>
    </row>
    <row r="125" spans="1:43">
      <c r="A125">
        <v>124</v>
      </c>
      <c r="B125" t="s">
        <v>26</v>
      </c>
      <c r="C125" t="s">
        <v>350</v>
      </c>
      <c r="D125" t="s">
        <v>351</v>
      </c>
      <c r="E125" t="s">
        <v>97</v>
      </c>
      <c r="G125" t="s">
        <v>18</v>
      </c>
      <c r="H125" s="4">
        <v>34317000</v>
      </c>
      <c r="I125" s="5">
        <v>512</v>
      </c>
      <c r="J125" s="5">
        <v>0</v>
      </c>
      <c r="K125" s="5">
        <v>16</v>
      </c>
      <c r="L125">
        <v>7.6</v>
      </c>
      <c r="M125">
        <v>6.5</v>
      </c>
      <c r="N125">
        <v>5.83</v>
      </c>
      <c r="O125" s="6">
        <v>17.3</v>
      </c>
      <c r="P125" s="7">
        <v>2.5</v>
      </c>
      <c r="U125" t="s">
        <v>84</v>
      </c>
      <c r="V125" t="s">
        <v>121</v>
      </c>
      <c r="W125">
        <v>1.8</v>
      </c>
      <c r="X125" t="s">
        <v>122</v>
      </c>
      <c r="Y125" t="s">
        <v>183</v>
      </c>
      <c r="Z125" t="s">
        <v>106</v>
      </c>
      <c r="AA125" t="s">
        <v>101</v>
      </c>
      <c r="AB125" t="s">
        <v>115</v>
      </c>
      <c r="AC125">
        <v>1271</v>
      </c>
      <c r="AD125" s="8" t="b">
        <f>AND(
 H125&gt;=Filters!$B$3,
 H125&lt;=Filters!$B$4,
 I125&gt;=Filters!$B$5,
 OR(Filters!$B$6="All",B125=Filters!$B$6),
 F125&gt;=Filters!$B$7,
 F125&lt;=Filters!$B$8,
 OR(Filters!$B$9="All",G125=Filters!$B$9)
)</f>
        <v>0</v>
      </c>
      <c r="AE125">
        <f t="shared" si="13"/>
        <v>6</v>
      </c>
      <c r="AF125">
        <f t="shared" si="14"/>
        <v>7</v>
      </c>
      <c r="AG125">
        <f t="shared" si="15"/>
        <v>7</v>
      </c>
      <c r="AH125" s="9" t="str">
        <f t="shared" si="16"/>
        <v/>
      </c>
      <c r="AI125" s="9" t="str">
        <f t="shared" si="17"/>
        <v/>
      </c>
      <c r="AJ125" s="9" t="str">
        <f t="shared" si="18"/>
        <v/>
      </c>
      <c r="AK125" s="9" t="str">
        <f t="shared" si="19"/>
        <v/>
      </c>
      <c r="AL125" s="9" t="str">
        <f t="shared" si="20"/>
        <v/>
      </c>
      <c r="AM125" s="9" t="str">
        <f t="shared" si="21"/>
        <v/>
      </c>
      <c r="AN125" s="9" t="str">
        <f t="shared" si="22"/>
        <v/>
      </c>
      <c r="AO125" s="9" t="str">
        <f t="shared" si="23"/>
        <v/>
      </c>
      <c r="AP125" s="9" t="str">
        <f t="shared" si="24"/>
        <v/>
      </c>
      <c r="AQ125" s="10" t="str">
        <f t="shared" si="25"/>
        <v/>
      </c>
    </row>
    <row r="126" spans="1:43">
      <c r="A126">
        <v>125</v>
      </c>
      <c r="B126" t="s">
        <v>17</v>
      </c>
      <c r="C126" t="s">
        <v>109</v>
      </c>
      <c r="D126" t="s">
        <v>110</v>
      </c>
      <c r="E126" t="s">
        <v>97</v>
      </c>
      <c r="G126" t="s">
        <v>18</v>
      </c>
      <c r="H126" s="4">
        <v>12177000</v>
      </c>
      <c r="I126" s="5">
        <v>256</v>
      </c>
      <c r="J126" s="5">
        <v>0</v>
      </c>
      <c r="K126" s="5">
        <v>4</v>
      </c>
      <c r="L126">
        <v>7</v>
      </c>
      <c r="M126">
        <v>6.5</v>
      </c>
      <c r="N126">
        <v>3.92</v>
      </c>
      <c r="O126" s="6">
        <v>15.6</v>
      </c>
      <c r="P126" s="7">
        <v>2.1</v>
      </c>
      <c r="U126" t="s">
        <v>104</v>
      </c>
      <c r="V126" t="s">
        <v>111</v>
      </c>
      <c r="W126">
        <v>3</v>
      </c>
      <c r="X126" t="s">
        <v>104</v>
      </c>
      <c r="Y126" t="s">
        <v>112</v>
      </c>
      <c r="Z126" t="s">
        <v>100</v>
      </c>
      <c r="AA126" t="s">
        <v>114</v>
      </c>
      <c r="AB126" t="s">
        <v>115</v>
      </c>
      <c r="AC126">
        <v>451</v>
      </c>
      <c r="AD126" s="8" t="b">
        <f>AND(
 H126&gt;=Filters!$B$3,
 H126&lt;=Filters!$B$4,
 I126&gt;=Filters!$B$5,
 OR(Filters!$B$6="All",B126=Filters!$B$6),
 F126&gt;=Filters!$B$7,
 F126&lt;=Filters!$B$8,
 OR(Filters!$B$9="All",G126=Filters!$B$9)
)</f>
        <v>1</v>
      </c>
      <c r="AE126">
        <f t="shared" si="13"/>
        <v>6</v>
      </c>
      <c r="AF126">
        <f t="shared" si="14"/>
        <v>7</v>
      </c>
      <c r="AG126">
        <f t="shared" si="15"/>
        <v>7</v>
      </c>
      <c r="AH126" s="9">
        <f t="shared" si="16"/>
        <v>0.69047619047619047</v>
      </c>
      <c r="AI126" s="9">
        <f t="shared" si="17"/>
        <v>0.33333333333333331</v>
      </c>
      <c r="AJ126" s="9">
        <f t="shared" si="18"/>
        <v>0.63095238095238093</v>
      </c>
      <c r="AK126" s="9">
        <f t="shared" si="19"/>
        <v>0.32380952380952377</v>
      </c>
      <c r="AL126" s="9">
        <f t="shared" si="20"/>
        <v>0.89285714285714279</v>
      </c>
      <c r="AM126" s="9">
        <f t="shared" si="21"/>
        <v>0.5714285714285714</v>
      </c>
      <c r="AN126" s="9">
        <f t="shared" si="22"/>
        <v>0.69047619047619047</v>
      </c>
      <c r="AO126" s="9">
        <f t="shared" si="23"/>
        <v>0.69047619047619047</v>
      </c>
      <c r="AP126" s="9">
        <f t="shared" si="24"/>
        <v>0.58491459225303455</v>
      </c>
      <c r="AQ126" s="10">
        <f t="shared" si="25"/>
        <v>0.58491471825303454</v>
      </c>
    </row>
    <row r="127" spans="1:43">
      <c r="A127">
        <v>126</v>
      </c>
      <c r="B127" t="s">
        <v>26</v>
      </c>
      <c r="C127" t="s">
        <v>95</v>
      </c>
      <c r="D127" t="s">
        <v>96</v>
      </c>
      <c r="E127" t="s">
        <v>97</v>
      </c>
      <c r="G127" t="s">
        <v>18</v>
      </c>
      <c r="H127" s="4">
        <v>6993000</v>
      </c>
      <c r="I127" s="5">
        <v>0</v>
      </c>
      <c r="J127" s="5">
        <v>500</v>
      </c>
      <c r="K127" s="5">
        <v>4</v>
      </c>
      <c r="L127">
        <v>1.2</v>
      </c>
      <c r="M127">
        <v>3.5</v>
      </c>
      <c r="N127">
        <v>3.92</v>
      </c>
      <c r="O127" s="6">
        <v>15.6</v>
      </c>
      <c r="P127" s="7">
        <v>1.86</v>
      </c>
      <c r="U127" t="s">
        <v>84</v>
      </c>
      <c r="V127" t="s">
        <v>263</v>
      </c>
      <c r="W127">
        <v>1.6</v>
      </c>
      <c r="X127" t="s">
        <v>84</v>
      </c>
      <c r="Y127" t="s">
        <v>154</v>
      </c>
      <c r="Z127" t="s">
        <v>113</v>
      </c>
      <c r="AA127" t="s">
        <v>114</v>
      </c>
      <c r="AB127" t="s">
        <v>102</v>
      </c>
      <c r="AC127">
        <v>259</v>
      </c>
      <c r="AD127" s="8" t="b">
        <f>AND(
 H127&gt;=Filters!$B$3,
 H127&lt;=Filters!$B$4,
 I127&gt;=Filters!$B$5,
 OR(Filters!$B$6="All",B127=Filters!$B$6),
 F127&gt;=Filters!$B$7,
 F127&lt;=Filters!$B$8,
 OR(Filters!$B$9="All",G127=Filters!$B$9)
)</f>
        <v>0</v>
      </c>
      <c r="AE127">
        <f t="shared" si="13"/>
        <v>6</v>
      </c>
      <c r="AF127">
        <f t="shared" si="14"/>
        <v>7</v>
      </c>
      <c r="AG127">
        <f t="shared" si="15"/>
        <v>7</v>
      </c>
      <c r="AH127" s="9" t="str">
        <f t="shared" si="16"/>
        <v/>
      </c>
      <c r="AI127" s="9" t="str">
        <f t="shared" si="17"/>
        <v/>
      </c>
      <c r="AJ127" s="9" t="str">
        <f t="shared" si="18"/>
        <v/>
      </c>
      <c r="AK127" s="9" t="str">
        <f t="shared" si="19"/>
        <v/>
      </c>
      <c r="AL127" s="9" t="str">
        <f t="shared" si="20"/>
        <v/>
      </c>
      <c r="AM127" s="9" t="str">
        <f t="shared" si="21"/>
        <v/>
      </c>
      <c r="AN127" s="9" t="str">
        <f t="shared" si="22"/>
        <v/>
      </c>
      <c r="AO127" s="9" t="str">
        <f t="shared" si="23"/>
        <v/>
      </c>
      <c r="AP127" s="9" t="str">
        <f t="shared" si="24"/>
        <v/>
      </c>
      <c r="AQ127" s="10" t="str">
        <f t="shared" si="25"/>
        <v/>
      </c>
    </row>
    <row r="128" spans="1:43">
      <c r="A128">
        <v>127</v>
      </c>
      <c r="B128" t="s">
        <v>26</v>
      </c>
      <c r="C128" t="s">
        <v>336</v>
      </c>
      <c r="D128" t="s">
        <v>337</v>
      </c>
      <c r="E128" t="s">
        <v>97</v>
      </c>
      <c r="G128" t="s">
        <v>18</v>
      </c>
      <c r="H128" s="4">
        <v>21924000</v>
      </c>
      <c r="I128" s="5">
        <v>0</v>
      </c>
      <c r="J128" s="5">
        <v>1024</v>
      </c>
      <c r="K128" s="5">
        <v>8</v>
      </c>
      <c r="L128">
        <v>5.2</v>
      </c>
      <c r="M128">
        <v>3.8</v>
      </c>
      <c r="N128">
        <v>6</v>
      </c>
      <c r="O128" s="6">
        <v>14</v>
      </c>
      <c r="P128" s="7">
        <v>1.63</v>
      </c>
      <c r="U128" t="s">
        <v>84</v>
      </c>
      <c r="V128" t="s">
        <v>126</v>
      </c>
      <c r="W128">
        <v>1.6</v>
      </c>
      <c r="X128" t="s">
        <v>84</v>
      </c>
      <c r="Y128" t="s">
        <v>127</v>
      </c>
      <c r="Z128" t="s">
        <v>146</v>
      </c>
      <c r="AA128" t="s">
        <v>101</v>
      </c>
      <c r="AB128" t="s">
        <v>115</v>
      </c>
      <c r="AC128">
        <v>812</v>
      </c>
      <c r="AD128" s="8" t="b">
        <f>AND(
 H128&gt;=Filters!$B$3,
 H128&lt;=Filters!$B$4,
 I128&gt;=Filters!$B$5,
 OR(Filters!$B$6="All",B128=Filters!$B$6),
 F128&gt;=Filters!$B$7,
 F128&lt;=Filters!$B$8,
 OR(Filters!$B$9="All",G128=Filters!$B$9)
)</f>
        <v>0</v>
      </c>
      <c r="AE128">
        <f t="shared" si="13"/>
        <v>6</v>
      </c>
      <c r="AF128">
        <f t="shared" si="14"/>
        <v>7</v>
      </c>
      <c r="AG128">
        <f t="shared" si="15"/>
        <v>7</v>
      </c>
      <c r="AH128" s="9" t="str">
        <f t="shared" si="16"/>
        <v/>
      </c>
      <c r="AI128" s="9" t="str">
        <f t="shared" si="17"/>
        <v/>
      </c>
      <c r="AJ128" s="9" t="str">
        <f t="shared" si="18"/>
        <v/>
      </c>
      <c r="AK128" s="9" t="str">
        <f t="shared" si="19"/>
        <v/>
      </c>
      <c r="AL128" s="9" t="str">
        <f t="shared" si="20"/>
        <v/>
      </c>
      <c r="AM128" s="9" t="str">
        <f t="shared" si="21"/>
        <v/>
      </c>
      <c r="AN128" s="9" t="str">
        <f t="shared" si="22"/>
        <v/>
      </c>
      <c r="AO128" s="9" t="str">
        <f t="shared" si="23"/>
        <v/>
      </c>
      <c r="AP128" s="9" t="str">
        <f t="shared" si="24"/>
        <v/>
      </c>
      <c r="AQ128" s="10" t="str">
        <f t="shared" si="25"/>
        <v/>
      </c>
    </row>
    <row r="129" spans="1:43">
      <c r="A129">
        <v>128</v>
      </c>
      <c r="B129" t="s">
        <v>21</v>
      </c>
      <c r="C129" t="s">
        <v>352</v>
      </c>
      <c r="D129" t="s">
        <v>353</v>
      </c>
      <c r="E129" t="s">
        <v>97</v>
      </c>
      <c r="G129" t="s">
        <v>18</v>
      </c>
      <c r="H129" s="4">
        <v>7505730</v>
      </c>
      <c r="I129" s="5">
        <v>64</v>
      </c>
      <c r="J129" s="5">
        <v>0</v>
      </c>
      <c r="K129" s="5">
        <v>4</v>
      </c>
      <c r="L129">
        <v>4</v>
      </c>
      <c r="M129">
        <v>6.5</v>
      </c>
      <c r="N129">
        <v>4</v>
      </c>
      <c r="O129" s="6">
        <v>14</v>
      </c>
      <c r="P129" s="7">
        <v>1.65</v>
      </c>
      <c r="U129" t="s">
        <v>104</v>
      </c>
      <c r="V129" t="s">
        <v>354</v>
      </c>
      <c r="W129">
        <v>1.5</v>
      </c>
      <c r="X129" t="s">
        <v>104</v>
      </c>
      <c r="Y129" t="s">
        <v>165</v>
      </c>
      <c r="Z129" t="s">
        <v>355</v>
      </c>
      <c r="AA129" t="s">
        <v>114</v>
      </c>
      <c r="AB129" t="s">
        <v>272</v>
      </c>
      <c r="AC129">
        <v>277.99</v>
      </c>
      <c r="AD129" s="8" t="b">
        <f>AND(
 H129&gt;=Filters!$B$3,
 H129&lt;=Filters!$B$4,
 I129&gt;=Filters!$B$5,
 OR(Filters!$B$6="All",B129=Filters!$B$6),
 F129&gt;=Filters!$B$7,
 F129&lt;=Filters!$B$8,
 OR(Filters!$B$9="All",G129=Filters!$B$9)
)</f>
        <v>0</v>
      </c>
      <c r="AE129">
        <f t="shared" si="13"/>
        <v>6</v>
      </c>
      <c r="AF129">
        <f t="shared" si="14"/>
        <v>7</v>
      </c>
      <c r="AG129">
        <f t="shared" si="15"/>
        <v>7</v>
      </c>
      <c r="AH129" s="9" t="str">
        <f t="shared" si="16"/>
        <v/>
      </c>
      <c r="AI129" s="9" t="str">
        <f t="shared" si="17"/>
        <v/>
      </c>
      <c r="AJ129" s="9" t="str">
        <f t="shared" si="18"/>
        <v/>
      </c>
      <c r="AK129" s="9" t="str">
        <f t="shared" si="19"/>
        <v/>
      </c>
      <c r="AL129" s="9" t="str">
        <f t="shared" si="20"/>
        <v/>
      </c>
      <c r="AM129" s="9" t="str">
        <f t="shared" si="21"/>
        <v/>
      </c>
      <c r="AN129" s="9" t="str">
        <f t="shared" si="22"/>
        <v/>
      </c>
      <c r="AO129" s="9" t="str">
        <f t="shared" si="23"/>
        <v/>
      </c>
      <c r="AP129" s="9" t="str">
        <f t="shared" si="24"/>
        <v/>
      </c>
      <c r="AQ129" s="10" t="str">
        <f t="shared" si="25"/>
        <v/>
      </c>
    </row>
    <row r="130" spans="1:43">
      <c r="A130">
        <v>129</v>
      </c>
      <c r="B130" t="s">
        <v>23</v>
      </c>
      <c r="C130" t="s">
        <v>202</v>
      </c>
      <c r="D130" t="s">
        <v>203</v>
      </c>
      <c r="E130" t="s">
        <v>97</v>
      </c>
      <c r="G130" t="s">
        <v>18</v>
      </c>
      <c r="H130" s="4">
        <v>37692000</v>
      </c>
      <c r="I130" s="5">
        <v>256</v>
      </c>
      <c r="J130" s="5">
        <v>2048</v>
      </c>
      <c r="K130" s="5">
        <v>16</v>
      </c>
      <c r="L130">
        <v>7.6</v>
      </c>
      <c r="M130">
        <v>6.5</v>
      </c>
      <c r="N130">
        <v>5.83</v>
      </c>
      <c r="O130" s="6">
        <v>17.3</v>
      </c>
      <c r="P130" s="7">
        <v>2.8</v>
      </c>
      <c r="U130" t="s">
        <v>84</v>
      </c>
      <c r="V130" t="s">
        <v>121</v>
      </c>
      <c r="W130">
        <v>1.8</v>
      </c>
      <c r="X130" t="s">
        <v>104</v>
      </c>
      <c r="Y130" t="s">
        <v>176</v>
      </c>
      <c r="Z130" t="s">
        <v>249</v>
      </c>
      <c r="AA130" t="s">
        <v>101</v>
      </c>
      <c r="AB130" t="s">
        <v>115</v>
      </c>
      <c r="AC130">
        <v>1396</v>
      </c>
      <c r="AD130" s="8" t="b">
        <f>AND(
 H130&gt;=Filters!$B$3,
 H130&lt;=Filters!$B$4,
 I130&gt;=Filters!$B$5,
 OR(Filters!$B$6="All",B130=Filters!$B$6),
 F130&gt;=Filters!$B$7,
 F130&lt;=Filters!$B$8,
 OR(Filters!$B$9="All",G130=Filters!$B$9)
)</f>
        <v>0</v>
      </c>
      <c r="AE130">
        <f t="shared" ref="AE130:AE193" si="26">IF(Q130="",6,Q130)</f>
        <v>6</v>
      </c>
      <c r="AF130">
        <f t="shared" ref="AF130:AF193" si="27">IF(R130="",7,R130)</f>
        <v>7</v>
      </c>
      <c r="AG130">
        <f t="shared" ref="AG130:AG193" si="28">IF(S130="",7,S130)</f>
        <v>7</v>
      </c>
      <c r="AH130" s="9" t="str">
        <f t="shared" ref="AH130:AH193" si="29">IF(AD130,IF(CPU_MAX=CPU_MIN,1,(L130-CPU_MIN)/(CPU_MAX-CPU_MIN)),"")</f>
        <v/>
      </c>
      <c r="AI130" s="9" t="str">
        <f t="shared" ref="AI130:AI193" si="30">IF(AD130,IF(RAM_MAX=RAM_MIN,1,(K130-RAM_MIN)/(RAM_MAX-RAM_MIN)),"")</f>
        <v/>
      </c>
      <c r="AJ130" s="9" t="str">
        <f t="shared" ref="AJ130:AJ193" si="31">IF(AD130,IF(GPU_MAX=GPU_MIN,1,(M130-GPU_MIN)/(GPU_MAX-GPU_MIN)),"")</f>
        <v/>
      </c>
      <c r="AK130" s="9" t="str">
        <f t="shared" ref="AK130:AK193" si="32">IF(AD130,IF(SCREEN_MAX=SCREEN_MIN,1,(N130-SCREEN_MIN)/(SCREEN_MAX-SCREEN_MIN)),"")</f>
        <v/>
      </c>
      <c r="AL130" s="9" t="str">
        <f t="shared" ref="AL130:AL193" si="33">IF(AD130,IF(WEIGHT_MAX=WEIGHT_MIN,1,(WEIGHT_MAX-P130)/(WEIGHT_MAX-WEIGHT_MIN)),"")</f>
        <v/>
      </c>
      <c r="AM130" s="9" t="str">
        <f t="shared" ref="AM130:AM193" si="34">IF(AD130,IF(BATTERY_MAX=BATTERY_MIN,1,(AE130-BATTERY_MIN)/(BATTERY_MAX-BATTERY_MIN)),"")</f>
        <v/>
      </c>
      <c r="AN130" s="9" t="str">
        <f t="shared" ref="AN130:AN193" si="35">IF(AD130,IF(DURABILITY_MAX=DURABILITY_MIN,1,(AF130-DURABILITY_MIN)/(DURABILITY_MAX-DURABILITY_MIN)),"")</f>
        <v/>
      </c>
      <c r="AO130" s="9" t="str">
        <f t="shared" ref="AO130:AO193" si="36">IF(AD130,IF(UPGRADE_MAX=UPGRADE_MIN,1,(AG130-UPGRADE_MIN)/(UPGRADE_MAX-UPGRADE_MIN)),"")</f>
        <v/>
      </c>
      <c r="AP130" s="9" t="str">
        <f t="shared" ref="AP130:AP193" si="37">IF(AD130,W_CPU*AH130+W_RAM*AI130+W_GPU*AJ130+W_SCREEN*AK130+W_WEIGHT*AL130+W_BATTERY*AM130+W_DURABILITY*AN130+W_UPGRADE*AO130,"" )</f>
        <v/>
      </c>
      <c r="AQ130" s="10" t="str">
        <f t="shared" ref="AQ130:AQ193" si="38">IF(AP130="","",AP130+ROW()*0.000000001)</f>
        <v/>
      </c>
    </row>
    <row r="131" spans="1:43">
      <c r="A131">
        <v>130</v>
      </c>
      <c r="B131" t="s">
        <v>26</v>
      </c>
      <c r="C131" t="s">
        <v>181</v>
      </c>
      <c r="D131" t="s">
        <v>182</v>
      </c>
      <c r="E131" t="s">
        <v>97</v>
      </c>
      <c r="G131" t="s">
        <v>18</v>
      </c>
      <c r="H131" s="4">
        <v>25056000</v>
      </c>
      <c r="I131" s="5">
        <v>256</v>
      </c>
      <c r="J131" s="5">
        <v>0</v>
      </c>
      <c r="K131" s="5">
        <v>8</v>
      </c>
      <c r="L131">
        <v>5.2</v>
      </c>
      <c r="M131">
        <v>3.8</v>
      </c>
      <c r="N131">
        <v>5.83</v>
      </c>
      <c r="O131" s="6">
        <v>17.3</v>
      </c>
      <c r="P131" s="7">
        <v>2.5</v>
      </c>
      <c r="U131" t="s">
        <v>84</v>
      </c>
      <c r="V131" t="s">
        <v>126</v>
      </c>
      <c r="W131">
        <v>1.6</v>
      </c>
      <c r="X131" t="s">
        <v>84</v>
      </c>
      <c r="Y131" t="s">
        <v>127</v>
      </c>
      <c r="Z131" t="s">
        <v>100</v>
      </c>
      <c r="AA131" t="s">
        <v>101</v>
      </c>
      <c r="AB131" t="s">
        <v>115</v>
      </c>
      <c r="AC131">
        <v>928</v>
      </c>
      <c r="AD131" s="8" t="b">
        <f>AND(
 H131&gt;=Filters!$B$3,
 H131&lt;=Filters!$B$4,
 I131&gt;=Filters!$B$5,
 OR(Filters!$B$6="All",B131=Filters!$B$6),
 F131&gt;=Filters!$B$7,
 F131&lt;=Filters!$B$8,
 OR(Filters!$B$9="All",G131=Filters!$B$9)
)</f>
        <v>0</v>
      </c>
      <c r="AE131">
        <f t="shared" si="26"/>
        <v>6</v>
      </c>
      <c r="AF131">
        <f t="shared" si="27"/>
        <v>7</v>
      </c>
      <c r="AG131">
        <f t="shared" si="28"/>
        <v>7</v>
      </c>
      <c r="AH131" s="9" t="str">
        <f t="shared" si="29"/>
        <v/>
      </c>
      <c r="AI131" s="9" t="str">
        <f t="shared" si="30"/>
        <v/>
      </c>
      <c r="AJ131" s="9" t="str">
        <f t="shared" si="31"/>
        <v/>
      </c>
      <c r="AK131" s="9" t="str">
        <f t="shared" si="32"/>
        <v/>
      </c>
      <c r="AL131" s="9" t="str">
        <f t="shared" si="33"/>
        <v/>
      </c>
      <c r="AM131" s="9" t="str">
        <f t="shared" si="34"/>
        <v/>
      </c>
      <c r="AN131" s="9" t="str">
        <f t="shared" si="35"/>
        <v/>
      </c>
      <c r="AO131" s="9" t="str">
        <f t="shared" si="36"/>
        <v/>
      </c>
      <c r="AP131" s="9" t="str">
        <f t="shared" si="37"/>
        <v/>
      </c>
      <c r="AQ131" s="10" t="str">
        <f t="shared" si="38"/>
        <v/>
      </c>
    </row>
    <row r="132" spans="1:43">
      <c r="A132">
        <v>131</v>
      </c>
      <c r="B132" t="s">
        <v>23</v>
      </c>
      <c r="C132" t="s">
        <v>356</v>
      </c>
      <c r="D132" t="s">
        <v>357</v>
      </c>
      <c r="E132" t="s">
        <v>97</v>
      </c>
      <c r="G132" t="s">
        <v>18</v>
      </c>
      <c r="H132" s="4">
        <v>17252730</v>
      </c>
      <c r="I132" s="5">
        <v>0</v>
      </c>
      <c r="J132" s="5">
        <v>1024</v>
      </c>
      <c r="K132" s="5">
        <v>8</v>
      </c>
      <c r="L132">
        <v>7</v>
      </c>
      <c r="M132">
        <v>6.5</v>
      </c>
      <c r="N132">
        <v>3.92</v>
      </c>
      <c r="O132" s="6">
        <v>15.6</v>
      </c>
      <c r="P132" s="7">
        <v>2.36</v>
      </c>
      <c r="U132" t="s">
        <v>84</v>
      </c>
      <c r="V132" t="s">
        <v>98</v>
      </c>
      <c r="W132">
        <v>2.5</v>
      </c>
      <c r="X132" t="s">
        <v>104</v>
      </c>
      <c r="Y132" t="s">
        <v>358</v>
      </c>
      <c r="Z132" t="s">
        <v>146</v>
      </c>
      <c r="AA132" t="s">
        <v>114</v>
      </c>
      <c r="AB132" t="s">
        <v>115</v>
      </c>
      <c r="AC132">
        <v>638.99</v>
      </c>
      <c r="AD132" s="8" t="b">
        <f>AND(
 H132&gt;=Filters!$B$3,
 H132&lt;=Filters!$B$4,
 I132&gt;=Filters!$B$5,
 OR(Filters!$B$6="All",B132=Filters!$B$6),
 F132&gt;=Filters!$B$7,
 F132&lt;=Filters!$B$8,
 OR(Filters!$B$9="All",G132=Filters!$B$9)
)</f>
        <v>0</v>
      </c>
      <c r="AE132">
        <f t="shared" si="26"/>
        <v>6</v>
      </c>
      <c r="AF132">
        <f t="shared" si="27"/>
        <v>7</v>
      </c>
      <c r="AG132">
        <f t="shared" si="28"/>
        <v>7</v>
      </c>
      <c r="AH132" s="9" t="str">
        <f t="shared" si="29"/>
        <v/>
      </c>
      <c r="AI132" s="9" t="str">
        <f t="shared" si="30"/>
        <v/>
      </c>
      <c r="AJ132" s="9" t="str">
        <f t="shared" si="31"/>
        <v/>
      </c>
      <c r="AK132" s="9" t="str">
        <f t="shared" si="32"/>
        <v/>
      </c>
      <c r="AL132" s="9" t="str">
        <f t="shared" si="33"/>
        <v/>
      </c>
      <c r="AM132" s="9" t="str">
        <f t="shared" si="34"/>
        <v/>
      </c>
      <c r="AN132" s="9" t="str">
        <f t="shared" si="35"/>
        <v/>
      </c>
      <c r="AO132" s="9" t="str">
        <f t="shared" si="36"/>
        <v/>
      </c>
      <c r="AP132" s="9" t="str">
        <f t="shared" si="37"/>
        <v/>
      </c>
      <c r="AQ132" s="10" t="str">
        <f t="shared" si="38"/>
        <v/>
      </c>
    </row>
    <row r="133" spans="1:43">
      <c r="A133">
        <v>132</v>
      </c>
      <c r="B133" t="s">
        <v>23</v>
      </c>
      <c r="C133" t="s">
        <v>132</v>
      </c>
      <c r="D133" t="s">
        <v>133</v>
      </c>
      <c r="E133" t="s">
        <v>97</v>
      </c>
      <c r="G133" t="s">
        <v>18</v>
      </c>
      <c r="H133" s="4">
        <v>12123000</v>
      </c>
      <c r="I133" s="5">
        <v>0</v>
      </c>
      <c r="J133" s="5">
        <v>1024</v>
      </c>
      <c r="K133" s="5">
        <v>4</v>
      </c>
      <c r="L133">
        <v>4</v>
      </c>
      <c r="M133">
        <v>6.5</v>
      </c>
      <c r="N133">
        <v>5.92</v>
      </c>
      <c r="O133" s="6">
        <v>15.6</v>
      </c>
      <c r="P133" s="7">
        <v>2.2000000000000002</v>
      </c>
      <c r="U133" t="s">
        <v>84</v>
      </c>
      <c r="V133" t="s">
        <v>129</v>
      </c>
      <c r="W133">
        <v>2</v>
      </c>
      <c r="X133" t="s">
        <v>104</v>
      </c>
      <c r="Y133" t="s">
        <v>134</v>
      </c>
      <c r="Z133" t="s">
        <v>146</v>
      </c>
      <c r="AA133" t="s">
        <v>101</v>
      </c>
      <c r="AB133" t="s">
        <v>115</v>
      </c>
      <c r="AC133">
        <v>449</v>
      </c>
      <c r="AD133" s="8" t="b">
        <f>AND(
 H133&gt;=Filters!$B$3,
 H133&lt;=Filters!$B$4,
 I133&gt;=Filters!$B$5,
 OR(Filters!$B$6="All",B133=Filters!$B$6),
 F133&gt;=Filters!$B$7,
 F133&lt;=Filters!$B$8,
 OR(Filters!$B$9="All",G133=Filters!$B$9)
)</f>
        <v>0</v>
      </c>
      <c r="AE133">
        <f t="shared" si="26"/>
        <v>6</v>
      </c>
      <c r="AF133">
        <f t="shared" si="27"/>
        <v>7</v>
      </c>
      <c r="AG133">
        <f t="shared" si="28"/>
        <v>7</v>
      </c>
      <c r="AH133" s="9" t="str">
        <f t="shared" si="29"/>
        <v/>
      </c>
      <c r="AI133" s="9" t="str">
        <f t="shared" si="30"/>
        <v/>
      </c>
      <c r="AJ133" s="9" t="str">
        <f t="shared" si="31"/>
        <v/>
      </c>
      <c r="AK133" s="9" t="str">
        <f t="shared" si="32"/>
        <v/>
      </c>
      <c r="AL133" s="9" t="str">
        <f t="shared" si="33"/>
        <v/>
      </c>
      <c r="AM133" s="9" t="str">
        <f t="shared" si="34"/>
        <v/>
      </c>
      <c r="AN133" s="9" t="str">
        <f t="shared" si="35"/>
        <v/>
      </c>
      <c r="AO133" s="9" t="str">
        <f t="shared" si="36"/>
        <v/>
      </c>
      <c r="AP133" s="9" t="str">
        <f t="shared" si="37"/>
        <v/>
      </c>
      <c r="AQ133" s="10" t="str">
        <f t="shared" si="38"/>
        <v/>
      </c>
    </row>
    <row r="134" spans="1:43">
      <c r="A134">
        <v>133</v>
      </c>
      <c r="B134" t="s">
        <v>17</v>
      </c>
      <c r="C134" t="s">
        <v>124</v>
      </c>
      <c r="D134" t="s">
        <v>125</v>
      </c>
      <c r="E134" t="s">
        <v>83</v>
      </c>
      <c r="G134" t="s">
        <v>18</v>
      </c>
      <c r="H134" s="4">
        <v>23868000</v>
      </c>
      <c r="I134" s="5">
        <v>256</v>
      </c>
      <c r="J134" s="5">
        <v>0</v>
      </c>
      <c r="K134" s="5">
        <v>8</v>
      </c>
      <c r="L134">
        <v>7.6</v>
      </c>
      <c r="M134">
        <v>3.8</v>
      </c>
      <c r="N134">
        <v>6.4</v>
      </c>
      <c r="O134" s="6">
        <v>14</v>
      </c>
      <c r="P134" s="7">
        <v>1.6</v>
      </c>
      <c r="U134" t="s">
        <v>84</v>
      </c>
      <c r="V134" t="s">
        <v>121</v>
      </c>
      <c r="W134">
        <v>1.8</v>
      </c>
      <c r="X134" t="s">
        <v>84</v>
      </c>
      <c r="Y134" t="s">
        <v>127</v>
      </c>
      <c r="Z134" t="s">
        <v>100</v>
      </c>
      <c r="AA134" t="s">
        <v>128</v>
      </c>
      <c r="AB134" t="s">
        <v>115</v>
      </c>
      <c r="AC134">
        <v>884</v>
      </c>
      <c r="AD134" s="8" t="b">
        <f>AND(
 H134&gt;=Filters!$B$3,
 H134&lt;=Filters!$B$4,
 I134&gt;=Filters!$B$5,
 OR(Filters!$B$6="All",B134=Filters!$B$6),
 F134&gt;=Filters!$B$7,
 F134&lt;=Filters!$B$8,
 OR(Filters!$B$9="All",G134=Filters!$B$9)
)</f>
        <v>1</v>
      </c>
      <c r="AE134">
        <f t="shared" si="26"/>
        <v>6</v>
      </c>
      <c r="AF134">
        <f t="shared" si="27"/>
        <v>7</v>
      </c>
      <c r="AG134">
        <f t="shared" si="28"/>
        <v>7</v>
      </c>
      <c r="AH134" s="9">
        <f t="shared" si="29"/>
        <v>0.76190476190476186</v>
      </c>
      <c r="AI134" s="9">
        <f t="shared" si="30"/>
        <v>0.80952380952380942</v>
      </c>
      <c r="AJ134" s="9">
        <f t="shared" si="31"/>
        <v>0.30952380952380948</v>
      </c>
      <c r="AK134" s="9">
        <f t="shared" si="32"/>
        <v>0.61904761904761907</v>
      </c>
      <c r="AL134" s="9">
        <f t="shared" si="33"/>
        <v>0.95238095238095233</v>
      </c>
      <c r="AM134" s="9">
        <f t="shared" si="34"/>
        <v>0.5714285714285714</v>
      </c>
      <c r="AN134" s="9">
        <f t="shared" si="35"/>
        <v>0.69047619047619047</v>
      </c>
      <c r="AO134" s="9">
        <f t="shared" si="36"/>
        <v>0.69047619047619047</v>
      </c>
      <c r="AP134" s="9">
        <f t="shared" si="37"/>
        <v>0.69271179190037635</v>
      </c>
      <c r="AQ134" s="10">
        <f t="shared" si="38"/>
        <v>0.69271192590037634</v>
      </c>
    </row>
    <row r="135" spans="1:43">
      <c r="A135">
        <v>134</v>
      </c>
      <c r="B135" t="s">
        <v>17</v>
      </c>
      <c r="C135" t="s">
        <v>359</v>
      </c>
      <c r="D135" t="s">
        <v>360</v>
      </c>
      <c r="E135" t="s">
        <v>97</v>
      </c>
      <c r="G135" t="s">
        <v>18</v>
      </c>
      <c r="H135" s="4">
        <v>15444000</v>
      </c>
      <c r="I135" s="5">
        <v>256</v>
      </c>
      <c r="J135" s="5">
        <v>0</v>
      </c>
      <c r="K135" s="5">
        <v>4</v>
      </c>
      <c r="L135">
        <v>5.4</v>
      </c>
      <c r="M135">
        <v>6.5</v>
      </c>
      <c r="N135">
        <v>5.92</v>
      </c>
      <c r="O135" s="6">
        <v>15.6</v>
      </c>
      <c r="P135" s="7">
        <v>2.2000000000000002</v>
      </c>
      <c r="U135" t="s">
        <v>84</v>
      </c>
      <c r="V135" t="s">
        <v>200</v>
      </c>
      <c r="W135">
        <v>2.7</v>
      </c>
      <c r="X135" t="s">
        <v>122</v>
      </c>
      <c r="Y135" t="s">
        <v>286</v>
      </c>
      <c r="Z135" t="s">
        <v>100</v>
      </c>
      <c r="AA135" t="s">
        <v>101</v>
      </c>
      <c r="AB135" t="s">
        <v>115</v>
      </c>
      <c r="AC135">
        <v>572</v>
      </c>
      <c r="AD135" s="8" t="b">
        <f>AND(
 H135&gt;=Filters!$B$3,
 H135&lt;=Filters!$B$4,
 I135&gt;=Filters!$B$5,
 OR(Filters!$B$6="All",B135=Filters!$B$6),
 F135&gt;=Filters!$B$7,
 F135&lt;=Filters!$B$8,
 OR(Filters!$B$9="All",G135=Filters!$B$9)
)</f>
        <v>1</v>
      </c>
      <c r="AE135">
        <f t="shared" si="26"/>
        <v>6</v>
      </c>
      <c r="AF135">
        <f t="shared" si="27"/>
        <v>7</v>
      </c>
      <c r="AG135">
        <f t="shared" si="28"/>
        <v>7</v>
      </c>
      <c r="AH135" s="9">
        <f t="shared" si="29"/>
        <v>0.5</v>
      </c>
      <c r="AI135" s="9">
        <f t="shared" si="30"/>
        <v>0.33333333333333331</v>
      </c>
      <c r="AJ135" s="9">
        <f t="shared" si="31"/>
        <v>0.63095238095238093</v>
      </c>
      <c r="AK135" s="9">
        <f t="shared" si="32"/>
        <v>0.56190476190476191</v>
      </c>
      <c r="AL135" s="9">
        <f t="shared" si="33"/>
        <v>0.88095238095238082</v>
      </c>
      <c r="AM135" s="9">
        <f t="shared" si="34"/>
        <v>0.5714285714285714</v>
      </c>
      <c r="AN135" s="9">
        <f t="shared" si="35"/>
        <v>0.69047619047619047</v>
      </c>
      <c r="AO135" s="9">
        <f t="shared" si="36"/>
        <v>0.69047619047619047</v>
      </c>
      <c r="AP135" s="9">
        <f t="shared" si="37"/>
        <v>0.56410990411778206</v>
      </c>
      <c r="AQ135" s="10">
        <f t="shared" si="38"/>
        <v>0.56411003911778201</v>
      </c>
    </row>
    <row r="136" spans="1:43">
      <c r="A136">
        <v>135</v>
      </c>
      <c r="B136" t="s">
        <v>26</v>
      </c>
      <c r="C136" t="s">
        <v>361</v>
      </c>
      <c r="D136" t="s">
        <v>362</v>
      </c>
      <c r="E136" t="s">
        <v>97</v>
      </c>
      <c r="G136" t="s">
        <v>18</v>
      </c>
      <c r="H136" s="4">
        <v>16146000</v>
      </c>
      <c r="I136" s="5">
        <v>0</v>
      </c>
      <c r="J136" s="5">
        <v>1024</v>
      </c>
      <c r="K136" s="5">
        <v>8</v>
      </c>
      <c r="L136">
        <v>9.4</v>
      </c>
      <c r="M136">
        <v>3.5</v>
      </c>
      <c r="N136">
        <v>3.92</v>
      </c>
      <c r="O136" s="6">
        <v>15.6</v>
      </c>
      <c r="P136" s="7">
        <v>2.0499999999999998</v>
      </c>
      <c r="U136" t="s">
        <v>84</v>
      </c>
      <c r="V136" t="s">
        <v>140</v>
      </c>
      <c r="W136">
        <v>2.7</v>
      </c>
      <c r="X136" t="s">
        <v>84</v>
      </c>
      <c r="Y136" t="s">
        <v>99</v>
      </c>
      <c r="Z136" t="s">
        <v>146</v>
      </c>
      <c r="AA136" t="s">
        <v>114</v>
      </c>
      <c r="AB136" t="s">
        <v>115</v>
      </c>
      <c r="AC136">
        <v>598</v>
      </c>
      <c r="AD136" s="8" t="b">
        <f>AND(
 H136&gt;=Filters!$B$3,
 H136&lt;=Filters!$B$4,
 I136&gt;=Filters!$B$5,
 OR(Filters!$B$6="All",B136=Filters!$B$6),
 F136&gt;=Filters!$B$7,
 F136&lt;=Filters!$B$8,
 OR(Filters!$B$9="All",G136=Filters!$B$9)
)</f>
        <v>0</v>
      </c>
      <c r="AE136">
        <f t="shared" si="26"/>
        <v>6</v>
      </c>
      <c r="AF136">
        <f t="shared" si="27"/>
        <v>7</v>
      </c>
      <c r="AG136">
        <f t="shared" si="28"/>
        <v>7</v>
      </c>
      <c r="AH136" s="9" t="str">
        <f t="shared" si="29"/>
        <v/>
      </c>
      <c r="AI136" s="9" t="str">
        <f t="shared" si="30"/>
        <v/>
      </c>
      <c r="AJ136" s="9" t="str">
        <f t="shared" si="31"/>
        <v/>
      </c>
      <c r="AK136" s="9" t="str">
        <f t="shared" si="32"/>
        <v/>
      </c>
      <c r="AL136" s="9" t="str">
        <f t="shared" si="33"/>
        <v/>
      </c>
      <c r="AM136" s="9" t="str">
        <f t="shared" si="34"/>
        <v/>
      </c>
      <c r="AN136" s="9" t="str">
        <f t="shared" si="35"/>
        <v/>
      </c>
      <c r="AO136" s="9" t="str">
        <f t="shared" si="36"/>
        <v/>
      </c>
      <c r="AP136" s="9" t="str">
        <f t="shared" si="37"/>
        <v/>
      </c>
      <c r="AQ136" s="10" t="str">
        <f t="shared" si="38"/>
        <v/>
      </c>
    </row>
    <row r="137" spans="1:43">
      <c r="A137">
        <v>136</v>
      </c>
      <c r="B137" t="s">
        <v>26</v>
      </c>
      <c r="C137" t="s">
        <v>336</v>
      </c>
      <c r="D137" t="s">
        <v>337</v>
      </c>
      <c r="E137" t="s">
        <v>97</v>
      </c>
      <c r="G137" t="s">
        <v>18</v>
      </c>
      <c r="H137" s="4">
        <v>26676000</v>
      </c>
      <c r="I137" s="5">
        <v>256</v>
      </c>
      <c r="J137" s="5">
        <v>0</v>
      </c>
      <c r="K137" s="5">
        <v>8</v>
      </c>
      <c r="L137">
        <v>7.6</v>
      </c>
      <c r="M137">
        <v>3.8</v>
      </c>
      <c r="N137">
        <v>6</v>
      </c>
      <c r="O137" s="6">
        <v>14</v>
      </c>
      <c r="P137" s="7">
        <v>1.63</v>
      </c>
      <c r="U137" t="s">
        <v>84</v>
      </c>
      <c r="V137" t="s">
        <v>121</v>
      </c>
      <c r="W137">
        <v>1.8</v>
      </c>
      <c r="X137" t="s">
        <v>84</v>
      </c>
      <c r="Y137" t="s">
        <v>127</v>
      </c>
      <c r="Z137" t="s">
        <v>100</v>
      </c>
      <c r="AA137" t="s">
        <v>101</v>
      </c>
      <c r="AB137" t="s">
        <v>115</v>
      </c>
      <c r="AC137">
        <v>988</v>
      </c>
      <c r="AD137" s="8" t="b">
        <f>AND(
 H137&gt;=Filters!$B$3,
 H137&lt;=Filters!$B$4,
 I137&gt;=Filters!$B$5,
 OR(Filters!$B$6="All",B137=Filters!$B$6),
 F137&gt;=Filters!$B$7,
 F137&lt;=Filters!$B$8,
 OR(Filters!$B$9="All",G137=Filters!$B$9)
)</f>
        <v>0</v>
      </c>
      <c r="AE137">
        <f t="shared" si="26"/>
        <v>6</v>
      </c>
      <c r="AF137">
        <f t="shared" si="27"/>
        <v>7</v>
      </c>
      <c r="AG137">
        <f t="shared" si="28"/>
        <v>7</v>
      </c>
      <c r="AH137" s="9" t="str">
        <f t="shared" si="29"/>
        <v/>
      </c>
      <c r="AI137" s="9" t="str">
        <f t="shared" si="30"/>
        <v/>
      </c>
      <c r="AJ137" s="9" t="str">
        <f t="shared" si="31"/>
        <v/>
      </c>
      <c r="AK137" s="9" t="str">
        <f t="shared" si="32"/>
        <v/>
      </c>
      <c r="AL137" s="9" t="str">
        <f t="shared" si="33"/>
        <v/>
      </c>
      <c r="AM137" s="9" t="str">
        <f t="shared" si="34"/>
        <v/>
      </c>
      <c r="AN137" s="9" t="str">
        <f t="shared" si="35"/>
        <v/>
      </c>
      <c r="AO137" s="9" t="str">
        <f t="shared" si="36"/>
        <v/>
      </c>
      <c r="AP137" s="9" t="str">
        <f t="shared" si="37"/>
        <v/>
      </c>
      <c r="AQ137" s="10" t="str">
        <f t="shared" si="38"/>
        <v/>
      </c>
    </row>
    <row r="138" spans="1:43">
      <c r="A138">
        <v>137</v>
      </c>
      <c r="B138" t="s">
        <v>29</v>
      </c>
      <c r="C138" t="s">
        <v>363</v>
      </c>
      <c r="D138" t="s">
        <v>364</v>
      </c>
      <c r="E138" t="s">
        <v>97</v>
      </c>
      <c r="G138" t="s">
        <v>18</v>
      </c>
      <c r="H138" s="4">
        <v>6813720</v>
      </c>
      <c r="I138" s="5">
        <v>0</v>
      </c>
      <c r="J138" s="5">
        <v>1024</v>
      </c>
      <c r="K138" s="5">
        <v>4</v>
      </c>
      <c r="L138">
        <v>1</v>
      </c>
      <c r="M138">
        <v>3.5</v>
      </c>
      <c r="N138">
        <v>3.92</v>
      </c>
      <c r="O138" s="6">
        <v>15.6</v>
      </c>
      <c r="P138" s="7">
        <v>1.9</v>
      </c>
      <c r="U138" t="s">
        <v>84</v>
      </c>
      <c r="V138" t="s">
        <v>198</v>
      </c>
      <c r="W138">
        <v>1.1000000000000001</v>
      </c>
      <c r="X138" t="s">
        <v>84</v>
      </c>
      <c r="Y138" t="s">
        <v>199</v>
      </c>
      <c r="Z138" t="s">
        <v>146</v>
      </c>
      <c r="AA138" t="s">
        <v>114</v>
      </c>
      <c r="AB138" t="s">
        <v>102</v>
      </c>
      <c r="AC138">
        <v>252.36</v>
      </c>
      <c r="AD138" s="8" t="b">
        <f>AND(
 H138&gt;=Filters!$B$3,
 H138&lt;=Filters!$B$4,
 I138&gt;=Filters!$B$5,
 OR(Filters!$B$6="All",B138=Filters!$B$6),
 F138&gt;=Filters!$B$7,
 F138&lt;=Filters!$B$8,
 OR(Filters!$B$9="All",G138=Filters!$B$9)
)</f>
        <v>0</v>
      </c>
      <c r="AE138">
        <f t="shared" si="26"/>
        <v>6</v>
      </c>
      <c r="AF138">
        <f t="shared" si="27"/>
        <v>7</v>
      </c>
      <c r="AG138">
        <f t="shared" si="28"/>
        <v>7</v>
      </c>
      <c r="AH138" s="9" t="str">
        <f t="shared" si="29"/>
        <v/>
      </c>
      <c r="AI138" s="9" t="str">
        <f t="shared" si="30"/>
        <v/>
      </c>
      <c r="AJ138" s="9" t="str">
        <f t="shared" si="31"/>
        <v/>
      </c>
      <c r="AK138" s="9" t="str">
        <f t="shared" si="32"/>
        <v/>
      </c>
      <c r="AL138" s="9" t="str">
        <f t="shared" si="33"/>
        <v/>
      </c>
      <c r="AM138" s="9" t="str">
        <f t="shared" si="34"/>
        <v/>
      </c>
      <c r="AN138" s="9" t="str">
        <f t="shared" si="35"/>
        <v/>
      </c>
      <c r="AO138" s="9" t="str">
        <f t="shared" si="36"/>
        <v/>
      </c>
      <c r="AP138" s="9" t="str">
        <f t="shared" si="37"/>
        <v/>
      </c>
      <c r="AQ138" s="10" t="str">
        <f t="shared" si="38"/>
        <v/>
      </c>
    </row>
    <row r="139" spans="1:43">
      <c r="A139">
        <v>138</v>
      </c>
      <c r="B139" t="s">
        <v>21</v>
      </c>
      <c r="C139" t="s">
        <v>365</v>
      </c>
      <c r="D139" t="s">
        <v>366</v>
      </c>
      <c r="E139" t="s">
        <v>158</v>
      </c>
      <c r="G139" t="s">
        <v>18</v>
      </c>
      <c r="H139" s="4">
        <v>25326000</v>
      </c>
      <c r="I139" s="5">
        <v>128</v>
      </c>
      <c r="J139" s="5">
        <v>1024</v>
      </c>
      <c r="K139" s="5">
        <v>8</v>
      </c>
      <c r="L139">
        <v>7</v>
      </c>
      <c r="M139">
        <v>9.1999999999999993</v>
      </c>
      <c r="N139">
        <v>5.83</v>
      </c>
      <c r="O139" s="6">
        <v>17.3</v>
      </c>
      <c r="P139" s="7">
        <v>3</v>
      </c>
      <c r="U139" t="s">
        <v>84</v>
      </c>
      <c r="V139" t="s">
        <v>159</v>
      </c>
      <c r="W139">
        <v>2.5</v>
      </c>
      <c r="X139" t="s">
        <v>122</v>
      </c>
      <c r="Y139" t="s">
        <v>160</v>
      </c>
      <c r="Z139" t="s">
        <v>161</v>
      </c>
      <c r="AA139" t="s">
        <v>101</v>
      </c>
      <c r="AB139" t="s">
        <v>115</v>
      </c>
      <c r="AC139">
        <v>938</v>
      </c>
      <c r="AD139" s="8" t="b">
        <f>AND(
 H139&gt;=Filters!$B$3,
 H139&lt;=Filters!$B$4,
 I139&gt;=Filters!$B$5,
 OR(Filters!$B$6="All",B139=Filters!$B$6),
 F139&gt;=Filters!$B$7,
 F139&lt;=Filters!$B$8,
 OR(Filters!$B$9="All",G139=Filters!$B$9)
)</f>
        <v>0</v>
      </c>
      <c r="AE139">
        <f t="shared" si="26"/>
        <v>6</v>
      </c>
      <c r="AF139">
        <f t="shared" si="27"/>
        <v>7</v>
      </c>
      <c r="AG139">
        <f t="shared" si="28"/>
        <v>7</v>
      </c>
      <c r="AH139" s="9" t="str">
        <f t="shared" si="29"/>
        <v/>
      </c>
      <c r="AI139" s="9" t="str">
        <f t="shared" si="30"/>
        <v/>
      </c>
      <c r="AJ139" s="9" t="str">
        <f t="shared" si="31"/>
        <v/>
      </c>
      <c r="AK139" s="9" t="str">
        <f t="shared" si="32"/>
        <v/>
      </c>
      <c r="AL139" s="9" t="str">
        <f t="shared" si="33"/>
        <v/>
      </c>
      <c r="AM139" s="9" t="str">
        <f t="shared" si="34"/>
        <v/>
      </c>
      <c r="AN139" s="9" t="str">
        <f t="shared" si="35"/>
        <v/>
      </c>
      <c r="AO139" s="9" t="str">
        <f t="shared" si="36"/>
        <v/>
      </c>
      <c r="AP139" s="9" t="str">
        <f t="shared" si="37"/>
        <v/>
      </c>
      <c r="AQ139" s="10" t="str">
        <f t="shared" si="38"/>
        <v/>
      </c>
    </row>
    <row r="140" spans="1:43">
      <c r="A140">
        <v>139</v>
      </c>
      <c r="B140" t="s">
        <v>29</v>
      </c>
      <c r="C140" t="s">
        <v>281</v>
      </c>
      <c r="D140" t="s">
        <v>282</v>
      </c>
      <c r="E140" t="s">
        <v>97</v>
      </c>
      <c r="G140" t="s">
        <v>18</v>
      </c>
      <c r="H140" s="4">
        <v>13473000</v>
      </c>
      <c r="I140" s="5">
        <v>0</v>
      </c>
      <c r="J140" s="5">
        <v>1024</v>
      </c>
      <c r="K140" s="5">
        <v>4</v>
      </c>
      <c r="L140">
        <v>7</v>
      </c>
      <c r="M140">
        <v>6.5</v>
      </c>
      <c r="N140">
        <v>5.92</v>
      </c>
      <c r="O140" s="6">
        <v>15.6</v>
      </c>
      <c r="P140" s="7">
        <v>2.2000000000000002</v>
      </c>
      <c r="U140" t="s">
        <v>84</v>
      </c>
      <c r="V140" t="s">
        <v>98</v>
      </c>
      <c r="W140">
        <v>2.5</v>
      </c>
      <c r="X140" t="s">
        <v>122</v>
      </c>
      <c r="Y140" t="s">
        <v>230</v>
      </c>
      <c r="Z140" t="s">
        <v>146</v>
      </c>
      <c r="AA140" t="s">
        <v>101</v>
      </c>
      <c r="AB140" t="s">
        <v>102</v>
      </c>
      <c r="AC140">
        <v>499</v>
      </c>
      <c r="AD140" s="8" t="b">
        <f>AND(
 H140&gt;=Filters!$B$3,
 H140&lt;=Filters!$B$4,
 I140&gt;=Filters!$B$5,
 OR(Filters!$B$6="All",B140=Filters!$B$6),
 F140&gt;=Filters!$B$7,
 F140&lt;=Filters!$B$8,
 OR(Filters!$B$9="All",G140=Filters!$B$9)
)</f>
        <v>0</v>
      </c>
      <c r="AE140">
        <f t="shared" si="26"/>
        <v>6</v>
      </c>
      <c r="AF140">
        <f t="shared" si="27"/>
        <v>7</v>
      </c>
      <c r="AG140">
        <f t="shared" si="28"/>
        <v>7</v>
      </c>
      <c r="AH140" s="9" t="str">
        <f t="shared" si="29"/>
        <v/>
      </c>
      <c r="AI140" s="9" t="str">
        <f t="shared" si="30"/>
        <v/>
      </c>
      <c r="AJ140" s="9" t="str">
        <f t="shared" si="31"/>
        <v/>
      </c>
      <c r="AK140" s="9" t="str">
        <f t="shared" si="32"/>
        <v/>
      </c>
      <c r="AL140" s="9" t="str">
        <f t="shared" si="33"/>
        <v/>
      </c>
      <c r="AM140" s="9" t="str">
        <f t="shared" si="34"/>
        <v/>
      </c>
      <c r="AN140" s="9" t="str">
        <f t="shared" si="35"/>
        <v/>
      </c>
      <c r="AO140" s="9" t="str">
        <f t="shared" si="36"/>
        <v/>
      </c>
      <c r="AP140" s="9" t="str">
        <f t="shared" si="37"/>
        <v/>
      </c>
      <c r="AQ140" s="10" t="str">
        <f t="shared" si="38"/>
        <v/>
      </c>
    </row>
    <row r="141" spans="1:43">
      <c r="A141">
        <v>140</v>
      </c>
      <c r="B141" t="s">
        <v>26</v>
      </c>
      <c r="C141" t="s">
        <v>367</v>
      </c>
      <c r="D141" t="s">
        <v>368</v>
      </c>
      <c r="E141" t="s">
        <v>97</v>
      </c>
      <c r="G141" t="s">
        <v>18</v>
      </c>
      <c r="H141" s="4">
        <v>18873000</v>
      </c>
      <c r="I141" s="5">
        <v>256</v>
      </c>
      <c r="J141" s="5">
        <v>0</v>
      </c>
      <c r="K141" s="5">
        <v>4</v>
      </c>
      <c r="L141">
        <v>7</v>
      </c>
      <c r="M141">
        <v>3.5</v>
      </c>
      <c r="N141">
        <v>6.37</v>
      </c>
      <c r="O141" s="6">
        <v>13.3</v>
      </c>
      <c r="P141" s="7">
        <v>1.32</v>
      </c>
      <c r="U141" t="s">
        <v>84</v>
      </c>
      <c r="V141" t="s">
        <v>98</v>
      </c>
      <c r="W141">
        <v>2.5</v>
      </c>
      <c r="X141" t="s">
        <v>84</v>
      </c>
      <c r="Y141" t="s">
        <v>99</v>
      </c>
      <c r="Z141" t="s">
        <v>100</v>
      </c>
      <c r="AA141" t="s">
        <v>128</v>
      </c>
      <c r="AB141" t="s">
        <v>115</v>
      </c>
      <c r="AC141">
        <v>699</v>
      </c>
      <c r="AD141" s="8" t="b">
        <f>AND(
 H141&gt;=Filters!$B$3,
 H141&lt;=Filters!$B$4,
 I141&gt;=Filters!$B$5,
 OR(Filters!$B$6="All",B141=Filters!$B$6),
 F141&gt;=Filters!$B$7,
 F141&lt;=Filters!$B$8,
 OR(Filters!$B$9="All",G141=Filters!$B$9)
)</f>
        <v>1</v>
      </c>
      <c r="AE141">
        <f t="shared" si="26"/>
        <v>6</v>
      </c>
      <c r="AF141">
        <f t="shared" si="27"/>
        <v>7</v>
      </c>
      <c r="AG141">
        <f t="shared" si="28"/>
        <v>7</v>
      </c>
      <c r="AH141" s="9">
        <f t="shared" si="29"/>
        <v>0.69047619047619047</v>
      </c>
      <c r="AI141" s="9">
        <f t="shared" si="30"/>
        <v>0.33333333333333331</v>
      </c>
      <c r="AJ141" s="9">
        <f t="shared" si="31"/>
        <v>0.27380952380952378</v>
      </c>
      <c r="AK141" s="9">
        <f t="shared" si="32"/>
        <v>0.6154761904761904</v>
      </c>
      <c r="AL141" s="9">
        <f t="shared" si="33"/>
        <v>0.98571428571428554</v>
      </c>
      <c r="AM141" s="9">
        <f t="shared" si="34"/>
        <v>0.5714285714285714</v>
      </c>
      <c r="AN141" s="9">
        <f t="shared" si="35"/>
        <v>0.69047619047619047</v>
      </c>
      <c r="AO141" s="9">
        <f t="shared" si="36"/>
        <v>0.69047619047619047</v>
      </c>
      <c r="AP141" s="9">
        <f t="shared" si="37"/>
        <v>0.59013216519486356</v>
      </c>
      <c r="AQ141" s="10">
        <f t="shared" si="38"/>
        <v>0.59013230619486357</v>
      </c>
    </row>
    <row r="142" spans="1:43">
      <c r="A142">
        <v>141</v>
      </c>
      <c r="B142" t="s">
        <v>17</v>
      </c>
      <c r="C142" t="s">
        <v>301</v>
      </c>
      <c r="D142" t="s">
        <v>302</v>
      </c>
      <c r="E142" t="s">
        <v>97</v>
      </c>
      <c r="G142" t="s">
        <v>18</v>
      </c>
      <c r="H142" s="4">
        <v>17685000</v>
      </c>
      <c r="I142" s="5">
        <v>0</v>
      </c>
      <c r="J142" s="5">
        <v>1024</v>
      </c>
      <c r="K142" s="5">
        <v>4</v>
      </c>
      <c r="L142">
        <v>5.4</v>
      </c>
      <c r="M142">
        <v>6.5</v>
      </c>
      <c r="N142">
        <v>6.24</v>
      </c>
      <c r="O142" s="6">
        <v>17.3</v>
      </c>
      <c r="P142" s="7">
        <v>3</v>
      </c>
      <c r="U142" t="s">
        <v>84</v>
      </c>
      <c r="V142" t="s">
        <v>200</v>
      </c>
      <c r="W142">
        <v>2.7</v>
      </c>
      <c r="X142" t="s">
        <v>122</v>
      </c>
      <c r="Y142" t="s">
        <v>286</v>
      </c>
      <c r="Z142" t="s">
        <v>146</v>
      </c>
      <c r="AA142" t="s">
        <v>128</v>
      </c>
      <c r="AB142" t="s">
        <v>115</v>
      </c>
      <c r="AC142">
        <v>655</v>
      </c>
      <c r="AD142" s="8" t="b">
        <f>AND(
 H142&gt;=Filters!$B$3,
 H142&lt;=Filters!$B$4,
 I142&gt;=Filters!$B$5,
 OR(Filters!$B$6="All",B142=Filters!$B$6),
 F142&gt;=Filters!$B$7,
 F142&lt;=Filters!$B$8,
 OR(Filters!$B$9="All",G142=Filters!$B$9)
)</f>
        <v>0</v>
      </c>
      <c r="AE142">
        <f t="shared" si="26"/>
        <v>6</v>
      </c>
      <c r="AF142">
        <f t="shared" si="27"/>
        <v>7</v>
      </c>
      <c r="AG142">
        <f t="shared" si="28"/>
        <v>7</v>
      </c>
      <c r="AH142" s="9" t="str">
        <f t="shared" si="29"/>
        <v/>
      </c>
      <c r="AI142" s="9" t="str">
        <f t="shared" si="30"/>
        <v/>
      </c>
      <c r="AJ142" s="9" t="str">
        <f t="shared" si="31"/>
        <v/>
      </c>
      <c r="AK142" s="9" t="str">
        <f t="shared" si="32"/>
        <v/>
      </c>
      <c r="AL142" s="9" t="str">
        <f t="shared" si="33"/>
        <v/>
      </c>
      <c r="AM142" s="9" t="str">
        <f t="shared" si="34"/>
        <v/>
      </c>
      <c r="AN142" s="9" t="str">
        <f t="shared" si="35"/>
        <v/>
      </c>
      <c r="AO142" s="9" t="str">
        <f t="shared" si="36"/>
        <v/>
      </c>
      <c r="AP142" s="9" t="str">
        <f t="shared" si="37"/>
        <v/>
      </c>
      <c r="AQ142" s="10" t="str">
        <f t="shared" si="38"/>
        <v/>
      </c>
    </row>
    <row r="143" spans="1:43">
      <c r="A143">
        <v>142</v>
      </c>
      <c r="B143" t="s">
        <v>29</v>
      </c>
      <c r="C143" t="s">
        <v>369</v>
      </c>
      <c r="D143" t="s">
        <v>370</v>
      </c>
      <c r="E143" t="s">
        <v>97</v>
      </c>
      <c r="G143" t="s">
        <v>18</v>
      </c>
      <c r="H143" s="4">
        <v>30132540</v>
      </c>
      <c r="I143" s="5">
        <v>256</v>
      </c>
      <c r="J143" s="5">
        <v>0</v>
      </c>
      <c r="K143" s="5">
        <v>8</v>
      </c>
      <c r="L143">
        <v>5.2</v>
      </c>
      <c r="M143">
        <v>8</v>
      </c>
      <c r="N143">
        <v>6.4</v>
      </c>
      <c r="O143" s="6">
        <v>14</v>
      </c>
      <c r="P143" s="7">
        <v>1.75</v>
      </c>
      <c r="U143" t="s">
        <v>84</v>
      </c>
      <c r="V143" t="s">
        <v>126</v>
      </c>
      <c r="W143">
        <v>1.6</v>
      </c>
      <c r="X143" t="s">
        <v>104</v>
      </c>
      <c r="Y143" t="s">
        <v>371</v>
      </c>
      <c r="Z143" t="s">
        <v>100</v>
      </c>
      <c r="AA143" t="s">
        <v>128</v>
      </c>
      <c r="AB143" t="s">
        <v>115</v>
      </c>
      <c r="AC143">
        <v>1116.02</v>
      </c>
      <c r="AD143" s="8" t="b">
        <f>AND(
 H143&gt;=Filters!$B$3,
 H143&lt;=Filters!$B$4,
 I143&gt;=Filters!$B$5,
 OR(Filters!$B$6="All",B143=Filters!$B$6),
 F143&gt;=Filters!$B$7,
 F143&lt;=Filters!$B$8,
 OR(Filters!$B$9="All",G143=Filters!$B$9)
)</f>
        <v>0</v>
      </c>
      <c r="AE143">
        <f t="shared" si="26"/>
        <v>6</v>
      </c>
      <c r="AF143">
        <f t="shared" si="27"/>
        <v>7</v>
      </c>
      <c r="AG143">
        <f t="shared" si="28"/>
        <v>7</v>
      </c>
      <c r="AH143" s="9" t="str">
        <f t="shared" si="29"/>
        <v/>
      </c>
      <c r="AI143" s="9" t="str">
        <f t="shared" si="30"/>
        <v/>
      </c>
      <c r="AJ143" s="9" t="str">
        <f t="shared" si="31"/>
        <v/>
      </c>
      <c r="AK143" s="9" t="str">
        <f t="shared" si="32"/>
        <v/>
      </c>
      <c r="AL143" s="9" t="str">
        <f t="shared" si="33"/>
        <v/>
      </c>
      <c r="AM143" s="9" t="str">
        <f t="shared" si="34"/>
        <v/>
      </c>
      <c r="AN143" s="9" t="str">
        <f t="shared" si="35"/>
        <v/>
      </c>
      <c r="AO143" s="9" t="str">
        <f t="shared" si="36"/>
        <v/>
      </c>
      <c r="AP143" s="9" t="str">
        <f t="shared" si="37"/>
        <v/>
      </c>
      <c r="AQ143" s="10" t="str">
        <f t="shared" si="38"/>
        <v/>
      </c>
    </row>
    <row r="144" spans="1:43">
      <c r="A144">
        <v>143</v>
      </c>
      <c r="B144" t="s">
        <v>29</v>
      </c>
      <c r="C144" t="s">
        <v>156</v>
      </c>
      <c r="D144" t="s">
        <v>157</v>
      </c>
      <c r="E144" t="s">
        <v>158</v>
      </c>
      <c r="G144" t="s">
        <v>18</v>
      </c>
      <c r="H144" s="4">
        <v>23463000</v>
      </c>
      <c r="I144" s="5">
        <v>256</v>
      </c>
      <c r="J144" s="5">
        <v>0</v>
      </c>
      <c r="K144" s="5">
        <v>8</v>
      </c>
      <c r="L144">
        <v>9.6</v>
      </c>
      <c r="M144">
        <v>9.1999999999999993</v>
      </c>
      <c r="N144">
        <v>6.32</v>
      </c>
      <c r="O144" s="6">
        <v>15.6</v>
      </c>
      <c r="P144" s="7">
        <v>2.4</v>
      </c>
      <c r="U144" t="s">
        <v>84</v>
      </c>
      <c r="V144" t="s">
        <v>210</v>
      </c>
      <c r="W144">
        <v>2.8</v>
      </c>
      <c r="X144" t="s">
        <v>122</v>
      </c>
      <c r="Y144" t="s">
        <v>372</v>
      </c>
      <c r="Z144" t="s">
        <v>100</v>
      </c>
      <c r="AA144" t="s">
        <v>128</v>
      </c>
      <c r="AB144" t="s">
        <v>102</v>
      </c>
      <c r="AC144">
        <v>869</v>
      </c>
      <c r="AD144" s="8" t="b">
        <f>AND(
 H144&gt;=Filters!$B$3,
 H144&lt;=Filters!$B$4,
 I144&gt;=Filters!$B$5,
 OR(Filters!$B$6="All",B144=Filters!$B$6),
 F144&gt;=Filters!$B$7,
 F144&lt;=Filters!$B$8,
 OR(Filters!$B$9="All",G144=Filters!$B$9)
)</f>
        <v>1</v>
      </c>
      <c r="AE144">
        <f t="shared" si="26"/>
        <v>6</v>
      </c>
      <c r="AF144">
        <f t="shared" si="27"/>
        <v>7</v>
      </c>
      <c r="AG144">
        <f t="shared" si="28"/>
        <v>7</v>
      </c>
      <c r="AH144" s="9">
        <f t="shared" si="29"/>
        <v>1</v>
      </c>
      <c r="AI144" s="9">
        <f t="shared" si="30"/>
        <v>0.80952380952380942</v>
      </c>
      <c r="AJ144" s="9">
        <f t="shared" si="31"/>
        <v>0.95238095238095222</v>
      </c>
      <c r="AK144" s="9">
        <f t="shared" si="32"/>
        <v>0.60952380952380947</v>
      </c>
      <c r="AL144" s="9">
        <f t="shared" si="33"/>
        <v>0.85714285714285698</v>
      </c>
      <c r="AM144" s="9">
        <f t="shared" si="34"/>
        <v>0.5714285714285714</v>
      </c>
      <c r="AN144" s="9">
        <f t="shared" si="35"/>
        <v>0.69047619047619047</v>
      </c>
      <c r="AO144" s="9">
        <f t="shared" si="36"/>
        <v>0.69047619047619047</v>
      </c>
      <c r="AP144" s="9">
        <f t="shared" si="37"/>
        <v>0.77910761081427382</v>
      </c>
      <c r="AQ144" s="10">
        <f t="shared" si="38"/>
        <v>0.77910775481427386</v>
      </c>
    </row>
    <row r="145" spans="1:43">
      <c r="A145">
        <v>144</v>
      </c>
      <c r="B145" t="s">
        <v>35</v>
      </c>
      <c r="C145" t="s">
        <v>373</v>
      </c>
      <c r="D145" t="s">
        <v>374</v>
      </c>
      <c r="E145" t="s">
        <v>97</v>
      </c>
      <c r="G145" t="s">
        <v>18</v>
      </c>
      <c r="H145" s="4">
        <v>16254000</v>
      </c>
      <c r="I145" s="5">
        <v>0</v>
      </c>
      <c r="J145" s="5">
        <v>500</v>
      </c>
      <c r="K145" s="5">
        <v>4</v>
      </c>
      <c r="L145">
        <v>6.6</v>
      </c>
      <c r="M145">
        <v>3.5</v>
      </c>
      <c r="N145">
        <v>3.92</v>
      </c>
      <c r="O145" s="6">
        <v>15.6</v>
      </c>
      <c r="P145" s="7">
        <v>2.1</v>
      </c>
      <c r="U145" t="s">
        <v>84</v>
      </c>
      <c r="V145" t="s">
        <v>375</v>
      </c>
      <c r="W145">
        <v>2.2999999999999998</v>
      </c>
      <c r="X145" t="s">
        <v>84</v>
      </c>
      <c r="Y145" t="s">
        <v>130</v>
      </c>
      <c r="Z145" t="s">
        <v>113</v>
      </c>
      <c r="AA145" t="s">
        <v>114</v>
      </c>
      <c r="AB145" t="s">
        <v>115</v>
      </c>
      <c r="AC145">
        <v>602</v>
      </c>
      <c r="AD145" s="8" t="b">
        <f>AND(
 H145&gt;=Filters!$B$3,
 H145&lt;=Filters!$B$4,
 I145&gt;=Filters!$B$5,
 OR(Filters!$B$6="All",B145=Filters!$B$6),
 F145&gt;=Filters!$B$7,
 F145&lt;=Filters!$B$8,
 OR(Filters!$B$9="All",G145=Filters!$B$9)
)</f>
        <v>0</v>
      </c>
      <c r="AE145">
        <f t="shared" si="26"/>
        <v>6</v>
      </c>
      <c r="AF145">
        <f t="shared" si="27"/>
        <v>7</v>
      </c>
      <c r="AG145">
        <f t="shared" si="28"/>
        <v>7</v>
      </c>
      <c r="AH145" s="9" t="str">
        <f t="shared" si="29"/>
        <v/>
      </c>
      <c r="AI145" s="9" t="str">
        <f t="shared" si="30"/>
        <v/>
      </c>
      <c r="AJ145" s="9" t="str">
        <f t="shared" si="31"/>
        <v/>
      </c>
      <c r="AK145" s="9" t="str">
        <f t="shared" si="32"/>
        <v/>
      </c>
      <c r="AL145" s="9" t="str">
        <f t="shared" si="33"/>
        <v/>
      </c>
      <c r="AM145" s="9" t="str">
        <f t="shared" si="34"/>
        <v/>
      </c>
      <c r="AN145" s="9" t="str">
        <f t="shared" si="35"/>
        <v/>
      </c>
      <c r="AO145" s="9" t="str">
        <f t="shared" si="36"/>
        <v/>
      </c>
      <c r="AP145" s="9" t="str">
        <f t="shared" si="37"/>
        <v/>
      </c>
      <c r="AQ145" s="10" t="str">
        <f t="shared" si="38"/>
        <v/>
      </c>
    </row>
    <row r="146" spans="1:43">
      <c r="A146">
        <v>145</v>
      </c>
      <c r="B146" t="s">
        <v>26</v>
      </c>
      <c r="C146" t="s">
        <v>162</v>
      </c>
      <c r="D146" t="s">
        <v>163</v>
      </c>
      <c r="E146" t="s">
        <v>97</v>
      </c>
      <c r="G146" t="s">
        <v>18</v>
      </c>
      <c r="H146" s="4">
        <v>9963000</v>
      </c>
      <c r="I146" s="5">
        <v>256</v>
      </c>
      <c r="J146" s="5">
        <v>0</v>
      </c>
      <c r="K146" s="5">
        <v>4</v>
      </c>
      <c r="L146">
        <v>6</v>
      </c>
      <c r="M146">
        <v>6.5</v>
      </c>
      <c r="N146">
        <v>3.92</v>
      </c>
      <c r="O146" s="6">
        <v>15.6</v>
      </c>
      <c r="P146" s="7">
        <v>1.86</v>
      </c>
      <c r="U146" t="s">
        <v>104</v>
      </c>
      <c r="V146" t="s">
        <v>194</v>
      </c>
      <c r="W146">
        <v>2.5</v>
      </c>
      <c r="X146" t="s">
        <v>104</v>
      </c>
      <c r="Y146" t="s">
        <v>236</v>
      </c>
      <c r="Z146" t="s">
        <v>100</v>
      </c>
      <c r="AA146" t="s">
        <v>114</v>
      </c>
      <c r="AB146" t="s">
        <v>115</v>
      </c>
      <c r="AC146">
        <v>369</v>
      </c>
      <c r="AD146" s="8" t="b">
        <f>AND(
 H146&gt;=Filters!$B$3,
 H146&lt;=Filters!$B$4,
 I146&gt;=Filters!$B$5,
 OR(Filters!$B$6="All",B146=Filters!$B$6),
 F146&gt;=Filters!$B$7,
 F146&lt;=Filters!$B$8,
 OR(Filters!$B$9="All",G146=Filters!$B$9)
)</f>
        <v>1</v>
      </c>
      <c r="AE146">
        <f t="shared" si="26"/>
        <v>6</v>
      </c>
      <c r="AF146">
        <f t="shared" si="27"/>
        <v>7</v>
      </c>
      <c r="AG146">
        <f t="shared" si="28"/>
        <v>7</v>
      </c>
      <c r="AH146" s="9">
        <f t="shared" si="29"/>
        <v>0.5714285714285714</v>
      </c>
      <c r="AI146" s="9">
        <f t="shared" si="30"/>
        <v>0.33333333333333331</v>
      </c>
      <c r="AJ146" s="9">
        <f t="shared" si="31"/>
        <v>0.63095238095238093</v>
      </c>
      <c r="AK146" s="9">
        <f t="shared" si="32"/>
        <v>0.32380952380952377</v>
      </c>
      <c r="AL146" s="9">
        <f t="shared" si="33"/>
        <v>0.92142857142857126</v>
      </c>
      <c r="AM146" s="9">
        <f t="shared" si="34"/>
        <v>0.5714285714285714</v>
      </c>
      <c r="AN146" s="9">
        <f t="shared" si="35"/>
        <v>0.69047619047619047</v>
      </c>
      <c r="AO146" s="9">
        <f t="shared" si="36"/>
        <v>0.69047619047619047</v>
      </c>
      <c r="AP146" s="9">
        <f t="shared" si="37"/>
        <v>0.5614957409139395</v>
      </c>
      <c r="AQ146" s="10">
        <f t="shared" si="38"/>
        <v>0.56149588691393948</v>
      </c>
    </row>
    <row r="147" spans="1:43">
      <c r="A147">
        <v>146</v>
      </c>
      <c r="B147" t="s">
        <v>21</v>
      </c>
      <c r="C147" t="s">
        <v>376</v>
      </c>
      <c r="D147" t="s">
        <v>377</v>
      </c>
      <c r="E147" t="s">
        <v>83</v>
      </c>
      <c r="G147" t="s">
        <v>18</v>
      </c>
      <c r="H147" s="4">
        <v>29673000</v>
      </c>
      <c r="I147" s="5">
        <v>256</v>
      </c>
      <c r="J147" s="5">
        <v>0</v>
      </c>
      <c r="K147" s="5">
        <v>8</v>
      </c>
      <c r="L147">
        <v>7.6</v>
      </c>
      <c r="M147">
        <v>3.8</v>
      </c>
      <c r="N147">
        <v>6</v>
      </c>
      <c r="O147" s="6">
        <v>14</v>
      </c>
      <c r="P147" s="7">
        <v>1.25</v>
      </c>
      <c r="U147" t="s">
        <v>84</v>
      </c>
      <c r="V147" t="s">
        <v>121</v>
      </c>
      <c r="W147">
        <v>1.8</v>
      </c>
      <c r="X147" t="s">
        <v>84</v>
      </c>
      <c r="Y147" t="s">
        <v>127</v>
      </c>
      <c r="Z147" t="s">
        <v>100</v>
      </c>
      <c r="AA147" t="s">
        <v>101</v>
      </c>
      <c r="AB147" t="s">
        <v>115</v>
      </c>
      <c r="AC147">
        <v>1099</v>
      </c>
      <c r="AD147" s="8" t="b">
        <f>AND(
 H147&gt;=Filters!$B$3,
 H147&lt;=Filters!$B$4,
 I147&gt;=Filters!$B$5,
 OR(Filters!$B$6="All",B147=Filters!$B$6),
 F147&gt;=Filters!$B$7,
 F147&lt;=Filters!$B$8,
 OR(Filters!$B$9="All",G147=Filters!$B$9)
)</f>
        <v>0</v>
      </c>
      <c r="AE147">
        <f t="shared" si="26"/>
        <v>6</v>
      </c>
      <c r="AF147">
        <f t="shared" si="27"/>
        <v>7</v>
      </c>
      <c r="AG147">
        <f t="shared" si="28"/>
        <v>7</v>
      </c>
      <c r="AH147" s="9" t="str">
        <f t="shared" si="29"/>
        <v/>
      </c>
      <c r="AI147" s="9" t="str">
        <f t="shared" si="30"/>
        <v/>
      </c>
      <c r="AJ147" s="9" t="str">
        <f t="shared" si="31"/>
        <v/>
      </c>
      <c r="AK147" s="9" t="str">
        <f t="shared" si="32"/>
        <v/>
      </c>
      <c r="AL147" s="9" t="str">
        <f t="shared" si="33"/>
        <v/>
      </c>
      <c r="AM147" s="9" t="str">
        <f t="shared" si="34"/>
        <v/>
      </c>
      <c r="AN147" s="9" t="str">
        <f t="shared" si="35"/>
        <v/>
      </c>
      <c r="AO147" s="9" t="str">
        <f t="shared" si="36"/>
        <v/>
      </c>
      <c r="AP147" s="9" t="str">
        <f t="shared" si="37"/>
        <v/>
      </c>
      <c r="AQ147" s="10" t="str">
        <f t="shared" si="38"/>
        <v/>
      </c>
    </row>
    <row r="148" spans="1:43">
      <c r="A148">
        <v>147</v>
      </c>
      <c r="B148" t="s">
        <v>26</v>
      </c>
      <c r="C148" t="s">
        <v>378</v>
      </c>
      <c r="D148" t="s">
        <v>379</v>
      </c>
      <c r="E148" t="s">
        <v>83</v>
      </c>
      <c r="G148" t="s">
        <v>18</v>
      </c>
      <c r="H148" s="4">
        <v>54378000</v>
      </c>
      <c r="I148" s="5">
        <v>512</v>
      </c>
      <c r="J148" s="5">
        <v>0</v>
      </c>
      <c r="K148" s="5">
        <v>8</v>
      </c>
      <c r="L148">
        <v>3.4</v>
      </c>
      <c r="M148">
        <v>3.5</v>
      </c>
      <c r="N148">
        <v>10</v>
      </c>
      <c r="O148" s="6">
        <v>12.5</v>
      </c>
      <c r="P148" s="7">
        <v>0.97</v>
      </c>
      <c r="U148" t="s">
        <v>84</v>
      </c>
      <c r="V148" t="s">
        <v>380</v>
      </c>
      <c r="W148">
        <v>1.2</v>
      </c>
      <c r="X148" t="s">
        <v>84</v>
      </c>
      <c r="Y148" t="s">
        <v>381</v>
      </c>
      <c r="Z148" t="s">
        <v>106</v>
      </c>
      <c r="AA148" t="s">
        <v>382</v>
      </c>
      <c r="AB148" t="s">
        <v>115</v>
      </c>
      <c r="AC148">
        <v>2014</v>
      </c>
      <c r="AD148" s="8" t="b">
        <f>AND(
 H148&gt;=Filters!$B$3,
 H148&lt;=Filters!$B$4,
 I148&gt;=Filters!$B$5,
 OR(Filters!$B$6="All",B148=Filters!$B$6),
 F148&gt;=Filters!$B$7,
 F148&lt;=Filters!$B$8,
 OR(Filters!$B$9="All",G148=Filters!$B$9)
)</f>
        <v>0</v>
      </c>
      <c r="AE148">
        <f t="shared" si="26"/>
        <v>6</v>
      </c>
      <c r="AF148">
        <f t="shared" si="27"/>
        <v>7</v>
      </c>
      <c r="AG148">
        <f t="shared" si="28"/>
        <v>7</v>
      </c>
      <c r="AH148" s="9" t="str">
        <f t="shared" si="29"/>
        <v/>
      </c>
      <c r="AI148" s="9" t="str">
        <f t="shared" si="30"/>
        <v/>
      </c>
      <c r="AJ148" s="9" t="str">
        <f t="shared" si="31"/>
        <v/>
      </c>
      <c r="AK148" s="9" t="str">
        <f t="shared" si="32"/>
        <v/>
      </c>
      <c r="AL148" s="9" t="str">
        <f t="shared" si="33"/>
        <v/>
      </c>
      <c r="AM148" s="9" t="str">
        <f t="shared" si="34"/>
        <v/>
      </c>
      <c r="AN148" s="9" t="str">
        <f t="shared" si="35"/>
        <v/>
      </c>
      <c r="AO148" s="9" t="str">
        <f t="shared" si="36"/>
        <v/>
      </c>
      <c r="AP148" s="9" t="str">
        <f t="shared" si="37"/>
        <v/>
      </c>
      <c r="AQ148" s="10" t="str">
        <f t="shared" si="38"/>
        <v/>
      </c>
    </row>
    <row r="149" spans="1:43">
      <c r="A149">
        <v>148</v>
      </c>
      <c r="B149" t="s">
        <v>21</v>
      </c>
      <c r="C149" t="s">
        <v>383</v>
      </c>
      <c r="D149" t="s">
        <v>384</v>
      </c>
      <c r="E149" t="s">
        <v>97</v>
      </c>
      <c r="G149" t="s">
        <v>18</v>
      </c>
      <c r="H149" s="4">
        <v>9288000</v>
      </c>
      <c r="I149" s="5">
        <v>0</v>
      </c>
      <c r="J149" s="5">
        <v>1024</v>
      </c>
      <c r="K149" s="5">
        <v>4</v>
      </c>
      <c r="L149">
        <v>1</v>
      </c>
      <c r="M149">
        <v>3.5</v>
      </c>
      <c r="N149">
        <v>5.92</v>
      </c>
      <c r="O149" s="6">
        <v>15.6</v>
      </c>
      <c r="P149" s="7">
        <v>2</v>
      </c>
      <c r="U149" t="s">
        <v>84</v>
      </c>
      <c r="V149" t="s">
        <v>198</v>
      </c>
      <c r="W149">
        <v>1.1000000000000001</v>
      </c>
      <c r="X149" t="s">
        <v>84</v>
      </c>
      <c r="Y149" t="s">
        <v>199</v>
      </c>
      <c r="Z149" t="s">
        <v>146</v>
      </c>
      <c r="AA149" t="s">
        <v>101</v>
      </c>
      <c r="AB149" t="s">
        <v>115</v>
      </c>
      <c r="AC149">
        <v>344</v>
      </c>
      <c r="AD149" s="8" t="b">
        <f>AND(
 H149&gt;=Filters!$B$3,
 H149&lt;=Filters!$B$4,
 I149&gt;=Filters!$B$5,
 OR(Filters!$B$6="All",B149=Filters!$B$6),
 F149&gt;=Filters!$B$7,
 F149&lt;=Filters!$B$8,
 OR(Filters!$B$9="All",G149=Filters!$B$9)
)</f>
        <v>0</v>
      </c>
      <c r="AE149">
        <f t="shared" si="26"/>
        <v>6</v>
      </c>
      <c r="AF149">
        <f t="shared" si="27"/>
        <v>7</v>
      </c>
      <c r="AG149">
        <f t="shared" si="28"/>
        <v>7</v>
      </c>
      <c r="AH149" s="9" t="str">
        <f t="shared" si="29"/>
        <v/>
      </c>
      <c r="AI149" s="9" t="str">
        <f t="shared" si="30"/>
        <v/>
      </c>
      <c r="AJ149" s="9" t="str">
        <f t="shared" si="31"/>
        <v/>
      </c>
      <c r="AK149" s="9" t="str">
        <f t="shared" si="32"/>
        <v/>
      </c>
      <c r="AL149" s="9" t="str">
        <f t="shared" si="33"/>
        <v/>
      </c>
      <c r="AM149" s="9" t="str">
        <f t="shared" si="34"/>
        <v/>
      </c>
      <c r="AN149" s="9" t="str">
        <f t="shared" si="35"/>
        <v/>
      </c>
      <c r="AO149" s="9" t="str">
        <f t="shared" si="36"/>
        <v/>
      </c>
      <c r="AP149" s="9" t="str">
        <f t="shared" si="37"/>
        <v/>
      </c>
      <c r="AQ149" s="10" t="str">
        <f t="shared" si="38"/>
        <v/>
      </c>
    </row>
    <row r="150" spans="1:43">
      <c r="A150">
        <v>149</v>
      </c>
      <c r="B150" t="s">
        <v>30</v>
      </c>
      <c r="C150" t="s">
        <v>385</v>
      </c>
      <c r="D150" t="s">
        <v>386</v>
      </c>
      <c r="E150" t="s">
        <v>158</v>
      </c>
      <c r="G150" t="s">
        <v>18</v>
      </c>
      <c r="H150" s="4">
        <v>54783000</v>
      </c>
      <c r="I150" s="5">
        <v>256</v>
      </c>
      <c r="J150" s="5">
        <v>1024</v>
      </c>
      <c r="K150" s="5">
        <v>16</v>
      </c>
      <c r="L150">
        <v>9.6</v>
      </c>
      <c r="M150">
        <v>9.1999999999999993</v>
      </c>
      <c r="N150">
        <v>5.83</v>
      </c>
      <c r="O150" s="6">
        <v>17.3</v>
      </c>
      <c r="P150" s="7">
        <v>2.9</v>
      </c>
      <c r="U150" t="s">
        <v>84</v>
      </c>
      <c r="V150" t="s">
        <v>210</v>
      </c>
      <c r="W150">
        <v>2.8</v>
      </c>
      <c r="X150" t="s">
        <v>122</v>
      </c>
      <c r="Y150" t="s">
        <v>248</v>
      </c>
      <c r="Z150" t="s">
        <v>212</v>
      </c>
      <c r="AA150" t="s">
        <v>101</v>
      </c>
      <c r="AB150" t="s">
        <v>115</v>
      </c>
      <c r="AC150">
        <v>2029</v>
      </c>
      <c r="AD150" s="8" t="b">
        <f>AND(
 H150&gt;=Filters!$B$3,
 H150&lt;=Filters!$B$4,
 I150&gt;=Filters!$B$5,
 OR(Filters!$B$6="All",B150=Filters!$B$6),
 F150&gt;=Filters!$B$7,
 F150&lt;=Filters!$B$8,
 OR(Filters!$B$9="All",G150=Filters!$B$9)
)</f>
        <v>0</v>
      </c>
      <c r="AE150">
        <f t="shared" si="26"/>
        <v>6</v>
      </c>
      <c r="AF150">
        <f t="shared" si="27"/>
        <v>7</v>
      </c>
      <c r="AG150">
        <f t="shared" si="28"/>
        <v>7</v>
      </c>
      <c r="AH150" s="9" t="str">
        <f t="shared" si="29"/>
        <v/>
      </c>
      <c r="AI150" s="9" t="str">
        <f t="shared" si="30"/>
        <v/>
      </c>
      <c r="AJ150" s="9" t="str">
        <f t="shared" si="31"/>
        <v/>
      </c>
      <c r="AK150" s="9" t="str">
        <f t="shared" si="32"/>
        <v/>
      </c>
      <c r="AL150" s="9" t="str">
        <f t="shared" si="33"/>
        <v/>
      </c>
      <c r="AM150" s="9" t="str">
        <f t="shared" si="34"/>
        <v/>
      </c>
      <c r="AN150" s="9" t="str">
        <f t="shared" si="35"/>
        <v/>
      </c>
      <c r="AO150" s="9" t="str">
        <f t="shared" si="36"/>
        <v/>
      </c>
      <c r="AP150" s="9" t="str">
        <f t="shared" si="37"/>
        <v/>
      </c>
      <c r="AQ150" s="10" t="str">
        <f t="shared" si="38"/>
        <v/>
      </c>
    </row>
    <row r="151" spans="1:43">
      <c r="A151">
        <v>150</v>
      </c>
      <c r="B151" t="s">
        <v>17</v>
      </c>
      <c r="C151" t="s">
        <v>387</v>
      </c>
      <c r="D151" t="s">
        <v>388</v>
      </c>
      <c r="E151" t="s">
        <v>97</v>
      </c>
      <c r="G151" t="s">
        <v>18</v>
      </c>
      <c r="H151" s="4">
        <v>12069000</v>
      </c>
      <c r="I151" s="5">
        <v>0</v>
      </c>
      <c r="J151" s="5">
        <v>1024</v>
      </c>
      <c r="K151" s="5">
        <v>4</v>
      </c>
      <c r="L151">
        <v>4</v>
      </c>
      <c r="M151">
        <v>3.5</v>
      </c>
      <c r="N151">
        <v>3.92</v>
      </c>
      <c r="O151" s="6">
        <v>15.6</v>
      </c>
      <c r="P151" s="7">
        <v>2.1</v>
      </c>
      <c r="U151" t="s">
        <v>84</v>
      </c>
      <c r="V151" t="s">
        <v>129</v>
      </c>
      <c r="W151">
        <v>2</v>
      </c>
      <c r="X151" t="s">
        <v>84</v>
      </c>
      <c r="Y151" t="s">
        <v>130</v>
      </c>
      <c r="Z151" t="s">
        <v>146</v>
      </c>
      <c r="AA151" t="s">
        <v>114</v>
      </c>
      <c r="AB151" t="s">
        <v>115</v>
      </c>
      <c r="AC151">
        <v>447</v>
      </c>
      <c r="AD151" s="8" t="b">
        <f>AND(
 H151&gt;=Filters!$B$3,
 H151&lt;=Filters!$B$4,
 I151&gt;=Filters!$B$5,
 OR(Filters!$B$6="All",B151=Filters!$B$6),
 F151&gt;=Filters!$B$7,
 F151&lt;=Filters!$B$8,
 OR(Filters!$B$9="All",G151=Filters!$B$9)
)</f>
        <v>0</v>
      </c>
      <c r="AE151">
        <f t="shared" si="26"/>
        <v>6</v>
      </c>
      <c r="AF151">
        <f t="shared" si="27"/>
        <v>7</v>
      </c>
      <c r="AG151">
        <f t="shared" si="28"/>
        <v>7</v>
      </c>
      <c r="AH151" s="9" t="str">
        <f t="shared" si="29"/>
        <v/>
      </c>
      <c r="AI151" s="9" t="str">
        <f t="shared" si="30"/>
        <v/>
      </c>
      <c r="AJ151" s="9" t="str">
        <f t="shared" si="31"/>
        <v/>
      </c>
      <c r="AK151" s="9" t="str">
        <f t="shared" si="32"/>
        <v/>
      </c>
      <c r="AL151" s="9" t="str">
        <f t="shared" si="33"/>
        <v/>
      </c>
      <c r="AM151" s="9" t="str">
        <f t="shared" si="34"/>
        <v/>
      </c>
      <c r="AN151" s="9" t="str">
        <f t="shared" si="35"/>
        <v/>
      </c>
      <c r="AO151" s="9" t="str">
        <f t="shared" si="36"/>
        <v/>
      </c>
      <c r="AP151" s="9" t="str">
        <f t="shared" si="37"/>
        <v/>
      </c>
      <c r="AQ151" s="10" t="str">
        <f t="shared" si="38"/>
        <v/>
      </c>
    </row>
    <row r="152" spans="1:43">
      <c r="A152">
        <v>151</v>
      </c>
      <c r="B152" t="s">
        <v>23</v>
      </c>
      <c r="C152" t="s">
        <v>389</v>
      </c>
      <c r="D152" t="s">
        <v>390</v>
      </c>
      <c r="E152" t="s">
        <v>158</v>
      </c>
      <c r="G152" t="s">
        <v>18</v>
      </c>
      <c r="H152" s="4">
        <v>33730020</v>
      </c>
      <c r="I152" s="5">
        <v>512</v>
      </c>
      <c r="J152" s="5">
        <v>0</v>
      </c>
      <c r="K152" s="5">
        <v>16</v>
      </c>
      <c r="L152">
        <v>9.6</v>
      </c>
      <c r="M152">
        <v>9.1999999999999993</v>
      </c>
      <c r="N152">
        <v>5.92</v>
      </c>
      <c r="O152" s="6">
        <v>15.6</v>
      </c>
      <c r="P152" s="7">
        <v>2.56</v>
      </c>
      <c r="U152" t="s">
        <v>84</v>
      </c>
      <c r="V152" t="s">
        <v>210</v>
      </c>
      <c r="W152">
        <v>2.8</v>
      </c>
      <c r="X152" t="s">
        <v>122</v>
      </c>
      <c r="Y152" t="s">
        <v>160</v>
      </c>
      <c r="Z152" t="s">
        <v>106</v>
      </c>
      <c r="AA152" t="s">
        <v>101</v>
      </c>
      <c r="AB152" t="s">
        <v>115</v>
      </c>
      <c r="AC152">
        <v>1249.26</v>
      </c>
      <c r="AD152" s="8" t="b">
        <f>AND(
 H152&gt;=Filters!$B$3,
 H152&lt;=Filters!$B$4,
 I152&gt;=Filters!$B$5,
 OR(Filters!$B$6="All",B152=Filters!$B$6),
 F152&gt;=Filters!$B$7,
 F152&lt;=Filters!$B$8,
 OR(Filters!$B$9="All",G152=Filters!$B$9)
)</f>
        <v>0</v>
      </c>
      <c r="AE152">
        <f t="shared" si="26"/>
        <v>6</v>
      </c>
      <c r="AF152">
        <f t="shared" si="27"/>
        <v>7</v>
      </c>
      <c r="AG152">
        <f t="shared" si="28"/>
        <v>7</v>
      </c>
      <c r="AH152" s="9" t="str">
        <f t="shared" si="29"/>
        <v/>
      </c>
      <c r="AI152" s="9" t="str">
        <f t="shared" si="30"/>
        <v/>
      </c>
      <c r="AJ152" s="9" t="str">
        <f t="shared" si="31"/>
        <v/>
      </c>
      <c r="AK152" s="9" t="str">
        <f t="shared" si="32"/>
        <v/>
      </c>
      <c r="AL152" s="9" t="str">
        <f t="shared" si="33"/>
        <v/>
      </c>
      <c r="AM152" s="9" t="str">
        <f t="shared" si="34"/>
        <v/>
      </c>
      <c r="AN152" s="9" t="str">
        <f t="shared" si="35"/>
        <v/>
      </c>
      <c r="AO152" s="9" t="str">
        <f t="shared" si="36"/>
        <v/>
      </c>
      <c r="AP152" s="9" t="str">
        <f t="shared" si="37"/>
        <v/>
      </c>
      <c r="AQ152" s="10" t="str">
        <f t="shared" si="38"/>
        <v/>
      </c>
    </row>
    <row r="153" spans="1:43">
      <c r="A153">
        <v>152</v>
      </c>
      <c r="B153" t="s">
        <v>23</v>
      </c>
      <c r="C153" t="s">
        <v>391</v>
      </c>
      <c r="D153" t="s">
        <v>392</v>
      </c>
      <c r="E153" t="s">
        <v>158</v>
      </c>
      <c r="G153" t="s">
        <v>18</v>
      </c>
      <c r="H153" s="4">
        <v>24273000</v>
      </c>
      <c r="I153" s="5">
        <v>0</v>
      </c>
      <c r="J153" s="5">
        <v>0</v>
      </c>
      <c r="K153" s="5">
        <v>8</v>
      </c>
      <c r="L153">
        <v>9.6</v>
      </c>
      <c r="M153">
        <v>9.1999999999999993</v>
      </c>
      <c r="N153">
        <v>5.92</v>
      </c>
      <c r="O153" s="6">
        <v>15.6</v>
      </c>
      <c r="P153" s="7">
        <v>2.62</v>
      </c>
      <c r="U153" t="s">
        <v>84</v>
      </c>
      <c r="V153" t="s">
        <v>210</v>
      </c>
      <c r="W153">
        <v>2.8</v>
      </c>
      <c r="X153" t="s">
        <v>122</v>
      </c>
      <c r="Y153" t="s">
        <v>160</v>
      </c>
      <c r="Z153" t="s">
        <v>393</v>
      </c>
      <c r="AA153" t="s">
        <v>101</v>
      </c>
      <c r="AB153" t="s">
        <v>115</v>
      </c>
      <c r="AC153">
        <v>899</v>
      </c>
      <c r="AD153" s="8" t="b">
        <f>AND(
 H153&gt;=Filters!$B$3,
 H153&lt;=Filters!$B$4,
 I153&gt;=Filters!$B$5,
 OR(Filters!$B$6="All",B153=Filters!$B$6),
 F153&gt;=Filters!$B$7,
 F153&lt;=Filters!$B$8,
 OR(Filters!$B$9="All",G153=Filters!$B$9)
)</f>
        <v>0</v>
      </c>
      <c r="AE153">
        <f t="shared" si="26"/>
        <v>6</v>
      </c>
      <c r="AF153">
        <f t="shared" si="27"/>
        <v>7</v>
      </c>
      <c r="AG153">
        <f t="shared" si="28"/>
        <v>7</v>
      </c>
      <c r="AH153" s="9" t="str">
        <f t="shared" si="29"/>
        <v/>
      </c>
      <c r="AI153" s="9" t="str">
        <f t="shared" si="30"/>
        <v/>
      </c>
      <c r="AJ153" s="9" t="str">
        <f t="shared" si="31"/>
        <v/>
      </c>
      <c r="AK153" s="9" t="str">
        <f t="shared" si="32"/>
        <v/>
      </c>
      <c r="AL153" s="9" t="str">
        <f t="shared" si="33"/>
        <v/>
      </c>
      <c r="AM153" s="9" t="str">
        <f t="shared" si="34"/>
        <v/>
      </c>
      <c r="AN153" s="9" t="str">
        <f t="shared" si="35"/>
        <v/>
      </c>
      <c r="AO153" s="9" t="str">
        <f t="shared" si="36"/>
        <v/>
      </c>
      <c r="AP153" s="9" t="str">
        <f t="shared" si="37"/>
        <v/>
      </c>
      <c r="AQ153" s="10" t="str">
        <f t="shared" si="38"/>
        <v/>
      </c>
    </row>
    <row r="154" spans="1:43">
      <c r="A154">
        <v>153</v>
      </c>
      <c r="B154" t="s">
        <v>29</v>
      </c>
      <c r="C154" t="s">
        <v>394</v>
      </c>
      <c r="D154" t="s">
        <v>395</v>
      </c>
      <c r="E154" t="s">
        <v>97</v>
      </c>
      <c r="G154" t="s">
        <v>18</v>
      </c>
      <c r="H154" s="4">
        <v>13446000</v>
      </c>
      <c r="I154" s="5">
        <v>128</v>
      </c>
      <c r="J154" s="5">
        <v>0</v>
      </c>
      <c r="K154" s="5">
        <v>4</v>
      </c>
      <c r="L154">
        <v>7</v>
      </c>
      <c r="M154">
        <v>3.5</v>
      </c>
      <c r="N154">
        <v>3.92</v>
      </c>
      <c r="O154" s="6">
        <v>15.6</v>
      </c>
      <c r="P154" s="7">
        <v>1.9</v>
      </c>
      <c r="U154" t="s">
        <v>84</v>
      </c>
      <c r="V154" t="s">
        <v>98</v>
      </c>
      <c r="W154">
        <v>2.5</v>
      </c>
      <c r="X154" t="s">
        <v>84</v>
      </c>
      <c r="Y154" t="s">
        <v>99</v>
      </c>
      <c r="Z154" t="s">
        <v>87</v>
      </c>
      <c r="AA154" t="s">
        <v>114</v>
      </c>
      <c r="AB154" t="s">
        <v>115</v>
      </c>
      <c r="AC154">
        <v>498</v>
      </c>
      <c r="AD154" s="8" t="b">
        <f>AND(
 H154&gt;=Filters!$B$3,
 H154&lt;=Filters!$B$4,
 I154&gt;=Filters!$B$5,
 OR(Filters!$B$6="All",B154=Filters!$B$6),
 F154&gt;=Filters!$B$7,
 F154&lt;=Filters!$B$8,
 OR(Filters!$B$9="All",G154=Filters!$B$9)
)</f>
        <v>0</v>
      </c>
      <c r="AE154">
        <f t="shared" si="26"/>
        <v>6</v>
      </c>
      <c r="AF154">
        <f t="shared" si="27"/>
        <v>7</v>
      </c>
      <c r="AG154">
        <f t="shared" si="28"/>
        <v>7</v>
      </c>
      <c r="AH154" s="9" t="str">
        <f t="shared" si="29"/>
        <v/>
      </c>
      <c r="AI154" s="9" t="str">
        <f t="shared" si="30"/>
        <v/>
      </c>
      <c r="AJ154" s="9" t="str">
        <f t="shared" si="31"/>
        <v/>
      </c>
      <c r="AK154" s="9" t="str">
        <f t="shared" si="32"/>
        <v/>
      </c>
      <c r="AL154" s="9" t="str">
        <f t="shared" si="33"/>
        <v/>
      </c>
      <c r="AM154" s="9" t="str">
        <f t="shared" si="34"/>
        <v/>
      </c>
      <c r="AN154" s="9" t="str">
        <f t="shared" si="35"/>
        <v/>
      </c>
      <c r="AO154" s="9" t="str">
        <f t="shared" si="36"/>
        <v/>
      </c>
      <c r="AP154" s="9" t="str">
        <f t="shared" si="37"/>
        <v/>
      </c>
      <c r="AQ154" s="10" t="str">
        <f t="shared" si="38"/>
        <v/>
      </c>
    </row>
    <row r="155" spans="1:43">
      <c r="A155">
        <v>154</v>
      </c>
      <c r="B155" t="s">
        <v>30</v>
      </c>
      <c r="C155" t="s">
        <v>396</v>
      </c>
      <c r="D155" t="s">
        <v>397</v>
      </c>
      <c r="E155" t="s">
        <v>158</v>
      </c>
      <c r="G155" t="s">
        <v>18</v>
      </c>
      <c r="H155" s="4">
        <v>51030000</v>
      </c>
      <c r="I155" s="5">
        <v>256</v>
      </c>
      <c r="J155" s="5">
        <v>1024</v>
      </c>
      <c r="K155" s="5">
        <v>16</v>
      </c>
      <c r="L155">
        <v>9.6</v>
      </c>
      <c r="M155">
        <v>9.1999999999999993</v>
      </c>
      <c r="N155">
        <v>5.83</v>
      </c>
      <c r="O155" s="6">
        <v>17.3</v>
      </c>
      <c r="P155" s="7">
        <v>2.8</v>
      </c>
      <c r="U155" t="s">
        <v>84</v>
      </c>
      <c r="V155" t="s">
        <v>210</v>
      </c>
      <c r="W155">
        <v>2.8</v>
      </c>
      <c r="X155" t="s">
        <v>122</v>
      </c>
      <c r="Y155" t="s">
        <v>211</v>
      </c>
      <c r="Z155" t="s">
        <v>212</v>
      </c>
      <c r="AA155" t="s">
        <v>101</v>
      </c>
      <c r="AB155" t="s">
        <v>115</v>
      </c>
      <c r="AC155">
        <v>1890</v>
      </c>
      <c r="AD155" s="8" t="b">
        <f>AND(
 H155&gt;=Filters!$B$3,
 H155&lt;=Filters!$B$4,
 I155&gt;=Filters!$B$5,
 OR(Filters!$B$6="All",B155=Filters!$B$6),
 F155&gt;=Filters!$B$7,
 F155&lt;=Filters!$B$8,
 OR(Filters!$B$9="All",G155=Filters!$B$9)
)</f>
        <v>0</v>
      </c>
      <c r="AE155">
        <f t="shared" si="26"/>
        <v>6</v>
      </c>
      <c r="AF155">
        <f t="shared" si="27"/>
        <v>7</v>
      </c>
      <c r="AG155">
        <f t="shared" si="28"/>
        <v>7</v>
      </c>
      <c r="AH155" s="9" t="str">
        <f t="shared" si="29"/>
        <v/>
      </c>
      <c r="AI155" s="9" t="str">
        <f t="shared" si="30"/>
        <v/>
      </c>
      <c r="AJ155" s="9" t="str">
        <f t="shared" si="31"/>
        <v/>
      </c>
      <c r="AK155" s="9" t="str">
        <f t="shared" si="32"/>
        <v/>
      </c>
      <c r="AL155" s="9" t="str">
        <f t="shared" si="33"/>
        <v/>
      </c>
      <c r="AM155" s="9" t="str">
        <f t="shared" si="34"/>
        <v/>
      </c>
      <c r="AN155" s="9" t="str">
        <f t="shared" si="35"/>
        <v/>
      </c>
      <c r="AO155" s="9" t="str">
        <f t="shared" si="36"/>
        <v/>
      </c>
      <c r="AP155" s="9" t="str">
        <f t="shared" si="37"/>
        <v/>
      </c>
      <c r="AQ155" s="10" t="str">
        <f t="shared" si="38"/>
        <v/>
      </c>
    </row>
    <row r="156" spans="1:43">
      <c r="A156">
        <v>155</v>
      </c>
      <c r="B156" t="s">
        <v>26</v>
      </c>
      <c r="C156" t="s">
        <v>398</v>
      </c>
      <c r="D156" t="s">
        <v>399</v>
      </c>
      <c r="E156" t="s">
        <v>83</v>
      </c>
      <c r="G156" t="s">
        <v>18</v>
      </c>
      <c r="H156" s="4">
        <v>29214000</v>
      </c>
      <c r="I156" s="5">
        <v>256</v>
      </c>
      <c r="J156" s="5">
        <v>0</v>
      </c>
      <c r="K156" s="5">
        <v>4</v>
      </c>
      <c r="L156">
        <v>7.4</v>
      </c>
      <c r="M156">
        <v>3.5</v>
      </c>
      <c r="N156">
        <v>6</v>
      </c>
      <c r="O156" s="6">
        <v>14</v>
      </c>
      <c r="P156" s="7">
        <v>1.48</v>
      </c>
      <c r="U156" t="s">
        <v>84</v>
      </c>
      <c r="V156" t="s">
        <v>400</v>
      </c>
      <c r="W156">
        <v>2.7</v>
      </c>
      <c r="X156" t="s">
        <v>84</v>
      </c>
      <c r="Y156" t="s">
        <v>99</v>
      </c>
      <c r="Z156" t="s">
        <v>100</v>
      </c>
      <c r="AA156" t="s">
        <v>101</v>
      </c>
      <c r="AB156" t="s">
        <v>115</v>
      </c>
      <c r="AC156">
        <v>1082</v>
      </c>
      <c r="AD156" s="8" t="b">
        <f>AND(
 H156&gt;=Filters!$B$3,
 H156&lt;=Filters!$B$4,
 I156&gt;=Filters!$B$5,
 OR(Filters!$B$6="All",B156=Filters!$B$6),
 F156&gt;=Filters!$B$7,
 F156&lt;=Filters!$B$8,
 OR(Filters!$B$9="All",G156=Filters!$B$9)
)</f>
        <v>0</v>
      </c>
      <c r="AE156">
        <f t="shared" si="26"/>
        <v>6</v>
      </c>
      <c r="AF156">
        <f t="shared" si="27"/>
        <v>7</v>
      </c>
      <c r="AG156">
        <f t="shared" si="28"/>
        <v>7</v>
      </c>
      <c r="AH156" s="9" t="str">
        <f t="shared" si="29"/>
        <v/>
      </c>
      <c r="AI156" s="9" t="str">
        <f t="shared" si="30"/>
        <v/>
      </c>
      <c r="AJ156" s="9" t="str">
        <f t="shared" si="31"/>
        <v/>
      </c>
      <c r="AK156" s="9" t="str">
        <f t="shared" si="32"/>
        <v/>
      </c>
      <c r="AL156" s="9" t="str">
        <f t="shared" si="33"/>
        <v/>
      </c>
      <c r="AM156" s="9" t="str">
        <f t="shared" si="34"/>
        <v/>
      </c>
      <c r="AN156" s="9" t="str">
        <f t="shared" si="35"/>
        <v/>
      </c>
      <c r="AO156" s="9" t="str">
        <f t="shared" si="36"/>
        <v/>
      </c>
      <c r="AP156" s="9" t="str">
        <f t="shared" si="37"/>
        <v/>
      </c>
      <c r="AQ156" s="10" t="str">
        <f t="shared" si="38"/>
        <v/>
      </c>
    </row>
    <row r="157" spans="1:43">
      <c r="A157">
        <v>156</v>
      </c>
      <c r="B157" t="s">
        <v>26</v>
      </c>
      <c r="C157" t="s">
        <v>401</v>
      </c>
      <c r="D157" t="s">
        <v>402</v>
      </c>
      <c r="E157" t="s">
        <v>97</v>
      </c>
      <c r="G157" t="s">
        <v>18</v>
      </c>
      <c r="H157" s="4">
        <v>16713000</v>
      </c>
      <c r="I157" s="5">
        <v>256</v>
      </c>
      <c r="J157" s="5">
        <v>0</v>
      </c>
      <c r="K157" s="5">
        <v>6</v>
      </c>
      <c r="L157">
        <v>5.2</v>
      </c>
      <c r="M157">
        <v>6.5</v>
      </c>
      <c r="N157">
        <v>5.92</v>
      </c>
      <c r="O157" s="6">
        <v>15.6</v>
      </c>
      <c r="P157" s="7">
        <v>1.91</v>
      </c>
      <c r="U157" t="s">
        <v>84</v>
      </c>
      <c r="V157" t="s">
        <v>126</v>
      </c>
      <c r="W157">
        <v>1.6</v>
      </c>
      <c r="X157" t="s">
        <v>104</v>
      </c>
      <c r="Y157" t="s">
        <v>241</v>
      </c>
      <c r="Z157" t="s">
        <v>100</v>
      </c>
      <c r="AA157" t="s">
        <v>101</v>
      </c>
      <c r="AB157" t="s">
        <v>115</v>
      </c>
      <c r="AC157">
        <v>619</v>
      </c>
      <c r="AD157" s="8" t="b">
        <f>AND(
 H157&gt;=Filters!$B$3,
 H157&lt;=Filters!$B$4,
 I157&gt;=Filters!$B$5,
 OR(Filters!$B$6="All",B157=Filters!$B$6),
 F157&gt;=Filters!$B$7,
 F157&lt;=Filters!$B$8,
 OR(Filters!$B$9="All",G157=Filters!$B$9)
)</f>
        <v>1</v>
      </c>
      <c r="AE157">
        <f t="shared" si="26"/>
        <v>6</v>
      </c>
      <c r="AF157">
        <f t="shared" si="27"/>
        <v>7</v>
      </c>
      <c r="AG157">
        <f t="shared" si="28"/>
        <v>7</v>
      </c>
      <c r="AH157" s="9">
        <f t="shared" si="29"/>
        <v>0.47619047619047616</v>
      </c>
      <c r="AI157" s="9">
        <f t="shared" si="30"/>
        <v>0.5714285714285714</v>
      </c>
      <c r="AJ157" s="9">
        <f t="shared" si="31"/>
        <v>0.63095238095238093</v>
      </c>
      <c r="AK157" s="9">
        <f t="shared" si="32"/>
        <v>0.56190476190476191</v>
      </c>
      <c r="AL157" s="9">
        <f t="shared" si="33"/>
        <v>0.91547619047619033</v>
      </c>
      <c r="AM157" s="9">
        <f t="shared" si="34"/>
        <v>0.5714285714285714</v>
      </c>
      <c r="AN157" s="9">
        <f t="shared" si="35"/>
        <v>0.69047619047619047</v>
      </c>
      <c r="AO157" s="9">
        <f t="shared" si="36"/>
        <v>0.69047619047619047</v>
      </c>
      <c r="AP157" s="9">
        <f t="shared" si="37"/>
        <v>0.60424044868362337</v>
      </c>
      <c r="AQ157" s="10">
        <f t="shared" si="38"/>
        <v>0.60424060568362337</v>
      </c>
    </row>
    <row r="158" spans="1:43">
      <c r="A158">
        <v>157</v>
      </c>
      <c r="B158" t="s">
        <v>29</v>
      </c>
      <c r="C158" t="s">
        <v>403</v>
      </c>
      <c r="D158" t="s">
        <v>404</v>
      </c>
      <c r="E158" t="s">
        <v>168</v>
      </c>
      <c r="G158" t="s">
        <v>18</v>
      </c>
      <c r="H158" s="4">
        <v>16983000</v>
      </c>
      <c r="I158" s="5">
        <v>256</v>
      </c>
      <c r="J158" s="5">
        <v>0</v>
      </c>
      <c r="K158" s="5">
        <v>4</v>
      </c>
      <c r="L158">
        <v>4.8</v>
      </c>
      <c r="M158">
        <v>3.5</v>
      </c>
      <c r="N158">
        <v>6.7</v>
      </c>
      <c r="O158" s="6">
        <v>14</v>
      </c>
      <c r="P158" s="7">
        <v>1.74</v>
      </c>
      <c r="U158" t="s">
        <v>84</v>
      </c>
      <c r="V158" t="s">
        <v>144</v>
      </c>
      <c r="W158">
        <v>2.4</v>
      </c>
      <c r="X158" t="s">
        <v>84</v>
      </c>
      <c r="Y158" t="s">
        <v>99</v>
      </c>
      <c r="Z158" t="s">
        <v>100</v>
      </c>
      <c r="AA158" t="s">
        <v>149</v>
      </c>
      <c r="AB158" t="s">
        <v>115</v>
      </c>
      <c r="AC158">
        <v>629</v>
      </c>
      <c r="AD158" s="8" t="b">
        <f>AND(
 H158&gt;=Filters!$B$3,
 H158&lt;=Filters!$B$4,
 I158&gt;=Filters!$B$5,
 OR(Filters!$B$6="All",B158=Filters!$B$6),
 F158&gt;=Filters!$B$7,
 F158&lt;=Filters!$B$8,
 OR(Filters!$B$9="All",G158=Filters!$B$9)
)</f>
        <v>1</v>
      </c>
      <c r="AE158">
        <f t="shared" si="26"/>
        <v>6</v>
      </c>
      <c r="AF158">
        <f t="shared" si="27"/>
        <v>7</v>
      </c>
      <c r="AG158">
        <f t="shared" si="28"/>
        <v>7</v>
      </c>
      <c r="AH158" s="9">
        <f t="shared" si="29"/>
        <v>0.42857142857142849</v>
      </c>
      <c r="AI158" s="9">
        <f t="shared" si="30"/>
        <v>0.33333333333333331</v>
      </c>
      <c r="AJ158" s="9">
        <f t="shared" si="31"/>
        <v>0.27380952380952378</v>
      </c>
      <c r="AK158" s="9">
        <f t="shared" si="32"/>
        <v>0.65476190476190477</v>
      </c>
      <c r="AL158" s="9">
        <f t="shared" si="33"/>
        <v>0.93571428571428561</v>
      </c>
      <c r="AM158" s="9">
        <f t="shared" si="34"/>
        <v>0.5714285714285714</v>
      </c>
      <c r="AN158" s="9">
        <f t="shared" si="35"/>
        <v>0.69047619047619047</v>
      </c>
      <c r="AO158" s="9">
        <f t="shared" si="36"/>
        <v>0.69047619047619047</v>
      </c>
      <c r="AP158" s="9">
        <f t="shared" si="37"/>
        <v>0.53611995881487917</v>
      </c>
      <c r="AQ158" s="10">
        <f t="shared" si="38"/>
        <v>0.53612011681487914</v>
      </c>
    </row>
    <row r="159" spans="1:43">
      <c r="A159">
        <v>158</v>
      </c>
      <c r="B159" t="s">
        <v>21</v>
      </c>
      <c r="C159" t="s">
        <v>405</v>
      </c>
      <c r="D159" t="s">
        <v>406</v>
      </c>
      <c r="E159" t="s">
        <v>168</v>
      </c>
      <c r="G159" t="s">
        <v>18</v>
      </c>
      <c r="H159" s="4">
        <v>35505000</v>
      </c>
      <c r="I159" s="5">
        <v>256</v>
      </c>
      <c r="J159" s="5">
        <v>0</v>
      </c>
      <c r="K159" s="5">
        <v>8</v>
      </c>
      <c r="L159">
        <v>5.2</v>
      </c>
      <c r="M159">
        <v>3.5</v>
      </c>
      <c r="N159">
        <v>6.26</v>
      </c>
      <c r="O159" s="6">
        <v>13.3</v>
      </c>
      <c r="P159" s="7">
        <v>1.1000000000000001</v>
      </c>
      <c r="U159" t="s">
        <v>84</v>
      </c>
      <c r="V159" t="s">
        <v>126</v>
      </c>
      <c r="W159">
        <v>1.6</v>
      </c>
      <c r="X159" t="s">
        <v>84</v>
      </c>
      <c r="Y159" t="s">
        <v>99</v>
      </c>
      <c r="Z159" t="s">
        <v>100</v>
      </c>
      <c r="AA159" t="s">
        <v>169</v>
      </c>
      <c r="AB159" t="s">
        <v>115</v>
      </c>
      <c r="AC159">
        <v>1315</v>
      </c>
      <c r="AD159" s="8" t="b">
        <f>AND(
 H159&gt;=Filters!$B$3,
 H159&lt;=Filters!$B$4,
 I159&gt;=Filters!$B$5,
 OR(Filters!$B$6="All",B159=Filters!$B$6),
 F159&gt;=Filters!$B$7,
 F159&lt;=Filters!$B$8,
 OR(Filters!$B$9="All",G159=Filters!$B$9)
)</f>
        <v>0</v>
      </c>
      <c r="AE159">
        <f t="shared" si="26"/>
        <v>6</v>
      </c>
      <c r="AF159">
        <f t="shared" si="27"/>
        <v>7</v>
      </c>
      <c r="AG159">
        <f t="shared" si="28"/>
        <v>7</v>
      </c>
      <c r="AH159" s="9" t="str">
        <f t="shared" si="29"/>
        <v/>
      </c>
      <c r="AI159" s="9" t="str">
        <f t="shared" si="30"/>
        <v/>
      </c>
      <c r="AJ159" s="9" t="str">
        <f t="shared" si="31"/>
        <v/>
      </c>
      <c r="AK159" s="9" t="str">
        <f t="shared" si="32"/>
        <v/>
      </c>
      <c r="AL159" s="9" t="str">
        <f t="shared" si="33"/>
        <v/>
      </c>
      <c r="AM159" s="9" t="str">
        <f t="shared" si="34"/>
        <v/>
      </c>
      <c r="AN159" s="9" t="str">
        <f t="shared" si="35"/>
        <v/>
      </c>
      <c r="AO159" s="9" t="str">
        <f t="shared" si="36"/>
        <v/>
      </c>
      <c r="AP159" s="9" t="str">
        <f t="shared" si="37"/>
        <v/>
      </c>
      <c r="AQ159" s="10" t="str">
        <f t="shared" si="38"/>
        <v/>
      </c>
    </row>
    <row r="160" spans="1:43">
      <c r="A160">
        <v>159</v>
      </c>
      <c r="B160" t="s">
        <v>23</v>
      </c>
      <c r="C160" t="s">
        <v>407</v>
      </c>
      <c r="D160" t="s">
        <v>408</v>
      </c>
      <c r="E160" t="s">
        <v>168</v>
      </c>
      <c r="G160" t="s">
        <v>18</v>
      </c>
      <c r="H160" s="4">
        <v>28323000</v>
      </c>
      <c r="I160" s="5">
        <v>256</v>
      </c>
      <c r="J160" s="5">
        <v>0</v>
      </c>
      <c r="K160" s="5">
        <v>8</v>
      </c>
      <c r="L160">
        <v>7.6</v>
      </c>
      <c r="M160">
        <v>3.8</v>
      </c>
      <c r="N160">
        <v>6.22</v>
      </c>
      <c r="O160" s="6">
        <v>15.6</v>
      </c>
      <c r="P160" s="7">
        <v>1.56</v>
      </c>
      <c r="U160" t="s">
        <v>84</v>
      </c>
      <c r="V160" t="s">
        <v>121</v>
      </c>
      <c r="W160">
        <v>1.8</v>
      </c>
      <c r="X160" t="s">
        <v>84</v>
      </c>
      <c r="Y160" t="s">
        <v>127</v>
      </c>
      <c r="Z160" t="s">
        <v>100</v>
      </c>
      <c r="AA160" t="s">
        <v>169</v>
      </c>
      <c r="AB160" t="s">
        <v>115</v>
      </c>
      <c r="AC160">
        <v>1049</v>
      </c>
      <c r="AD160" s="8" t="b">
        <f>AND(
 H160&gt;=Filters!$B$3,
 H160&lt;=Filters!$B$4,
 I160&gt;=Filters!$B$5,
 OR(Filters!$B$6="All",B160=Filters!$B$6),
 F160&gt;=Filters!$B$7,
 F160&lt;=Filters!$B$8,
 OR(Filters!$B$9="All",G160=Filters!$B$9)
)</f>
        <v>0</v>
      </c>
      <c r="AE160">
        <f t="shared" si="26"/>
        <v>6</v>
      </c>
      <c r="AF160">
        <f t="shared" si="27"/>
        <v>7</v>
      </c>
      <c r="AG160">
        <f t="shared" si="28"/>
        <v>7</v>
      </c>
      <c r="AH160" s="9" t="str">
        <f t="shared" si="29"/>
        <v/>
      </c>
      <c r="AI160" s="9" t="str">
        <f t="shared" si="30"/>
        <v/>
      </c>
      <c r="AJ160" s="9" t="str">
        <f t="shared" si="31"/>
        <v/>
      </c>
      <c r="AK160" s="9" t="str">
        <f t="shared" si="32"/>
        <v/>
      </c>
      <c r="AL160" s="9" t="str">
        <f t="shared" si="33"/>
        <v/>
      </c>
      <c r="AM160" s="9" t="str">
        <f t="shared" si="34"/>
        <v/>
      </c>
      <c r="AN160" s="9" t="str">
        <f t="shared" si="35"/>
        <v/>
      </c>
      <c r="AO160" s="9" t="str">
        <f t="shared" si="36"/>
        <v/>
      </c>
      <c r="AP160" s="9" t="str">
        <f t="shared" si="37"/>
        <v/>
      </c>
      <c r="AQ160" s="10" t="str">
        <f t="shared" si="38"/>
        <v/>
      </c>
    </row>
    <row r="161" spans="1:43">
      <c r="A161">
        <v>160</v>
      </c>
      <c r="B161" t="s">
        <v>35</v>
      </c>
      <c r="C161" t="s">
        <v>373</v>
      </c>
      <c r="D161" t="s">
        <v>374</v>
      </c>
      <c r="E161" t="s">
        <v>97</v>
      </c>
      <c r="G161" t="s">
        <v>18</v>
      </c>
      <c r="H161" s="4">
        <v>12069000</v>
      </c>
      <c r="I161" s="5">
        <v>0</v>
      </c>
      <c r="J161" s="5">
        <v>500</v>
      </c>
      <c r="K161" s="5">
        <v>4</v>
      </c>
      <c r="L161">
        <v>4.4000000000000004</v>
      </c>
      <c r="M161">
        <v>3.5</v>
      </c>
      <c r="N161">
        <v>3.92</v>
      </c>
      <c r="O161" s="6">
        <v>15.6</v>
      </c>
      <c r="P161" s="7">
        <v>2.1</v>
      </c>
      <c r="U161" t="s">
        <v>84</v>
      </c>
      <c r="V161" t="s">
        <v>129</v>
      </c>
      <c r="W161">
        <v>2.2000000000000002</v>
      </c>
      <c r="X161" t="s">
        <v>84</v>
      </c>
      <c r="Y161" t="s">
        <v>130</v>
      </c>
      <c r="Z161" t="s">
        <v>113</v>
      </c>
      <c r="AA161" t="s">
        <v>114</v>
      </c>
      <c r="AB161" t="s">
        <v>115</v>
      </c>
      <c r="AC161">
        <v>447</v>
      </c>
      <c r="AD161" s="8" t="b">
        <f>AND(
 H161&gt;=Filters!$B$3,
 H161&lt;=Filters!$B$4,
 I161&gt;=Filters!$B$5,
 OR(Filters!$B$6="All",B161=Filters!$B$6),
 F161&gt;=Filters!$B$7,
 F161&lt;=Filters!$B$8,
 OR(Filters!$B$9="All",G161=Filters!$B$9)
)</f>
        <v>0</v>
      </c>
      <c r="AE161">
        <f t="shared" si="26"/>
        <v>6</v>
      </c>
      <c r="AF161">
        <f t="shared" si="27"/>
        <v>7</v>
      </c>
      <c r="AG161">
        <f t="shared" si="28"/>
        <v>7</v>
      </c>
      <c r="AH161" s="9" t="str">
        <f t="shared" si="29"/>
        <v/>
      </c>
      <c r="AI161" s="9" t="str">
        <f t="shared" si="30"/>
        <v/>
      </c>
      <c r="AJ161" s="9" t="str">
        <f t="shared" si="31"/>
        <v/>
      </c>
      <c r="AK161" s="9" t="str">
        <f t="shared" si="32"/>
        <v/>
      </c>
      <c r="AL161" s="9" t="str">
        <f t="shared" si="33"/>
        <v/>
      </c>
      <c r="AM161" s="9" t="str">
        <f t="shared" si="34"/>
        <v/>
      </c>
      <c r="AN161" s="9" t="str">
        <f t="shared" si="35"/>
        <v/>
      </c>
      <c r="AO161" s="9" t="str">
        <f t="shared" si="36"/>
        <v/>
      </c>
      <c r="AP161" s="9" t="str">
        <f t="shared" si="37"/>
        <v/>
      </c>
      <c r="AQ161" s="10" t="str">
        <f t="shared" si="38"/>
        <v/>
      </c>
    </row>
    <row r="162" spans="1:43">
      <c r="A162">
        <v>161</v>
      </c>
      <c r="B162" t="s">
        <v>21</v>
      </c>
      <c r="C162" t="s">
        <v>409</v>
      </c>
      <c r="D162" t="s">
        <v>410</v>
      </c>
      <c r="E162" t="s">
        <v>97</v>
      </c>
      <c r="G162" t="s">
        <v>18</v>
      </c>
      <c r="H162" s="4">
        <v>10881000</v>
      </c>
      <c r="I162" s="5">
        <v>0</v>
      </c>
      <c r="J162" s="5">
        <v>1024</v>
      </c>
      <c r="K162" s="5">
        <v>4</v>
      </c>
      <c r="L162">
        <v>7</v>
      </c>
      <c r="M162">
        <v>6.5</v>
      </c>
      <c r="N162">
        <v>3.92</v>
      </c>
      <c r="O162" s="6">
        <v>15.6</v>
      </c>
      <c r="P162" s="7">
        <v>2.0299999999999998</v>
      </c>
      <c r="U162" t="s">
        <v>104</v>
      </c>
      <c r="V162" t="s">
        <v>111</v>
      </c>
      <c r="W162">
        <v>3</v>
      </c>
      <c r="X162" t="s">
        <v>104</v>
      </c>
      <c r="Y162" t="s">
        <v>411</v>
      </c>
      <c r="Z162" t="s">
        <v>146</v>
      </c>
      <c r="AA162" t="s">
        <v>114</v>
      </c>
      <c r="AB162" t="s">
        <v>115</v>
      </c>
      <c r="AC162">
        <v>403</v>
      </c>
      <c r="AD162" s="8" t="b">
        <f>AND(
 H162&gt;=Filters!$B$3,
 H162&lt;=Filters!$B$4,
 I162&gt;=Filters!$B$5,
 OR(Filters!$B$6="All",B162=Filters!$B$6),
 F162&gt;=Filters!$B$7,
 F162&lt;=Filters!$B$8,
 OR(Filters!$B$9="All",G162=Filters!$B$9)
)</f>
        <v>0</v>
      </c>
      <c r="AE162">
        <f t="shared" si="26"/>
        <v>6</v>
      </c>
      <c r="AF162">
        <f t="shared" si="27"/>
        <v>7</v>
      </c>
      <c r="AG162">
        <f t="shared" si="28"/>
        <v>7</v>
      </c>
      <c r="AH162" s="9" t="str">
        <f t="shared" si="29"/>
        <v/>
      </c>
      <c r="AI162" s="9" t="str">
        <f t="shared" si="30"/>
        <v/>
      </c>
      <c r="AJ162" s="9" t="str">
        <f t="shared" si="31"/>
        <v/>
      </c>
      <c r="AK162" s="9" t="str">
        <f t="shared" si="32"/>
        <v/>
      </c>
      <c r="AL162" s="9" t="str">
        <f t="shared" si="33"/>
        <v/>
      </c>
      <c r="AM162" s="9" t="str">
        <f t="shared" si="34"/>
        <v/>
      </c>
      <c r="AN162" s="9" t="str">
        <f t="shared" si="35"/>
        <v/>
      </c>
      <c r="AO162" s="9" t="str">
        <f t="shared" si="36"/>
        <v/>
      </c>
      <c r="AP162" s="9" t="str">
        <f t="shared" si="37"/>
        <v/>
      </c>
      <c r="AQ162" s="10" t="str">
        <f t="shared" si="38"/>
        <v/>
      </c>
    </row>
    <row r="163" spans="1:43">
      <c r="A163">
        <v>162</v>
      </c>
      <c r="B163" t="s">
        <v>17</v>
      </c>
      <c r="C163" t="s">
        <v>412</v>
      </c>
      <c r="D163" t="s">
        <v>413</v>
      </c>
      <c r="E163" t="s">
        <v>97</v>
      </c>
      <c r="G163" t="s">
        <v>18</v>
      </c>
      <c r="H163" s="4">
        <v>21735000</v>
      </c>
      <c r="I163" s="5">
        <v>256</v>
      </c>
      <c r="J163" s="5">
        <v>0</v>
      </c>
      <c r="K163" s="5">
        <v>4</v>
      </c>
      <c r="L163">
        <v>5.2</v>
      </c>
      <c r="M163">
        <v>6.5</v>
      </c>
      <c r="N163">
        <v>6.24</v>
      </c>
      <c r="O163" s="6">
        <v>17.3</v>
      </c>
      <c r="P163" s="7">
        <v>3</v>
      </c>
      <c r="U163" t="s">
        <v>84</v>
      </c>
      <c r="V163" t="s">
        <v>126</v>
      </c>
      <c r="W163">
        <v>1.6</v>
      </c>
      <c r="X163" t="s">
        <v>122</v>
      </c>
      <c r="Y163" t="s">
        <v>123</v>
      </c>
      <c r="Z163" t="s">
        <v>100</v>
      </c>
      <c r="AA163" t="s">
        <v>128</v>
      </c>
      <c r="AB163" t="s">
        <v>115</v>
      </c>
      <c r="AC163">
        <v>805</v>
      </c>
      <c r="AD163" s="8" t="b">
        <f>AND(
 H163&gt;=Filters!$B$3,
 H163&lt;=Filters!$B$4,
 I163&gt;=Filters!$B$5,
 OR(Filters!$B$6="All",B163=Filters!$B$6),
 F163&gt;=Filters!$B$7,
 F163&lt;=Filters!$B$8,
 OR(Filters!$B$9="All",G163=Filters!$B$9)
)</f>
        <v>1</v>
      </c>
      <c r="AE163">
        <f t="shared" si="26"/>
        <v>6</v>
      </c>
      <c r="AF163">
        <f t="shared" si="27"/>
        <v>7</v>
      </c>
      <c r="AG163">
        <f t="shared" si="28"/>
        <v>7</v>
      </c>
      <c r="AH163" s="9">
        <f t="shared" si="29"/>
        <v>0.47619047619047616</v>
      </c>
      <c r="AI163" s="9">
        <f t="shared" si="30"/>
        <v>0.33333333333333331</v>
      </c>
      <c r="AJ163" s="9">
        <f t="shared" si="31"/>
        <v>0.63095238095238093</v>
      </c>
      <c r="AK163" s="9">
        <f t="shared" si="32"/>
        <v>0.6</v>
      </c>
      <c r="AL163" s="9">
        <f t="shared" si="33"/>
        <v>0.78571428571428559</v>
      </c>
      <c r="AM163" s="9">
        <f t="shared" si="34"/>
        <v>0.5714285714285714</v>
      </c>
      <c r="AN163" s="9">
        <f t="shared" si="35"/>
        <v>0.69047619047619047</v>
      </c>
      <c r="AO163" s="9">
        <f t="shared" si="36"/>
        <v>0.69047619047619047</v>
      </c>
      <c r="AP163" s="9">
        <f t="shared" si="37"/>
        <v>0.55744111578771716</v>
      </c>
      <c r="AQ163" s="10">
        <f t="shared" si="38"/>
        <v>0.55744127878771721</v>
      </c>
    </row>
    <row r="164" spans="1:43">
      <c r="A164">
        <v>163</v>
      </c>
      <c r="B164" t="s">
        <v>23</v>
      </c>
      <c r="C164" t="s">
        <v>239</v>
      </c>
      <c r="D164" t="s">
        <v>240</v>
      </c>
      <c r="E164" t="s">
        <v>97</v>
      </c>
      <c r="G164" t="s">
        <v>18</v>
      </c>
      <c r="H164" s="4">
        <v>19656000</v>
      </c>
      <c r="I164" s="5">
        <v>256</v>
      </c>
      <c r="J164" s="5">
        <v>0</v>
      </c>
      <c r="K164" s="5">
        <v>8</v>
      </c>
      <c r="L164">
        <v>5.2</v>
      </c>
      <c r="M164">
        <v>6.5</v>
      </c>
      <c r="N164">
        <v>5.92</v>
      </c>
      <c r="O164" s="6">
        <v>15.6</v>
      </c>
      <c r="P164" s="7">
        <v>2.13</v>
      </c>
      <c r="U164" t="s">
        <v>84</v>
      </c>
      <c r="V164" t="s">
        <v>126</v>
      </c>
      <c r="W164">
        <v>1.6</v>
      </c>
      <c r="X164" t="s">
        <v>104</v>
      </c>
      <c r="Y164" t="s">
        <v>241</v>
      </c>
      <c r="Z164" t="s">
        <v>100</v>
      </c>
      <c r="AA164" t="s">
        <v>101</v>
      </c>
      <c r="AB164" t="s">
        <v>115</v>
      </c>
      <c r="AC164">
        <v>728</v>
      </c>
      <c r="AD164" s="8" t="b">
        <f>AND(
 H164&gt;=Filters!$B$3,
 H164&lt;=Filters!$B$4,
 I164&gt;=Filters!$B$5,
 OR(Filters!$B$6="All",B164=Filters!$B$6),
 F164&gt;=Filters!$B$7,
 F164&lt;=Filters!$B$8,
 OR(Filters!$B$9="All",G164=Filters!$B$9)
)</f>
        <v>1</v>
      </c>
      <c r="AE164">
        <f t="shared" si="26"/>
        <v>6</v>
      </c>
      <c r="AF164">
        <f t="shared" si="27"/>
        <v>7</v>
      </c>
      <c r="AG164">
        <f t="shared" si="28"/>
        <v>7</v>
      </c>
      <c r="AH164" s="9">
        <f t="shared" si="29"/>
        <v>0.47619047619047616</v>
      </c>
      <c r="AI164" s="9">
        <f t="shared" si="30"/>
        <v>0.80952380952380942</v>
      </c>
      <c r="AJ164" s="9">
        <f t="shared" si="31"/>
        <v>0.63095238095238093</v>
      </c>
      <c r="AK164" s="9">
        <f t="shared" si="32"/>
        <v>0.56190476190476191</v>
      </c>
      <c r="AL164" s="9">
        <f t="shared" si="33"/>
        <v>0.88928571428571423</v>
      </c>
      <c r="AM164" s="9">
        <f t="shared" si="34"/>
        <v>0.5714285714285714</v>
      </c>
      <c r="AN164" s="9">
        <f t="shared" si="35"/>
        <v>0.69047619047619047</v>
      </c>
      <c r="AO164" s="9">
        <f t="shared" si="36"/>
        <v>0.69047619047619047</v>
      </c>
      <c r="AP164" s="9">
        <f t="shared" si="37"/>
        <v>0.64626589544292579</v>
      </c>
      <c r="AQ164" s="10">
        <f t="shared" si="38"/>
        <v>0.64626605944292581</v>
      </c>
    </row>
    <row r="165" spans="1:43">
      <c r="A165">
        <v>164</v>
      </c>
      <c r="B165" t="s">
        <v>29</v>
      </c>
      <c r="C165" t="s">
        <v>156</v>
      </c>
      <c r="D165" t="s">
        <v>157</v>
      </c>
      <c r="E165" t="s">
        <v>158</v>
      </c>
      <c r="G165" t="s">
        <v>18</v>
      </c>
      <c r="H165" s="4">
        <v>29133000</v>
      </c>
      <c r="I165" s="5">
        <v>256</v>
      </c>
      <c r="J165" s="5">
        <v>0</v>
      </c>
      <c r="K165" s="5">
        <v>16</v>
      </c>
      <c r="L165">
        <v>9.6</v>
      </c>
      <c r="M165">
        <v>9.1999999999999993</v>
      </c>
      <c r="N165">
        <v>6.32</v>
      </c>
      <c r="O165" s="6">
        <v>15.6</v>
      </c>
      <c r="P165" s="7">
        <v>2.5</v>
      </c>
      <c r="U165" t="s">
        <v>84</v>
      </c>
      <c r="V165" t="s">
        <v>210</v>
      </c>
      <c r="W165">
        <v>2.8</v>
      </c>
      <c r="X165" t="s">
        <v>122</v>
      </c>
      <c r="Y165" t="s">
        <v>260</v>
      </c>
      <c r="Z165" t="s">
        <v>100</v>
      </c>
      <c r="AA165" t="s">
        <v>128</v>
      </c>
      <c r="AB165" t="s">
        <v>115</v>
      </c>
      <c r="AC165">
        <v>1079</v>
      </c>
      <c r="AD165" s="8" t="b">
        <f>AND(
 H165&gt;=Filters!$B$3,
 H165&lt;=Filters!$B$4,
 I165&gt;=Filters!$B$5,
 OR(Filters!$B$6="All",B165=Filters!$B$6),
 F165&gt;=Filters!$B$7,
 F165&lt;=Filters!$B$8,
 OR(Filters!$B$9="All",G165=Filters!$B$9)
)</f>
        <v>0</v>
      </c>
      <c r="AE165">
        <f t="shared" si="26"/>
        <v>6</v>
      </c>
      <c r="AF165">
        <f t="shared" si="27"/>
        <v>7</v>
      </c>
      <c r="AG165">
        <f t="shared" si="28"/>
        <v>7</v>
      </c>
      <c r="AH165" s="9" t="str">
        <f t="shared" si="29"/>
        <v/>
      </c>
      <c r="AI165" s="9" t="str">
        <f t="shared" si="30"/>
        <v/>
      </c>
      <c r="AJ165" s="9" t="str">
        <f t="shared" si="31"/>
        <v/>
      </c>
      <c r="AK165" s="9" t="str">
        <f t="shared" si="32"/>
        <v/>
      </c>
      <c r="AL165" s="9" t="str">
        <f t="shared" si="33"/>
        <v/>
      </c>
      <c r="AM165" s="9" t="str">
        <f t="shared" si="34"/>
        <v/>
      </c>
      <c r="AN165" s="9" t="str">
        <f t="shared" si="35"/>
        <v/>
      </c>
      <c r="AO165" s="9" t="str">
        <f t="shared" si="36"/>
        <v/>
      </c>
      <c r="AP165" s="9" t="str">
        <f t="shared" si="37"/>
        <v/>
      </c>
      <c r="AQ165" s="10" t="str">
        <f t="shared" si="38"/>
        <v/>
      </c>
    </row>
    <row r="166" spans="1:43">
      <c r="A166">
        <v>165</v>
      </c>
      <c r="B166" t="s">
        <v>17</v>
      </c>
      <c r="C166" t="s">
        <v>414</v>
      </c>
      <c r="D166" t="s">
        <v>415</v>
      </c>
      <c r="E166" t="s">
        <v>97</v>
      </c>
      <c r="G166" t="s">
        <v>18</v>
      </c>
      <c r="H166" s="4">
        <v>9396000</v>
      </c>
      <c r="I166" s="5">
        <v>0</v>
      </c>
      <c r="J166" s="5">
        <v>1024</v>
      </c>
      <c r="K166" s="5">
        <v>4</v>
      </c>
      <c r="L166">
        <v>1</v>
      </c>
      <c r="M166">
        <v>3.5</v>
      </c>
      <c r="N166">
        <v>3.92</v>
      </c>
      <c r="O166" s="6">
        <v>15.6</v>
      </c>
      <c r="P166" s="7">
        <v>2.1</v>
      </c>
      <c r="U166" t="s">
        <v>84</v>
      </c>
      <c r="V166" t="s">
        <v>198</v>
      </c>
      <c r="W166">
        <v>1.1000000000000001</v>
      </c>
      <c r="X166" t="s">
        <v>84</v>
      </c>
      <c r="Y166" t="s">
        <v>199</v>
      </c>
      <c r="Z166" t="s">
        <v>146</v>
      </c>
      <c r="AA166" t="s">
        <v>114</v>
      </c>
      <c r="AB166" t="s">
        <v>115</v>
      </c>
      <c r="AC166">
        <v>348</v>
      </c>
      <c r="AD166" s="8" t="b">
        <f>AND(
 H166&gt;=Filters!$B$3,
 H166&lt;=Filters!$B$4,
 I166&gt;=Filters!$B$5,
 OR(Filters!$B$6="All",B166=Filters!$B$6),
 F166&gt;=Filters!$B$7,
 F166&lt;=Filters!$B$8,
 OR(Filters!$B$9="All",G166=Filters!$B$9)
)</f>
        <v>0</v>
      </c>
      <c r="AE166">
        <f t="shared" si="26"/>
        <v>6</v>
      </c>
      <c r="AF166">
        <f t="shared" si="27"/>
        <v>7</v>
      </c>
      <c r="AG166">
        <f t="shared" si="28"/>
        <v>7</v>
      </c>
      <c r="AH166" s="9" t="str">
        <f t="shared" si="29"/>
        <v/>
      </c>
      <c r="AI166" s="9" t="str">
        <f t="shared" si="30"/>
        <v/>
      </c>
      <c r="AJ166" s="9" t="str">
        <f t="shared" si="31"/>
        <v/>
      </c>
      <c r="AK166" s="9" t="str">
        <f t="shared" si="32"/>
        <v/>
      </c>
      <c r="AL166" s="9" t="str">
        <f t="shared" si="33"/>
        <v/>
      </c>
      <c r="AM166" s="9" t="str">
        <f t="shared" si="34"/>
        <v/>
      </c>
      <c r="AN166" s="9" t="str">
        <f t="shared" si="35"/>
        <v/>
      </c>
      <c r="AO166" s="9" t="str">
        <f t="shared" si="36"/>
        <v/>
      </c>
      <c r="AP166" s="9" t="str">
        <f t="shared" si="37"/>
        <v/>
      </c>
      <c r="AQ166" s="10" t="str">
        <f t="shared" si="38"/>
        <v/>
      </c>
    </row>
    <row r="167" spans="1:43">
      <c r="A167">
        <v>166</v>
      </c>
      <c r="B167" t="s">
        <v>30</v>
      </c>
      <c r="C167" t="s">
        <v>416</v>
      </c>
      <c r="D167" t="s">
        <v>417</v>
      </c>
      <c r="E167" t="s">
        <v>158</v>
      </c>
      <c r="G167" t="s">
        <v>18</v>
      </c>
      <c r="H167" s="4">
        <v>48573000</v>
      </c>
      <c r="I167" s="5">
        <v>256</v>
      </c>
      <c r="J167" s="5">
        <v>1024</v>
      </c>
      <c r="K167" s="5">
        <v>16</v>
      </c>
      <c r="L167">
        <v>9.6</v>
      </c>
      <c r="M167">
        <v>9.1999999999999993</v>
      </c>
      <c r="N167">
        <v>6.32</v>
      </c>
      <c r="O167" s="6">
        <v>15.6</v>
      </c>
      <c r="P167" s="7">
        <v>2.4</v>
      </c>
      <c r="U167" t="s">
        <v>84</v>
      </c>
      <c r="V167" t="s">
        <v>210</v>
      </c>
      <c r="W167">
        <v>2.8</v>
      </c>
      <c r="X167" t="s">
        <v>122</v>
      </c>
      <c r="Y167" t="s">
        <v>211</v>
      </c>
      <c r="Z167" t="s">
        <v>212</v>
      </c>
      <c r="AA167" t="s">
        <v>128</v>
      </c>
      <c r="AB167" t="s">
        <v>115</v>
      </c>
      <c r="AC167">
        <v>1799</v>
      </c>
      <c r="AD167" s="8" t="b">
        <f>AND(
 H167&gt;=Filters!$B$3,
 H167&lt;=Filters!$B$4,
 I167&gt;=Filters!$B$5,
 OR(Filters!$B$6="All",B167=Filters!$B$6),
 F167&gt;=Filters!$B$7,
 F167&lt;=Filters!$B$8,
 OR(Filters!$B$9="All",G167=Filters!$B$9)
)</f>
        <v>0</v>
      </c>
      <c r="AE167">
        <f t="shared" si="26"/>
        <v>6</v>
      </c>
      <c r="AF167">
        <f t="shared" si="27"/>
        <v>7</v>
      </c>
      <c r="AG167">
        <f t="shared" si="28"/>
        <v>7</v>
      </c>
      <c r="AH167" s="9" t="str">
        <f t="shared" si="29"/>
        <v/>
      </c>
      <c r="AI167" s="9" t="str">
        <f t="shared" si="30"/>
        <v/>
      </c>
      <c r="AJ167" s="9" t="str">
        <f t="shared" si="31"/>
        <v/>
      </c>
      <c r="AK167" s="9" t="str">
        <f t="shared" si="32"/>
        <v/>
      </c>
      <c r="AL167" s="9" t="str">
        <f t="shared" si="33"/>
        <v/>
      </c>
      <c r="AM167" s="9" t="str">
        <f t="shared" si="34"/>
        <v/>
      </c>
      <c r="AN167" s="9" t="str">
        <f t="shared" si="35"/>
        <v/>
      </c>
      <c r="AO167" s="9" t="str">
        <f t="shared" si="36"/>
        <v/>
      </c>
      <c r="AP167" s="9" t="str">
        <f t="shared" si="37"/>
        <v/>
      </c>
      <c r="AQ167" s="10" t="str">
        <f t="shared" si="38"/>
        <v/>
      </c>
    </row>
    <row r="168" spans="1:43">
      <c r="A168">
        <v>167</v>
      </c>
      <c r="B168" t="s">
        <v>17</v>
      </c>
      <c r="C168" t="s">
        <v>109</v>
      </c>
      <c r="D168" t="s">
        <v>110</v>
      </c>
      <c r="E168" t="s">
        <v>97</v>
      </c>
      <c r="G168" t="s">
        <v>18</v>
      </c>
      <c r="H168" s="4">
        <v>9814770</v>
      </c>
      <c r="I168" s="5">
        <v>0</v>
      </c>
      <c r="J168" s="5">
        <v>1024</v>
      </c>
      <c r="K168" s="5">
        <v>4</v>
      </c>
      <c r="L168">
        <v>1.2</v>
      </c>
      <c r="M168">
        <v>3.5</v>
      </c>
      <c r="N168">
        <v>3.92</v>
      </c>
      <c r="O168" s="6">
        <v>15.6</v>
      </c>
      <c r="P168" s="7">
        <v>2.1</v>
      </c>
      <c r="U168" t="s">
        <v>84</v>
      </c>
      <c r="V168" t="s">
        <v>229</v>
      </c>
      <c r="W168">
        <v>1.1000000000000001</v>
      </c>
      <c r="X168" t="s">
        <v>84</v>
      </c>
      <c r="Y168" t="s">
        <v>418</v>
      </c>
      <c r="Z168" t="s">
        <v>146</v>
      </c>
      <c r="AA168" t="s">
        <v>114</v>
      </c>
      <c r="AB168" t="s">
        <v>115</v>
      </c>
      <c r="AC168">
        <v>363.51</v>
      </c>
      <c r="AD168" s="8" t="b">
        <f>AND(
 H168&gt;=Filters!$B$3,
 H168&lt;=Filters!$B$4,
 I168&gt;=Filters!$B$5,
 OR(Filters!$B$6="All",B168=Filters!$B$6),
 F168&gt;=Filters!$B$7,
 F168&lt;=Filters!$B$8,
 OR(Filters!$B$9="All",G168=Filters!$B$9)
)</f>
        <v>0</v>
      </c>
      <c r="AE168">
        <f t="shared" si="26"/>
        <v>6</v>
      </c>
      <c r="AF168">
        <f t="shared" si="27"/>
        <v>7</v>
      </c>
      <c r="AG168">
        <f t="shared" si="28"/>
        <v>7</v>
      </c>
      <c r="AH168" s="9" t="str">
        <f t="shared" si="29"/>
        <v/>
      </c>
      <c r="AI168" s="9" t="str">
        <f t="shared" si="30"/>
        <v/>
      </c>
      <c r="AJ168" s="9" t="str">
        <f t="shared" si="31"/>
        <v/>
      </c>
      <c r="AK168" s="9" t="str">
        <f t="shared" si="32"/>
        <v/>
      </c>
      <c r="AL168" s="9" t="str">
        <f t="shared" si="33"/>
        <v/>
      </c>
      <c r="AM168" s="9" t="str">
        <f t="shared" si="34"/>
        <v/>
      </c>
      <c r="AN168" s="9" t="str">
        <f t="shared" si="35"/>
        <v/>
      </c>
      <c r="AO168" s="9" t="str">
        <f t="shared" si="36"/>
        <v/>
      </c>
      <c r="AP168" s="9" t="str">
        <f t="shared" si="37"/>
        <v/>
      </c>
      <c r="AQ168" s="10" t="str">
        <f t="shared" si="38"/>
        <v/>
      </c>
    </row>
    <row r="169" spans="1:43">
      <c r="A169">
        <v>168</v>
      </c>
      <c r="B169" t="s">
        <v>23</v>
      </c>
      <c r="C169" t="s">
        <v>389</v>
      </c>
      <c r="D169" t="s">
        <v>390</v>
      </c>
      <c r="E169" t="s">
        <v>158</v>
      </c>
      <c r="G169" t="s">
        <v>18</v>
      </c>
      <c r="H169" s="4">
        <v>28633230</v>
      </c>
      <c r="I169" s="5">
        <v>128</v>
      </c>
      <c r="J169" s="5">
        <v>1024</v>
      </c>
      <c r="K169" s="5">
        <v>8</v>
      </c>
      <c r="L169">
        <v>9.6</v>
      </c>
      <c r="M169">
        <v>9.1999999999999993</v>
      </c>
      <c r="N169">
        <v>5.92</v>
      </c>
      <c r="O169" s="6">
        <v>15.6</v>
      </c>
      <c r="P169" s="7">
        <v>2.56</v>
      </c>
      <c r="U169" t="s">
        <v>84</v>
      </c>
      <c r="V169" t="s">
        <v>210</v>
      </c>
      <c r="W169">
        <v>2.8</v>
      </c>
      <c r="X169" t="s">
        <v>122</v>
      </c>
      <c r="Y169" t="s">
        <v>160</v>
      </c>
      <c r="Z169" t="s">
        <v>161</v>
      </c>
      <c r="AA169" t="s">
        <v>101</v>
      </c>
      <c r="AB169" t="s">
        <v>115</v>
      </c>
      <c r="AC169">
        <v>1060.49</v>
      </c>
      <c r="AD169" s="8" t="b">
        <f>AND(
 H169&gt;=Filters!$B$3,
 H169&lt;=Filters!$B$4,
 I169&gt;=Filters!$B$5,
 OR(Filters!$B$6="All",B169=Filters!$B$6),
 F169&gt;=Filters!$B$7,
 F169&lt;=Filters!$B$8,
 OR(Filters!$B$9="All",G169=Filters!$B$9)
)</f>
        <v>0</v>
      </c>
      <c r="AE169">
        <f t="shared" si="26"/>
        <v>6</v>
      </c>
      <c r="AF169">
        <f t="shared" si="27"/>
        <v>7</v>
      </c>
      <c r="AG169">
        <f t="shared" si="28"/>
        <v>7</v>
      </c>
      <c r="AH169" s="9" t="str">
        <f t="shared" si="29"/>
        <v/>
      </c>
      <c r="AI169" s="9" t="str">
        <f t="shared" si="30"/>
        <v/>
      </c>
      <c r="AJ169" s="9" t="str">
        <f t="shared" si="31"/>
        <v/>
      </c>
      <c r="AK169" s="9" t="str">
        <f t="shared" si="32"/>
        <v/>
      </c>
      <c r="AL169" s="9" t="str">
        <f t="shared" si="33"/>
        <v/>
      </c>
      <c r="AM169" s="9" t="str">
        <f t="shared" si="34"/>
        <v/>
      </c>
      <c r="AN169" s="9" t="str">
        <f t="shared" si="35"/>
        <v/>
      </c>
      <c r="AO169" s="9" t="str">
        <f t="shared" si="36"/>
        <v/>
      </c>
      <c r="AP169" s="9" t="str">
        <f t="shared" si="37"/>
        <v/>
      </c>
      <c r="AQ169" s="10" t="str">
        <f t="shared" si="38"/>
        <v/>
      </c>
    </row>
    <row r="170" spans="1:43">
      <c r="A170">
        <v>169</v>
      </c>
      <c r="B170" t="s">
        <v>17</v>
      </c>
      <c r="C170" t="s">
        <v>412</v>
      </c>
      <c r="D170" t="s">
        <v>413</v>
      </c>
      <c r="E170" t="s">
        <v>97</v>
      </c>
      <c r="G170" t="s">
        <v>18</v>
      </c>
      <c r="H170" s="4">
        <v>23058000</v>
      </c>
      <c r="I170" s="5">
        <v>256</v>
      </c>
      <c r="J170" s="5">
        <v>0</v>
      </c>
      <c r="K170" s="5">
        <v>8</v>
      </c>
      <c r="L170">
        <v>5.2</v>
      </c>
      <c r="M170">
        <v>6.5</v>
      </c>
      <c r="N170">
        <v>6.24</v>
      </c>
      <c r="O170" s="6">
        <v>17.3</v>
      </c>
      <c r="P170" s="7">
        <v>3</v>
      </c>
      <c r="U170" t="s">
        <v>84</v>
      </c>
      <c r="V170" t="s">
        <v>126</v>
      </c>
      <c r="W170">
        <v>1.6</v>
      </c>
      <c r="X170" t="s">
        <v>122</v>
      </c>
      <c r="Y170" t="s">
        <v>123</v>
      </c>
      <c r="Z170" t="s">
        <v>100</v>
      </c>
      <c r="AA170" t="s">
        <v>128</v>
      </c>
      <c r="AB170" t="s">
        <v>115</v>
      </c>
      <c r="AC170">
        <v>854</v>
      </c>
      <c r="AD170" s="8" t="b">
        <f>AND(
 H170&gt;=Filters!$B$3,
 H170&lt;=Filters!$B$4,
 I170&gt;=Filters!$B$5,
 OR(Filters!$B$6="All",B170=Filters!$B$6),
 F170&gt;=Filters!$B$7,
 F170&lt;=Filters!$B$8,
 OR(Filters!$B$9="All",G170=Filters!$B$9)
)</f>
        <v>1</v>
      </c>
      <c r="AE170">
        <f t="shared" si="26"/>
        <v>6</v>
      </c>
      <c r="AF170">
        <f t="shared" si="27"/>
        <v>7</v>
      </c>
      <c r="AG170">
        <f t="shared" si="28"/>
        <v>7</v>
      </c>
      <c r="AH170" s="9">
        <f t="shared" si="29"/>
        <v>0.47619047619047616</v>
      </c>
      <c r="AI170" s="9">
        <f t="shared" si="30"/>
        <v>0.80952380952380942</v>
      </c>
      <c r="AJ170" s="9">
        <f t="shared" si="31"/>
        <v>0.63095238095238093</v>
      </c>
      <c r="AK170" s="9">
        <f t="shared" si="32"/>
        <v>0.6</v>
      </c>
      <c r="AL170" s="9">
        <f t="shared" si="33"/>
        <v>0.78571428571428559</v>
      </c>
      <c r="AM170" s="9">
        <f t="shared" si="34"/>
        <v>0.5714285714285714</v>
      </c>
      <c r="AN170" s="9">
        <f t="shared" si="35"/>
        <v>0.69047619047619047</v>
      </c>
      <c r="AO170" s="9">
        <f t="shared" si="36"/>
        <v>0.69047619047619047</v>
      </c>
      <c r="AP170" s="9">
        <f t="shared" si="37"/>
        <v>0.64414807413904374</v>
      </c>
      <c r="AQ170" s="10">
        <f t="shared" si="38"/>
        <v>0.6441482441390437</v>
      </c>
    </row>
    <row r="171" spans="1:43">
      <c r="A171">
        <v>170</v>
      </c>
      <c r="B171" t="s">
        <v>26</v>
      </c>
      <c r="C171" t="s">
        <v>237</v>
      </c>
      <c r="D171" t="s">
        <v>238</v>
      </c>
      <c r="E171" t="s">
        <v>97</v>
      </c>
      <c r="G171" t="s">
        <v>18</v>
      </c>
      <c r="H171" s="4">
        <v>20358000</v>
      </c>
      <c r="I171" s="5">
        <v>0</v>
      </c>
      <c r="J171" s="5">
        <v>500</v>
      </c>
      <c r="K171" s="5">
        <v>4</v>
      </c>
      <c r="L171">
        <v>5.2</v>
      </c>
      <c r="M171">
        <v>3.8</v>
      </c>
      <c r="N171">
        <v>6.37</v>
      </c>
      <c r="O171" s="6">
        <v>13.3</v>
      </c>
      <c r="P171" s="7">
        <v>1.49</v>
      </c>
      <c r="U171" t="s">
        <v>84</v>
      </c>
      <c r="V171" t="s">
        <v>126</v>
      </c>
      <c r="W171">
        <v>1.6</v>
      </c>
      <c r="X171" t="s">
        <v>84</v>
      </c>
      <c r="Y171" t="s">
        <v>127</v>
      </c>
      <c r="Z171" t="s">
        <v>113</v>
      </c>
      <c r="AA171" t="s">
        <v>128</v>
      </c>
      <c r="AB171" t="s">
        <v>115</v>
      </c>
      <c r="AC171">
        <v>754</v>
      </c>
      <c r="AD171" s="8" t="b">
        <f>AND(
 H171&gt;=Filters!$B$3,
 H171&lt;=Filters!$B$4,
 I171&gt;=Filters!$B$5,
 OR(Filters!$B$6="All",B171=Filters!$B$6),
 F171&gt;=Filters!$B$7,
 F171&lt;=Filters!$B$8,
 OR(Filters!$B$9="All",G171=Filters!$B$9)
)</f>
        <v>0</v>
      </c>
      <c r="AE171">
        <f t="shared" si="26"/>
        <v>6</v>
      </c>
      <c r="AF171">
        <f t="shared" si="27"/>
        <v>7</v>
      </c>
      <c r="AG171">
        <f t="shared" si="28"/>
        <v>7</v>
      </c>
      <c r="AH171" s="9" t="str">
        <f t="shared" si="29"/>
        <v/>
      </c>
      <c r="AI171" s="9" t="str">
        <f t="shared" si="30"/>
        <v/>
      </c>
      <c r="AJ171" s="9" t="str">
        <f t="shared" si="31"/>
        <v/>
      </c>
      <c r="AK171" s="9" t="str">
        <f t="shared" si="32"/>
        <v/>
      </c>
      <c r="AL171" s="9" t="str">
        <f t="shared" si="33"/>
        <v/>
      </c>
      <c r="AM171" s="9" t="str">
        <f t="shared" si="34"/>
        <v/>
      </c>
      <c r="AN171" s="9" t="str">
        <f t="shared" si="35"/>
        <v/>
      </c>
      <c r="AO171" s="9" t="str">
        <f t="shared" si="36"/>
        <v/>
      </c>
      <c r="AP171" s="9" t="str">
        <f t="shared" si="37"/>
        <v/>
      </c>
      <c r="AQ171" s="10" t="str">
        <f t="shared" si="38"/>
        <v/>
      </c>
    </row>
    <row r="172" spans="1:43">
      <c r="A172">
        <v>171</v>
      </c>
      <c r="B172" t="s">
        <v>27</v>
      </c>
      <c r="C172" t="s">
        <v>419</v>
      </c>
      <c r="D172" t="s">
        <v>420</v>
      </c>
      <c r="E172" t="s">
        <v>83</v>
      </c>
      <c r="G172" t="s">
        <v>18</v>
      </c>
      <c r="H172" s="4">
        <v>36423000</v>
      </c>
      <c r="I172" s="5">
        <v>256</v>
      </c>
      <c r="J172" s="5">
        <v>0</v>
      </c>
      <c r="K172" s="5">
        <v>8</v>
      </c>
      <c r="L172">
        <v>7</v>
      </c>
      <c r="M172">
        <v>3.5</v>
      </c>
      <c r="N172">
        <v>7.35</v>
      </c>
      <c r="O172" s="6">
        <v>13</v>
      </c>
      <c r="P172" s="7">
        <v>1.05</v>
      </c>
      <c r="U172" t="s">
        <v>84</v>
      </c>
      <c r="V172" t="s">
        <v>98</v>
      </c>
      <c r="W172">
        <v>2.5</v>
      </c>
      <c r="X172" t="s">
        <v>84</v>
      </c>
      <c r="Y172" t="s">
        <v>99</v>
      </c>
      <c r="Z172" t="s">
        <v>100</v>
      </c>
      <c r="AA172" t="s">
        <v>421</v>
      </c>
      <c r="AB172" t="s">
        <v>115</v>
      </c>
      <c r="AC172">
        <v>1349</v>
      </c>
      <c r="AD172" s="8" t="b">
        <f>AND(
 H172&gt;=Filters!$B$3,
 H172&lt;=Filters!$B$4,
 I172&gt;=Filters!$B$5,
 OR(Filters!$B$6="All",B172=Filters!$B$6),
 F172&gt;=Filters!$B$7,
 F172&lt;=Filters!$B$8,
 OR(Filters!$B$9="All",G172=Filters!$B$9)
)</f>
        <v>0</v>
      </c>
      <c r="AE172">
        <f t="shared" si="26"/>
        <v>6</v>
      </c>
      <c r="AF172">
        <f t="shared" si="27"/>
        <v>7</v>
      </c>
      <c r="AG172">
        <f t="shared" si="28"/>
        <v>7</v>
      </c>
      <c r="AH172" s="9" t="str">
        <f t="shared" si="29"/>
        <v/>
      </c>
      <c r="AI172" s="9" t="str">
        <f t="shared" si="30"/>
        <v/>
      </c>
      <c r="AJ172" s="9" t="str">
        <f t="shared" si="31"/>
        <v/>
      </c>
      <c r="AK172" s="9" t="str">
        <f t="shared" si="32"/>
        <v/>
      </c>
      <c r="AL172" s="9" t="str">
        <f t="shared" si="33"/>
        <v/>
      </c>
      <c r="AM172" s="9" t="str">
        <f t="shared" si="34"/>
        <v/>
      </c>
      <c r="AN172" s="9" t="str">
        <f t="shared" si="35"/>
        <v/>
      </c>
      <c r="AO172" s="9" t="str">
        <f t="shared" si="36"/>
        <v/>
      </c>
      <c r="AP172" s="9" t="str">
        <f t="shared" si="37"/>
        <v/>
      </c>
      <c r="AQ172" s="10" t="str">
        <f t="shared" si="38"/>
        <v/>
      </c>
    </row>
    <row r="173" spans="1:43">
      <c r="A173">
        <v>172</v>
      </c>
      <c r="B173" t="s">
        <v>26</v>
      </c>
      <c r="C173" t="s">
        <v>422</v>
      </c>
      <c r="D173" t="s">
        <v>423</v>
      </c>
      <c r="E173" t="s">
        <v>97</v>
      </c>
      <c r="G173" t="s">
        <v>18</v>
      </c>
      <c r="H173" s="4">
        <v>18873000</v>
      </c>
      <c r="I173" s="5">
        <v>0</v>
      </c>
      <c r="J173" s="5">
        <v>2048</v>
      </c>
      <c r="K173" s="5">
        <v>6</v>
      </c>
      <c r="L173">
        <v>7</v>
      </c>
      <c r="M173">
        <v>6.5</v>
      </c>
      <c r="N173">
        <v>6.24</v>
      </c>
      <c r="O173" s="6">
        <v>17.3</v>
      </c>
      <c r="P173" s="7">
        <v>2.71</v>
      </c>
      <c r="U173" t="s">
        <v>84</v>
      </c>
      <c r="V173" t="s">
        <v>98</v>
      </c>
      <c r="W173">
        <v>2.5</v>
      </c>
      <c r="X173" t="s">
        <v>104</v>
      </c>
      <c r="Y173" t="s">
        <v>241</v>
      </c>
      <c r="Z173" t="s">
        <v>283</v>
      </c>
      <c r="AA173" t="s">
        <v>128</v>
      </c>
      <c r="AB173" t="s">
        <v>115</v>
      </c>
      <c r="AC173">
        <v>699</v>
      </c>
      <c r="AD173" s="8" t="b">
        <f>AND(
 H173&gt;=Filters!$B$3,
 H173&lt;=Filters!$B$4,
 I173&gt;=Filters!$B$5,
 OR(Filters!$B$6="All",B173=Filters!$B$6),
 F173&gt;=Filters!$B$7,
 F173&lt;=Filters!$B$8,
 OR(Filters!$B$9="All",G173=Filters!$B$9)
)</f>
        <v>0</v>
      </c>
      <c r="AE173">
        <f t="shared" si="26"/>
        <v>6</v>
      </c>
      <c r="AF173">
        <f t="shared" si="27"/>
        <v>7</v>
      </c>
      <c r="AG173">
        <f t="shared" si="28"/>
        <v>7</v>
      </c>
      <c r="AH173" s="9" t="str">
        <f t="shared" si="29"/>
        <v/>
      </c>
      <c r="AI173" s="9" t="str">
        <f t="shared" si="30"/>
        <v/>
      </c>
      <c r="AJ173" s="9" t="str">
        <f t="shared" si="31"/>
        <v/>
      </c>
      <c r="AK173" s="9" t="str">
        <f t="shared" si="32"/>
        <v/>
      </c>
      <c r="AL173" s="9" t="str">
        <f t="shared" si="33"/>
        <v/>
      </c>
      <c r="AM173" s="9" t="str">
        <f t="shared" si="34"/>
        <v/>
      </c>
      <c r="AN173" s="9" t="str">
        <f t="shared" si="35"/>
        <v/>
      </c>
      <c r="AO173" s="9" t="str">
        <f t="shared" si="36"/>
        <v/>
      </c>
      <c r="AP173" s="9" t="str">
        <f t="shared" si="37"/>
        <v/>
      </c>
      <c r="AQ173" s="10" t="str">
        <f t="shared" si="38"/>
        <v/>
      </c>
    </row>
    <row r="174" spans="1:43">
      <c r="A174">
        <v>173</v>
      </c>
      <c r="B174" t="s">
        <v>29</v>
      </c>
      <c r="C174" t="s">
        <v>289</v>
      </c>
      <c r="D174" t="s">
        <v>290</v>
      </c>
      <c r="E174" t="s">
        <v>97</v>
      </c>
      <c r="G174" t="s">
        <v>18</v>
      </c>
      <c r="H174" s="4">
        <v>8343000</v>
      </c>
      <c r="I174" s="5">
        <v>0</v>
      </c>
      <c r="J174" s="5">
        <v>500</v>
      </c>
      <c r="K174" s="5">
        <v>4</v>
      </c>
      <c r="L174">
        <v>6.8</v>
      </c>
      <c r="M174">
        <v>6.5</v>
      </c>
      <c r="N174">
        <v>3.92</v>
      </c>
      <c r="O174" s="6">
        <v>15.6</v>
      </c>
      <c r="P174" s="7">
        <v>2.2000000000000002</v>
      </c>
      <c r="U174" t="s">
        <v>104</v>
      </c>
      <c r="V174" t="s">
        <v>194</v>
      </c>
      <c r="W174">
        <v>2.9</v>
      </c>
      <c r="X174" t="s">
        <v>104</v>
      </c>
      <c r="Y174" t="s">
        <v>236</v>
      </c>
      <c r="Z174" t="s">
        <v>113</v>
      </c>
      <c r="AA174" t="s">
        <v>114</v>
      </c>
      <c r="AB174" t="s">
        <v>102</v>
      </c>
      <c r="AC174">
        <v>309</v>
      </c>
      <c r="AD174" s="8" t="b">
        <f>AND(
 H174&gt;=Filters!$B$3,
 H174&lt;=Filters!$B$4,
 I174&gt;=Filters!$B$5,
 OR(Filters!$B$6="All",B174=Filters!$B$6),
 F174&gt;=Filters!$B$7,
 F174&lt;=Filters!$B$8,
 OR(Filters!$B$9="All",G174=Filters!$B$9)
)</f>
        <v>0</v>
      </c>
      <c r="AE174">
        <f t="shared" si="26"/>
        <v>6</v>
      </c>
      <c r="AF174">
        <f t="shared" si="27"/>
        <v>7</v>
      </c>
      <c r="AG174">
        <f t="shared" si="28"/>
        <v>7</v>
      </c>
      <c r="AH174" s="9" t="str">
        <f t="shared" si="29"/>
        <v/>
      </c>
      <c r="AI174" s="9" t="str">
        <f t="shared" si="30"/>
        <v/>
      </c>
      <c r="AJ174" s="9" t="str">
        <f t="shared" si="31"/>
        <v/>
      </c>
      <c r="AK174" s="9" t="str">
        <f t="shared" si="32"/>
        <v/>
      </c>
      <c r="AL174" s="9" t="str">
        <f t="shared" si="33"/>
        <v/>
      </c>
      <c r="AM174" s="9" t="str">
        <f t="shared" si="34"/>
        <v/>
      </c>
      <c r="AN174" s="9" t="str">
        <f t="shared" si="35"/>
        <v/>
      </c>
      <c r="AO174" s="9" t="str">
        <f t="shared" si="36"/>
        <v/>
      </c>
      <c r="AP174" s="9" t="str">
        <f t="shared" si="37"/>
        <v/>
      </c>
      <c r="AQ174" s="10" t="str">
        <f t="shared" si="38"/>
        <v/>
      </c>
    </row>
    <row r="175" spans="1:43">
      <c r="A175">
        <v>174</v>
      </c>
      <c r="B175" t="s">
        <v>35</v>
      </c>
      <c r="C175" t="s">
        <v>373</v>
      </c>
      <c r="D175" t="s">
        <v>374</v>
      </c>
      <c r="E175" t="s">
        <v>97</v>
      </c>
      <c r="G175" t="s">
        <v>18</v>
      </c>
      <c r="H175" s="4">
        <v>13203000</v>
      </c>
      <c r="I175" s="5">
        <v>0</v>
      </c>
      <c r="J175" s="5">
        <v>500</v>
      </c>
      <c r="K175" s="5">
        <v>4</v>
      </c>
      <c r="L175">
        <v>4.8</v>
      </c>
      <c r="M175">
        <v>3.5</v>
      </c>
      <c r="N175">
        <v>3.92</v>
      </c>
      <c r="O175" s="6">
        <v>15.6</v>
      </c>
      <c r="P175" s="7">
        <v>2</v>
      </c>
      <c r="U175" t="s">
        <v>84</v>
      </c>
      <c r="V175" t="s">
        <v>144</v>
      </c>
      <c r="W175">
        <v>2.4</v>
      </c>
      <c r="X175" t="s">
        <v>84</v>
      </c>
      <c r="Y175" t="s">
        <v>99</v>
      </c>
      <c r="Z175" t="s">
        <v>113</v>
      </c>
      <c r="AA175" t="s">
        <v>114</v>
      </c>
      <c r="AB175" t="s">
        <v>115</v>
      </c>
      <c r="AC175">
        <v>489</v>
      </c>
      <c r="AD175" s="8" t="b">
        <f>AND(
 H175&gt;=Filters!$B$3,
 H175&lt;=Filters!$B$4,
 I175&gt;=Filters!$B$5,
 OR(Filters!$B$6="All",B175=Filters!$B$6),
 F175&gt;=Filters!$B$7,
 F175&lt;=Filters!$B$8,
 OR(Filters!$B$9="All",G175=Filters!$B$9)
)</f>
        <v>0</v>
      </c>
      <c r="AE175">
        <f t="shared" si="26"/>
        <v>6</v>
      </c>
      <c r="AF175">
        <f t="shared" si="27"/>
        <v>7</v>
      </c>
      <c r="AG175">
        <f t="shared" si="28"/>
        <v>7</v>
      </c>
      <c r="AH175" s="9" t="str">
        <f t="shared" si="29"/>
        <v/>
      </c>
      <c r="AI175" s="9" t="str">
        <f t="shared" si="30"/>
        <v/>
      </c>
      <c r="AJ175" s="9" t="str">
        <f t="shared" si="31"/>
        <v/>
      </c>
      <c r="AK175" s="9" t="str">
        <f t="shared" si="32"/>
        <v/>
      </c>
      <c r="AL175" s="9" t="str">
        <f t="shared" si="33"/>
        <v/>
      </c>
      <c r="AM175" s="9" t="str">
        <f t="shared" si="34"/>
        <v/>
      </c>
      <c r="AN175" s="9" t="str">
        <f t="shared" si="35"/>
        <v/>
      </c>
      <c r="AO175" s="9" t="str">
        <f t="shared" si="36"/>
        <v/>
      </c>
      <c r="AP175" s="9" t="str">
        <f t="shared" si="37"/>
        <v/>
      </c>
      <c r="AQ175" s="10" t="str">
        <f t="shared" si="38"/>
        <v/>
      </c>
    </row>
    <row r="176" spans="1:43">
      <c r="A176">
        <v>175</v>
      </c>
      <c r="B176" t="s">
        <v>26</v>
      </c>
      <c r="C176" t="s">
        <v>181</v>
      </c>
      <c r="D176" t="s">
        <v>182</v>
      </c>
      <c r="E176" t="s">
        <v>97</v>
      </c>
      <c r="G176" t="s">
        <v>18</v>
      </c>
      <c r="H176" s="4">
        <v>24921000</v>
      </c>
      <c r="I176" s="5">
        <v>256</v>
      </c>
      <c r="J176" s="5">
        <v>0</v>
      </c>
      <c r="K176" s="5">
        <v>8</v>
      </c>
      <c r="L176">
        <v>5.2</v>
      </c>
      <c r="M176">
        <v>6.5</v>
      </c>
      <c r="N176">
        <v>5.83</v>
      </c>
      <c r="O176" s="6">
        <v>17.3</v>
      </c>
      <c r="P176" s="7">
        <v>2.5</v>
      </c>
      <c r="U176" t="s">
        <v>84</v>
      </c>
      <c r="V176" t="s">
        <v>126</v>
      </c>
      <c r="W176">
        <v>1.6</v>
      </c>
      <c r="X176" t="s">
        <v>122</v>
      </c>
      <c r="Y176" t="s">
        <v>183</v>
      </c>
      <c r="Z176" t="s">
        <v>100</v>
      </c>
      <c r="AA176" t="s">
        <v>101</v>
      </c>
      <c r="AB176" t="s">
        <v>115</v>
      </c>
      <c r="AC176">
        <v>923</v>
      </c>
      <c r="AD176" s="8" t="b">
        <f>AND(
 H176&gt;=Filters!$B$3,
 H176&lt;=Filters!$B$4,
 I176&gt;=Filters!$B$5,
 OR(Filters!$B$6="All",B176=Filters!$B$6),
 F176&gt;=Filters!$B$7,
 F176&lt;=Filters!$B$8,
 OR(Filters!$B$9="All",G176=Filters!$B$9)
)</f>
        <v>1</v>
      </c>
      <c r="AE176">
        <f t="shared" si="26"/>
        <v>6</v>
      </c>
      <c r="AF176">
        <f t="shared" si="27"/>
        <v>7</v>
      </c>
      <c r="AG176">
        <f t="shared" si="28"/>
        <v>7</v>
      </c>
      <c r="AH176" s="9">
        <f t="shared" si="29"/>
        <v>0.47619047619047616</v>
      </c>
      <c r="AI176" s="9">
        <f t="shared" si="30"/>
        <v>0.80952380952380942</v>
      </c>
      <c r="AJ176" s="9">
        <f t="shared" si="31"/>
        <v>0.63095238095238093</v>
      </c>
      <c r="AK176" s="9">
        <f t="shared" si="32"/>
        <v>0.55119047619047612</v>
      </c>
      <c r="AL176" s="9">
        <f t="shared" si="33"/>
        <v>0.84523809523809512</v>
      </c>
      <c r="AM176" s="9">
        <f t="shared" si="34"/>
        <v>0.5714285714285714</v>
      </c>
      <c r="AN176" s="9">
        <f t="shared" si="35"/>
        <v>0.69047619047619047</v>
      </c>
      <c r="AO176" s="9">
        <f t="shared" si="36"/>
        <v>0.69047619047619047</v>
      </c>
      <c r="AP176" s="9">
        <f t="shared" si="37"/>
        <v>0.64315096483949785</v>
      </c>
      <c r="AQ176" s="10">
        <f t="shared" si="38"/>
        <v>0.64315114083949787</v>
      </c>
    </row>
    <row r="177" spans="1:43">
      <c r="A177">
        <v>176</v>
      </c>
      <c r="B177" t="s">
        <v>23</v>
      </c>
      <c r="C177" t="s">
        <v>132</v>
      </c>
      <c r="D177" t="s">
        <v>133</v>
      </c>
      <c r="E177" t="s">
        <v>97</v>
      </c>
      <c r="G177" t="s">
        <v>18</v>
      </c>
      <c r="H177" s="4">
        <v>12393000</v>
      </c>
      <c r="I177" s="5">
        <v>0</v>
      </c>
      <c r="J177" s="5">
        <v>1024</v>
      </c>
      <c r="K177" s="5">
        <v>8</v>
      </c>
      <c r="L177">
        <v>4.8</v>
      </c>
      <c r="M177">
        <v>3.5</v>
      </c>
      <c r="N177">
        <v>3.92</v>
      </c>
      <c r="O177" s="6">
        <v>15.6</v>
      </c>
      <c r="P177" s="7">
        <v>2.2999999999999998</v>
      </c>
      <c r="U177" t="s">
        <v>84</v>
      </c>
      <c r="V177" t="s">
        <v>144</v>
      </c>
      <c r="W177">
        <v>2.4</v>
      </c>
      <c r="X177" t="s">
        <v>84</v>
      </c>
      <c r="Y177" t="s">
        <v>99</v>
      </c>
      <c r="Z177" t="s">
        <v>146</v>
      </c>
      <c r="AA177" t="s">
        <v>114</v>
      </c>
      <c r="AB177" t="s">
        <v>115</v>
      </c>
      <c r="AC177">
        <v>459</v>
      </c>
      <c r="AD177" s="8" t="b">
        <f>AND(
 H177&gt;=Filters!$B$3,
 H177&lt;=Filters!$B$4,
 I177&gt;=Filters!$B$5,
 OR(Filters!$B$6="All",B177=Filters!$B$6),
 F177&gt;=Filters!$B$7,
 F177&lt;=Filters!$B$8,
 OR(Filters!$B$9="All",G177=Filters!$B$9)
)</f>
        <v>0</v>
      </c>
      <c r="AE177">
        <f t="shared" si="26"/>
        <v>6</v>
      </c>
      <c r="AF177">
        <f t="shared" si="27"/>
        <v>7</v>
      </c>
      <c r="AG177">
        <f t="shared" si="28"/>
        <v>7</v>
      </c>
      <c r="AH177" s="9" t="str">
        <f t="shared" si="29"/>
        <v/>
      </c>
      <c r="AI177" s="9" t="str">
        <f t="shared" si="30"/>
        <v/>
      </c>
      <c r="AJ177" s="9" t="str">
        <f t="shared" si="31"/>
        <v/>
      </c>
      <c r="AK177" s="9" t="str">
        <f t="shared" si="32"/>
        <v/>
      </c>
      <c r="AL177" s="9" t="str">
        <f t="shared" si="33"/>
        <v/>
      </c>
      <c r="AM177" s="9" t="str">
        <f t="shared" si="34"/>
        <v/>
      </c>
      <c r="AN177" s="9" t="str">
        <f t="shared" si="35"/>
        <v/>
      </c>
      <c r="AO177" s="9" t="str">
        <f t="shared" si="36"/>
        <v/>
      </c>
      <c r="AP177" s="9" t="str">
        <f t="shared" si="37"/>
        <v/>
      </c>
      <c r="AQ177" s="10" t="str">
        <f t="shared" si="38"/>
        <v/>
      </c>
    </row>
    <row r="178" spans="1:43">
      <c r="A178">
        <v>177</v>
      </c>
      <c r="B178" t="s">
        <v>17</v>
      </c>
      <c r="C178" t="s">
        <v>387</v>
      </c>
      <c r="D178" t="s">
        <v>388</v>
      </c>
      <c r="E178" t="s">
        <v>97</v>
      </c>
      <c r="G178" t="s">
        <v>18</v>
      </c>
      <c r="H178" s="4">
        <v>12123000</v>
      </c>
      <c r="I178" s="5">
        <v>128</v>
      </c>
      <c r="J178" s="5">
        <v>0</v>
      </c>
      <c r="K178" s="5">
        <v>4</v>
      </c>
      <c r="L178">
        <v>4</v>
      </c>
      <c r="M178">
        <v>3.5</v>
      </c>
      <c r="N178">
        <v>3.92</v>
      </c>
      <c r="O178" s="6">
        <v>15.6</v>
      </c>
      <c r="P178" s="7">
        <v>2.1</v>
      </c>
      <c r="U178" t="s">
        <v>84</v>
      </c>
      <c r="V178" t="s">
        <v>129</v>
      </c>
      <c r="W178">
        <v>2</v>
      </c>
      <c r="X178" t="s">
        <v>84</v>
      </c>
      <c r="Y178" t="s">
        <v>130</v>
      </c>
      <c r="Z178" t="s">
        <v>87</v>
      </c>
      <c r="AA178" t="s">
        <v>114</v>
      </c>
      <c r="AB178" t="s">
        <v>115</v>
      </c>
      <c r="AC178">
        <v>449</v>
      </c>
      <c r="AD178" s="8" t="b">
        <f>AND(
 H178&gt;=Filters!$B$3,
 H178&lt;=Filters!$B$4,
 I178&gt;=Filters!$B$5,
 OR(Filters!$B$6="All",B178=Filters!$B$6),
 F178&gt;=Filters!$B$7,
 F178&lt;=Filters!$B$8,
 OR(Filters!$B$9="All",G178=Filters!$B$9)
)</f>
        <v>0</v>
      </c>
      <c r="AE178">
        <f t="shared" si="26"/>
        <v>6</v>
      </c>
      <c r="AF178">
        <f t="shared" si="27"/>
        <v>7</v>
      </c>
      <c r="AG178">
        <f t="shared" si="28"/>
        <v>7</v>
      </c>
      <c r="AH178" s="9" t="str">
        <f t="shared" si="29"/>
        <v/>
      </c>
      <c r="AI178" s="9" t="str">
        <f t="shared" si="30"/>
        <v/>
      </c>
      <c r="AJ178" s="9" t="str">
        <f t="shared" si="31"/>
        <v/>
      </c>
      <c r="AK178" s="9" t="str">
        <f t="shared" si="32"/>
        <v/>
      </c>
      <c r="AL178" s="9" t="str">
        <f t="shared" si="33"/>
        <v/>
      </c>
      <c r="AM178" s="9" t="str">
        <f t="shared" si="34"/>
        <v/>
      </c>
      <c r="AN178" s="9" t="str">
        <f t="shared" si="35"/>
        <v/>
      </c>
      <c r="AO178" s="9" t="str">
        <f t="shared" si="36"/>
        <v/>
      </c>
      <c r="AP178" s="9" t="str">
        <f t="shared" si="37"/>
        <v/>
      </c>
      <c r="AQ178" s="10" t="str">
        <f t="shared" si="38"/>
        <v/>
      </c>
    </row>
    <row r="179" spans="1:43">
      <c r="A179">
        <v>178</v>
      </c>
      <c r="B179" t="s">
        <v>30</v>
      </c>
      <c r="C179" t="s">
        <v>424</v>
      </c>
      <c r="D179" t="s">
        <v>425</v>
      </c>
      <c r="E179" t="s">
        <v>158</v>
      </c>
      <c r="G179" t="s">
        <v>18</v>
      </c>
      <c r="H179" s="4">
        <v>75573000</v>
      </c>
      <c r="I179" s="5">
        <v>512</v>
      </c>
      <c r="J179" s="5">
        <v>1024</v>
      </c>
      <c r="K179" s="5">
        <v>32</v>
      </c>
      <c r="L179">
        <v>9.8000000000000007</v>
      </c>
      <c r="M179">
        <v>9.1999999999999993</v>
      </c>
      <c r="N179">
        <v>5.78</v>
      </c>
      <c r="O179" s="6">
        <v>18.399999999999999</v>
      </c>
      <c r="P179" s="7">
        <v>4.4000000000000004</v>
      </c>
      <c r="U179" t="s">
        <v>84</v>
      </c>
      <c r="V179" t="s">
        <v>426</v>
      </c>
      <c r="W179">
        <v>2.9</v>
      </c>
      <c r="X179" t="s">
        <v>122</v>
      </c>
      <c r="Y179" t="s">
        <v>427</v>
      </c>
      <c r="Z179" t="s">
        <v>428</v>
      </c>
      <c r="AA179" t="s">
        <v>101</v>
      </c>
      <c r="AB179" t="s">
        <v>115</v>
      </c>
      <c r="AC179">
        <v>2799</v>
      </c>
      <c r="AD179" s="8" t="b">
        <f>AND(
 H179&gt;=Filters!$B$3,
 H179&lt;=Filters!$B$4,
 I179&gt;=Filters!$B$5,
 OR(Filters!$B$6="All",B179=Filters!$B$6),
 F179&gt;=Filters!$B$7,
 F179&lt;=Filters!$B$8,
 OR(Filters!$B$9="All",G179=Filters!$B$9)
)</f>
        <v>0</v>
      </c>
      <c r="AE179">
        <f t="shared" si="26"/>
        <v>6</v>
      </c>
      <c r="AF179">
        <f t="shared" si="27"/>
        <v>7</v>
      </c>
      <c r="AG179">
        <f t="shared" si="28"/>
        <v>7</v>
      </c>
      <c r="AH179" s="9" t="str">
        <f t="shared" si="29"/>
        <v/>
      </c>
      <c r="AI179" s="9" t="str">
        <f t="shared" si="30"/>
        <v/>
      </c>
      <c r="AJ179" s="9" t="str">
        <f t="shared" si="31"/>
        <v/>
      </c>
      <c r="AK179" s="9" t="str">
        <f t="shared" si="32"/>
        <v/>
      </c>
      <c r="AL179" s="9" t="str">
        <f t="shared" si="33"/>
        <v/>
      </c>
      <c r="AM179" s="9" t="str">
        <f t="shared" si="34"/>
        <v/>
      </c>
      <c r="AN179" s="9" t="str">
        <f t="shared" si="35"/>
        <v/>
      </c>
      <c r="AO179" s="9" t="str">
        <f t="shared" si="36"/>
        <v/>
      </c>
      <c r="AP179" s="9" t="str">
        <f t="shared" si="37"/>
        <v/>
      </c>
      <c r="AQ179" s="10" t="str">
        <f t="shared" si="38"/>
        <v/>
      </c>
    </row>
    <row r="180" spans="1:43">
      <c r="A180">
        <v>179</v>
      </c>
      <c r="B180" t="s">
        <v>29</v>
      </c>
      <c r="C180" t="s">
        <v>429</v>
      </c>
      <c r="D180" t="s">
        <v>430</v>
      </c>
      <c r="E180" t="s">
        <v>97</v>
      </c>
      <c r="G180" t="s">
        <v>18</v>
      </c>
      <c r="H180" s="4">
        <v>21951000</v>
      </c>
      <c r="I180" s="5">
        <v>128</v>
      </c>
      <c r="J180" s="5">
        <v>1024</v>
      </c>
      <c r="K180" s="5">
        <v>8</v>
      </c>
      <c r="L180">
        <v>7</v>
      </c>
      <c r="M180">
        <v>6.5</v>
      </c>
      <c r="N180">
        <v>5.92</v>
      </c>
      <c r="O180" s="6">
        <v>15.6</v>
      </c>
      <c r="P180" s="7">
        <v>1.9</v>
      </c>
      <c r="U180" t="s">
        <v>84</v>
      </c>
      <c r="V180" t="s">
        <v>98</v>
      </c>
      <c r="W180">
        <v>2.5</v>
      </c>
      <c r="X180" t="s">
        <v>104</v>
      </c>
      <c r="Y180" t="s">
        <v>431</v>
      </c>
      <c r="Z180" t="s">
        <v>161</v>
      </c>
      <c r="AA180" t="s">
        <v>101</v>
      </c>
      <c r="AB180" t="s">
        <v>115</v>
      </c>
      <c r="AC180">
        <v>813</v>
      </c>
      <c r="AD180" s="8" t="b">
        <f>AND(
 H180&gt;=Filters!$B$3,
 H180&lt;=Filters!$B$4,
 I180&gt;=Filters!$B$5,
 OR(Filters!$B$6="All",B180=Filters!$B$6),
 F180&gt;=Filters!$B$7,
 F180&lt;=Filters!$B$8,
 OR(Filters!$B$9="All",G180=Filters!$B$9)
)</f>
        <v>0</v>
      </c>
      <c r="AE180">
        <f t="shared" si="26"/>
        <v>6</v>
      </c>
      <c r="AF180">
        <f t="shared" si="27"/>
        <v>7</v>
      </c>
      <c r="AG180">
        <f t="shared" si="28"/>
        <v>7</v>
      </c>
      <c r="AH180" s="9" t="str">
        <f t="shared" si="29"/>
        <v/>
      </c>
      <c r="AI180" s="9" t="str">
        <f t="shared" si="30"/>
        <v/>
      </c>
      <c r="AJ180" s="9" t="str">
        <f t="shared" si="31"/>
        <v/>
      </c>
      <c r="AK180" s="9" t="str">
        <f t="shared" si="32"/>
        <v/>
      </c>
      <c r="AL180" s="9" t="str">
        <f t="shared" si="33"/>
        <v/>
      </c>
      <c r="AM180" s="9" t="str">
        <f t="shared" si="34"/>
        <v/>
      </c>
      <c r="AN180" s="9" t="str">
        <f t="shared" si="35"/>
        <v/>
      </c>
      <c r="AO180" s="9" t="str">
        <f t="shared" si="36"/>
        <v/>
      </c>
      <c r="AP180" s="9" t="str">
        <f t="shared" si="37"/>
        <v/>
      </c>
      <c r="AQ180" s="10" t="str">
        <f t="shared" si="38"/>
        <v/>
      </c>
    </row>
    <row r="181" spans="1:43">
      <c r="A181">
        <v>180</v>
      </c>
      <c r="B181" t="s">
        <v>26</v>
      </c>
      <c r="C181" t="s">
        <v>339</v>
      </c>
      <c r="D181" t="s">
        <v>340</v>
      </c>
      <c r="E181" t="s">
        <v>168</v>
      </c>
      <c r="G181" t="s">
        <v>18</v>
      </c>
      <c r="H181" s="4">
        <v>40473000</v>
      </c>
      <c r="I181" s="5">
        <v>256</v>
      </c>
      <c r="J181" s="5">
        <v>0</v>
      </c>
      <c r="K181" s="5">
        <v>8</v>
      </c>
      <c r="L181">
        <v>5.2</v>
      </c>
      <c r="M181">
        <v>3.8</v>
      </c>
      <c r="N181">
        <v>10</v>
      </c>
      <c r="O181" s="6">
        <v>13.3</v>
      </c>
      <c r="P181" s="7">
        <v>1.29</v>
      </c>
      <c r="U181" t="s">
        <v>84</v>
      </c>
      <c r="V181" t="s">
        <v>126</v>
      </c>
      <c r="W181">
        <v>1.6</v>
      </c>
      <c r="X181" t="s">
        <v>84</v>
      </c>
      <c r="Y181" t="s">
        <v>127</v>
      </c>
      <c r="Z181" t="s">
        <v>100</v>
      </c>
      <c r="AA181" t="s">
        <v>382</v>
      </c>
      <c r="AB181" t="s">
        <v>115</v>
      </c>
      <c r="AC181">
        <v>1499</v>
      </c>
      <c r="AD181" s="8" t="b">
        <f>AND(
 H181&gt;=Filters!$B$3,
 H181&lt;=Filters!$B$4,
 I181&gt;=Filters!$B$5,
 OR(Filters!$B$6="All",B181=Filters!$B$6),
 F181&gt;=Filters!$B$7,
 F181&lt;=Filters!$B$8,
 OR(Filters!$B$9="All",G181=Filters!$B$9)
)</f>
        <v>0</v>
      </c>
      <c r="AE181">
        <f t="shared" si="26"/>
        <v>6</v>
      </c>
      <c r="AF181">
        <f t="shared" si="27"/>
        <v>7</v>
      </c>
      <c r="AG181">
        <f t="shared" si="28"/>
        <v>7</v>
      </c>
      <c r="AH181" s="9" t="str">
        <f t="shared" si="29"/>
        <v/>
      </c>
      <c r="AI181" s="9" t="str">
        <f t="shared" si="30"/>
        <v/>
      </c>
      <c r="AJ181" s="9" t="str">
        <f t="shared" si="31"/>
        <v/>
      </c>
      <c r="AK181" s="9" t="str">
        <f t="shared" si="32"/>
        <v/>
      </c>
      <c r="AL181" s="9" t="str">
        <f t="shared" si="33"/>
        <v/>
      </c>
      <c r="AM181" s="9" t="str">
        <f t="shared" si="34"/>
        <v/>
      </c>
      <c r="AN181" s="9" t="str">
        <f t="shared" si="35"/>
        <v/>
      </c>
      <c r="AO181" s="9" t="str">
        <f t="shared" si="36"/>
        <v/>
      </c>
      <c r="AP181" s="9" t="str">
        <f t="shared" si="37"/>
        <v/>
      </c>
      <c r="AQ181" s="10" t="str">
        <f t="shared" si="38"/>
        <v/>
      </c>
    </row>
    <row r="182" spans="1:43">
      <c r="A182">
        <v>181</v>
      </c>
      <c r="B182" t="s">
        <v>23</v>
      </c>
      <c r="C182" t="s">
        <v>174</v>
      </c>
      <c r="D182" t="s">
        <v>175</v>
      </c>
      <c r="E182" t="s">
        <v>97</v>
      </c>
      <c r="G182" t="s">
        <v>18</v>
      </c>
      <c r="H182" s="4">
        <v>28323000</v>
      </c>
      <c r="I182" s="5">
        <v>256</v>
      </c>
      <c r="J182" s="5">
        <v>2048</v>
      </c>
      <c r="K182" s="5">
        <v>16</v>
      </c>
      <c r="L182">
        <v>7.6</v>
      </c>
      <c r="M182">
        <v>6.5</v>
      </c>
      <c r="N182">
        <v>5.92</v>
      </c>
      <c r="O182" s="6">
        <v>15.6</v>
      </c>
      <c r="P182" s="7">
        <v>2.02</v>
      </c>
      <c r="U182" t="s">
        <v>84</v>
      </c>
      <c r="V182" t="s">
        <v>121</v>
      </c>
      <c r="W182">
        <v>1.8</v>
      </c>
      <c r="X182" t="s">
        <v>104</v>
      </c>
      <c r="Y182" t="s">
        <v>176</v>
      </c>
      <c r="Z182" t="s">
        <v>249</v>
      </c>
      <c r="AA182" t="s">
        <v>101</v>
      </c>
      <c r="AB182" t="s">
        <v>201</v>
      </c>
      <c r="AC182">
        <v>1049</v>
      </c>
      <c r="AD182" s="8" t="b">
        <f>AND(
 H182&gt;=Filters!$B$3,
 H182&lt;=Filters!$B$4,
 I182&gt;=Filters!$B$5,
 OR(Filters!$B$6="All",B182=Filters!$B$6),
 F182&gt;=Filters!$B$7,
 F182&lt;=Filters!$B$8,
 OR(Filters!$B$9="All",G182=Filters!$B$9)
)</f>
        <v>0</v>
      </c>
      <c r="AE182">
        <f t="shared" si="26"/>
        <v>6</v>
      </c>
      <c r="AF182">
        <f t="shared" si="27"/>
        <v>7</v>
      </c>
      <c r="AG182">
        <f t="shared" si="28"/>
        <v>7</v>
      </c>
      <c r="AH182" s="9" t="str">
        <f t="shared" si="29"/>
        <v/>
      </c>
      <c r="AI182" s="9" t="str">
        <f t="shared" si="30"/>
        <v/>
      </c>
      <c r="AJ182" s="9" t="str">
        <f t="shared" si="31"/>
        <v/>
      </c>
      <c r="AK182" s="9" t="str">
        <f t="shared" si="32"/>
        <v/>
      </c>
      <c r="AL182" s="9" t="str">
        <f t="shared" si="33"/>
        <v/>
      </c>
      <c r="AM182" s="9" t="str">
        <f t="shared" si="34"/>
        <v/>
      </c>
      <c r="AN182" s="9" t="str">
        <f t="shared" si="35"/>
        <v/>
      </c>
      <c r="AO182" s="9" t="str">
        <f t="shared" si="36"/>
        <v/>
      </c>
      <c r="AP182" s="9" t="str">
        <f t="shared" si="37"/>
        <v/>
      </c>
      <c r="AQ182" s="10" t="str">
        <f t="shared" si="38"/>
        <v/>
      </c>
    </row>
    <row r="183" spans="1:43">
      <c r="A183">
        <v>182</v>
      </c>
      <c r="B183" t="s">
        <v>23</v>
      </c>
      <c r="C183" t="s">
        <v>147</v>
      </c>
      <c r="D183" t="s">
        <v>148</v>
      </c>
      <c r="E183" t="s">
        <v>83</v>
      </c>
      <c r="G183" t="s">
        <v>18</v>
      </c>
      <c r="H183" s="4">
        <v>37773000</v>
      </c>
      <c r="I183" s="5">
        <v>256</v>
      </c>
      <c r="J183" s="5">
        <v>0</v>
      </c>
      <c r="K183" s="5">
        <v>8</v>
      </c>
      <c r="L183">
        <v>5.2</v>
      </c>
      <c r="M183">
        <v>3.8</v>
      </c>
      <c r="N183">
        <v>5.96</v>
      </c>
      <c r="O183" s="6">
        <v>13.3</v>
      </c>
      <c r="P183" s="7">
        <v>1.23</v>
      </c>
      <c r="U183" t="s">
        <v>84</v>
      </c>
      <c r="V183" t="s">
        <v>126</v>
      </c>
      <c r="W183">
        <v>1.6</v>
      </c>
      <c r="X183" t="s">
        <v>84</v>
      </c>
      <c r="Y183" t="s">
        <v>127</v>
      </c>
      <c r="Z183" t="s">
        <v>100</v>
      </c>
      <c r="AA183" t="s">
        <v>101</v>
      </c>
      <c r="AB183" t="s">
        <v>115</v>
      </c>
      <c r="AC183">
        <v>1399</v>
      </c>
      <c r="AD183" s="8" t="b">
        <f>AND(
 H183&gt;=Filters!$B$3,
 H183&lt;=Filters!$B$4,
 I183&gt;=Filters!$B$5,
 OR(Filters!$B$6="All",B183=Filters!$B$6),
 F183&gt;=Filters!$B$7,
 F183&lt;=Filters!$B$8,
 OR(Filters!$B$9="All",G183=Filters!$B$9)
)</f>
        <v>0</v>
      </c>
      <c r="AE183">
        <f t="shared" si="26"/>
        <v>6</v>
      </c>
      <c r="AF183">
        <f t="shared" si="27"/>
        <v>7</v>
      </c>
      <c r="AG183">
        <f t="shared" si="28"/>
        <v>7</v>
      </c>
      <c r="AH183" s="9" t="str">
        <f t="shared" si="29"/>
        <v/>
      </c>
      <c r="AI183" s="9" t="str">
        <f t="shared" si="30"/>
        <v/>
      </c>
      <c r="AJ183" s="9" t="str">
        <f t="shared" si="31"/>
        <v/>
      </c>
      <c r="AK183" s="9" t="str">
        <f t="shared" si="32"/>
        <v/>
      </c>
      <c r="AL183" s="9" t="str">
        <f t="shared" si="33"/>
        <v/>
      </c>
      <c r="AM183" s="9" t="str">
        <f t="shared" si="34"/>
        <v/>
      </c>
      <c r="AN183" s="9" t="str">
        <f t="shared" si="35"/>
        <v/>
      </c>
      <c r="AO183" s="9" t="str">
        <f t="shared" si="36"/>
        <v/>
      </c>
      <c r="AP183" s="9" t="str">
        <f t="shared" si="37"/>
        <v/>
      </c>
      <c r="AQ183" s="10" t="str">
        <f t="shared" si="38"/>
        <v/>
      </c>
    </row>
    <row r="184" spans="1:43">
      <c r="A184">
        <v>183</v>
      </c>
      <c r="B184" t="s">
        <v>29</v>
      </c>
      <c r="C184" t="s">
        <v>432</v>
      </c>
      <c r="D184" t="s">
        <v>433</v>
      </c>
      <c r="E184" t="s">
        <v>168</v>
      </c>
      <c r="G184" t="s">
        <v>18</v>
      </c>
      <c r="H184" s="4">
        <v>49923000</v>
      </c>
      <c r="I184" s="5">
        <v>512</v>
      </c>
      <c r="J184" s="5">
        <v>0</v>
      </c>
      <c r="K184" s="5">
        <v>16</v>
      </c>
      <c r="L184">
        <v>7.6</v>
      </c>
      <c r="M184">
        <v>3.8</v>
      </c>
      <c r="N184">
        <v>10</v>
      </c>
      <c r="O184" s="6">
        <v>13.9</v>
      </c>
      <c r="P184" s="7">
        <v>1.4</v>
      </c>
      <c r="U184" t="s">
        <v>84</v>
      </c>
      <c r="V184" t="s">
        <v>121</v>
      </c>
      <c r="W184">
        <v>1.8</v>
      </c>
      <c r="X184" t="s">
        <v>84</v>
      </c>
      <c r="Y184" t="s">
        <v>127</v>
      </c>
      <c r="Z184" t="s">
        <v>106</v>
      </c>
      <c r="AA184" t="s">
        <v>382</v>
      </c>
      <c r="AB184" t="s">
        <v>115</v>
      </c>
      <c r="AC184">
        <v>1849</v>
      </c>
      <c r="AD184" s="8" t="b">
        <f>AND(
 H184&gt;=Filters!$B$3,
 H184&lt;=Filters!$B$4,
 I184&gt;=Filters!$B$5,
 OR(Filters!$B$6="All",B184=Filters!$B$6),
 F184&gt;=Filters!$B$7,
 F184&lt;=Filters!$B$8,
 OR(Filters!$B$9="All",G184=Filters!$B$9)
)</f>
        <v>0</v>
      </c>
      <c r="AE184">
        <f t="shared" si="26"/>
        <v>6</v>
      </c>
      <c r="AF184">
        <f t="shared" si="27"/>
        <v>7</v>
      </c>
      <c r="AG184">
        <f t="shared" si="28"/>
        <v>7</v>
      </c>
      <c r="AH184" s="9" t="str">
        <f t="shared" si="29"/>
        <v/>
      </c>
      <c r="AI184" s="9" t="str">
        <f t="shared" si="30"/>
        <v/>
      </c>
      <c r="AJ184" s="9" t="str">
        <f t="shared" si="31"/>
        <v/>
      </c>
      <c r="AK184" s="9" t="str">
        <f t="shared" si="32"/>
        <v/>
      </c>
      <c r="AL184" s="9" t="str">
        <f t="shared" si="33"/>
        <v/>
      </c>
      <c r="AM184" s="9" t="str">
        <f t="shared" si="34"/>
        <v/>
      </c>
      <c r="AN184" s="9" t="str">
        <f t="shared" si="35"/>
        <v/>
      </c>
      <c r="AO184" s="9" t="str">
        <f t="shared" si="36"/>
        <v/>
      </c>
      <c r="AP184" s="9" t="str">
        <f t="shared" si="37"/>
        <v/>
      </c>
      <c r="AQ184" s="10" t="str">
        <f t="shared" si="38"/>
        <v/>
      </c>
    </row>
    <row r="185" spans="1:43">
      <c r="A185">
        <v>184</v>
      </c>
      <c r="B185" t="s">
        <v>35</v>
      </c>
      <c r="C185" t="s">
        <v>373</v>
      </c>
      <c r="D185" t="s">
        <v>374</v>
      </c>
      <c r="E185" t="s">
        <v>97</v>
      </c>
      <c r="G185" t="s">
        <v>18</v>
      </c>
      <c r="H185" s="4">
        <v>21411000</v>
      </c>
      <c r="I185" s="5">
        <v>128</v>
      </c>
      <c r="J185" s="5">
        <v>0</v>
      </c>
      <c r="K185" s="5">
        <v>8</v>
      </c>
      <c r="L185">
        <v>7</v>
      </c>
      <c r="M185">
        <v>3.5</v>
      </c>
      <c r="N185">
        <v>3.92</v>
      </c>
      <c r="O185" s="6">
        <v>15.6</v>
      </c>
      <c r="P185" s="7">
        <v>2</v>
      </c>
      <c r="U185" t="s">
        <v>84</v>
      </c>
      <c r="V185" t="s">
        <v>98</v>
      </c>
      <c r="W185">
        <v>2.5</v>
      </c>
      <c r="X185" t="s">
        <v>84</v>
      </c>
      <c r="Y185" t="s">
        <v>99</v>
      </c>
      <c r="Z185" t="s">
        <v>87</v>
      </c>
      <c r="AA185" t="s">
        <v>114</v>
      </c>
      <c r="AB185" t="s">
        <v>115</v>
      </c>
      <c r="AC185">
        <v>793</v>
      </c>
      <c r="AD185" s="8" t="b">
        <f>AND(
 H185&gt;=Filters!$B$3,
 H185&lt;=Filters!$B$4,
 I185&gt;=Filters!$B$5,
 OR(Filters!$B$6="All",B185=Filters!$B$6),
 F185&gt;=Filters!$B$7,
 F185&lt;=Filters!$B$8,
 OR(Filters!$B$9="All",G185=Filters!$B$9)
)</f>
        <v>0</v>
      </c>
      <c r="AE185">
        <f t="shared" si="26"/>
        <v>6</v>
      </c>
      <c r="AF185">
        <f t="shared" si="27"/>
        <v>7</v>
      </c>
      <c r="AG185">
        <f t="shared" si="28"/>
        <v>7</v>
      </c>
      <c r="AH185" s="9" t="str">
        <f t="shared" si="29"/>
        <v/>
      </c>
      <c r="AI185" s="9" t="str">
        <f t="shared" si="30"/>
        <v/>
      </c>
      <c r="AJ185" s="9" t="str">
        <f t="shared" si="31"/>
        <v/>
      </c>
      <c r="AK185" s="9" t="str">
        <f t="shared" si="32"/>
        <v/>
      </c>
      <c r="AL185" s="9" t="str">
        <f t="shared" si="33"/>
        <v/>
      </c>
      <c r="AM185" s="9" t="str">
        <f t="shared" si="34"/>
        <v/>
      </c>
      <c r="AN185" s="9" t="str">
        <f t="shared" si="35"/>
        <v/>
      </c>
      <c r="AO185" s="9" t="str">
        <f t="shared" si="36"/>
        <v/>
      </c>
      <c r="AP185" s="9" t="str">
        <f t="shared" si="37"/>
        <v/>
      </c>
      <c r="AQ185" s="10" t="str">
        <f t="shared" si="38"/>
        <v/>
      </c>
    </row>
    <row r="186" spans="1:43">
      <c r="A186">
        <v>185</v>
      </c>
      <c r="B186" t="s">
        <v>37</v>
      </c>
      <c r="C186" t="s">
        <v>434</v>
      </c>
      <c r="D186" t="s">
        <v>435</v>
      </c>
      <c r="E186" t="s">
        <v>97</v>
      </c>
      <c r="G186" t="s">
        <v>18</v>
      </c>
      <c r="H186" s="4">
        <v>32373000</v>
      </c>
      <c r="I186" s="5">
        <v>256</v>
      </c>
      <c r="J186" s="5">
        <v>0</v>
      </c>
      <c r="K186" s="5">
        <v>8</v>
      </c>
      <c r="L186">
        <v>5.2</v>
      </c>
      <c r="M186">
        <v>6.5</v>
      </c>
      <c r="N186">
        <v>6.32</v>
      </c>
      <c r="O186" s="6">
        <v>15.6</v>
      </c>
      <c r="P186" s="7">
        <v>1.95</v>
      </c>
      <c r="U186" t="s">
        <v>84</v>
      </c>
      <c r="V186" t="s">
        <v>126</v>
      </c>
      <c r="W186">
        <v>1.6</v>
      </c>
      <c r="X186" t="s">
        <v>122</v>
      </c>
      <c r="Y186" t="s">
        <v>123</v>
      </c>
      <c r="Z186" t="s">
        <v>100</v>
      </c>
      <c r="AA186" t="s">
        <v>128</v>
      </c>
      <c r="AB186" t="s">
        <v>102</v>
      </c>
      <c r="AC186">
        <v>1199</v>
      </c>
      <c r="AD186" s="8" t="b">
        <f>AND(
 H186&gt;=Filters!$B$3,
 H186&lt;=Filters!$B$4,
 I186&gt;=Filters!$B$5,
 OR(Filters!$B$6="All",B186=Filters!$B$6),
 F186&gt;=Filters!$B$7,
 F186&lt;=Filters!$B$8,
 OR(Filters!$B$9="All",G186=Filters!$B$9)
)</f>
        <v>0</v>
      </c>
      <c r="AE186">
        <f t="shared" si="26"/>
        <v>6</v>
      </c>
      <c r="AF186">
        <f t="shared" si="27"/>
        <v>7</v>
      </c>
      <c r="AG186">
        <f t="shared" si="28"/>
        <v>7</v>
      </c>
      <c r="AH186" s="9" t="str">
        <f t="shared" si="29"/>
        <v/>
      </c>
      <c r="AI186" s="9" t="str">
        <f t="shared" si="30"/>
        <v/>
      </c>
      <c r="AJ186" s="9" t="str">
        <f t="shared" si="31"/>
        <v/>
      </c>
      <c r="AK186" s="9" t="str">
        <f t="shared" si="32"/>
        <v/>
      </c>
      <c r="AL186" s="9" t="str">
        <f t="shared" si="33"/>
        <v/>
      </c>
      <c r="AM186" s="9" t="str">
        <f t="shared" si="34"/>
        <v/>
      </c>
      <c r="AN186" s="9" t="str">
        <f t="shared" si="35"/>
        <v/>
      </c>
      <c r="AO186" s="9" t="str">
        <f t="shared" si="36"/>
        <v/>
      </c>
      <c r="AP186" s="9" t="str">
        <f t="shared" si="37"/>
        <v/>
      </c>
      <c r="AQ186" s="10" t="str">
        <f t="shared" si="38"/>
        <v/>
      </c>
    </row>
    <row r="187" spans="1:43">
      <c r="A187">
        <v>186</v>
      </c>
      <c r="B187" t="s">
        <v>23</v>
      </c>
      <c r="C187" t="s">
        <v>436</v>
      </c>
      <c r="D187" t="s">
        <v>218</v>
      </c>
      <c r="E187" t="s">
        <v>97</v>
      </c>
      <c r="G187" t="s">
        <v>18</v>
      </c>
      <c r="H187" s="4">
        <v>41823000</v>
      </c>
      <c r="I187" s="5">
        <v>512</v>
      </c>
      <c r="J187" s="5">
        <v>0</v>
      </c>
      <c r="K187" s="5">
        <v>16</v>
      </c>
      <c r="L187">
        <v>7.6</v>
      </c>
      <c r="M187">
        <v>6.5</v>
      </c>
      <c r="N187">
        <v>6.13</v>
      </c>
      <c r="O187" s="6">
        <v>17.3</v>
      </c>
      <c r="P187" s="7">
        <v>2.77</v>
      </c>
      <c r="U187" t="s">
        <v>84</v>
      </c>
      <c r="V187" t="s">
        <v>121</v>
      </c>
      <c r="W187">
        <v>1.8</v>
      </c>
      <c r="X187" t="s">
        <v>122</v>
      </c>
      <c r="Y187" t="s">
        <v>219</v>
      </c>
      <c r="Z187" t="s">
        <v>106</v>
      </c>
      <c r="AA187" t="s">
        <v>169</v>
      </c>
      <c r="AB187" t="s">
        <v>115</v>
      </c>
      <c r="AC187">
        <v>1549</v>
      </c>
      <c r="AD187" s="8" t="b">
        <f>AND(
 H187&gt;=Filters!$B$3,
 H187&lt;=Filters!$B$4,
 I187&gt;=Filters!$B$5,
 OR(Filters!$B$6="All",B187=Filters!$B$6),
 F187&gt;=Filters!$B$7,
 F187&lt;=Filters!$B$8,
 OR(Filters!$B$9="All",G187=Filters!$B$9)
)</f>
        <v>0</v>
      </c>
      <c r="AE187">
        <f t="shared" si="26"/>
        <v>6</v>
      </c>
      <c r="AF187">
        <f t="shared" si="27"/>
        <v>7</v>
      </c>
      <c r="AG187">
        <f t="shared" si="28"/>
        <v>7</v>
      </c>
      <c r="AH187" s="9" t="str">
        <f t="shared" si="29"/>
        <v/>
      </c>
      <c r="AI187" s="9" t="str">
        <f t="shared" si="30"/>
        <v/>
      </c>
      <c r="AJ187" s="9" t="str">
        <f t="shared" si="31"/>
        <v/>
      </c>
      <c r="AK187" s="9" t="str">
        <f t="shared" si="32"/>
        <v/>
      </c>
      <c r="AL187" s="9" t="str">
        <f t="shared" si="33"/>
        <v/>
      </c>
      <c r="AM187" s="9" t="str">
        <f t="shared" si="34"/>
        <v/>
      </c>
      <c r="AN187" s="9" t="str">
        <f t="shared" si="35"/>
        <v/>
      </c>
      <c r="AO187" s="9" t="str">
        <f t="shared" si="36"/>
        <v/>
      </c>
      <c r="AP187" s="9" t="str">
        <f t="shared" si="37"/>
        <v/>
      </c>
      <c r="AQ187" s="10" t="str">
        <f t="shared" si="38"/>
        <v/>
      </c>
    </row>
    <row r="188" spans="1:43">
      <c r="A188">
        <v>187</v>
      </c>
      <c r="B188" t="s">
        <v>23</v>
      </c>
      <c r="C188" t="s">
        <v>437</v>
      </c>
      <c r="D188" t="s">
        <v>438</v>
      </c>
      <c r="E188" t="s">
        <v>97</v>
      </c>
      <c r="G188" t="s">
        <v>18</v>
      </c>
      <c r="H188" s="4">
        <v>64719000</v>
      </c>
      <c r="I188" s="5">
        <v>512</v>
      </c>
      <c r="J188" s="5">
        <v>0</v>
      </c>
      <c r="K188" s="5">
        <v>16</v>
      </c>
      <c r="L188">
        <v>9.6</v>
      </c>
      <c r="M188">
        <v>9.1999999999999993</v>
      </c>
      <c r="N188">
        <v>9.7200000000000006</v>
      </c>
      <c r="O188" s="6">
        <v>15.6</v>
      </c>
      <c r="P188" s="7">
        <v>2.06</v>
      </c>
      <c r="U188" t="s">
        <v>84</v>
      </c>
      <c r="V188" t="s">
        <v>210</v>
      </c>
      <c r="W188">
        <v>2.8</v>
      </c>
      <c r="X188" t="s">
        <v>122</v>
      </c>
      <c r="Y188" t="s">
        <v>160</v>
      </c>
      <c r="Z188" t="s">
        <v>106</v>
      </c>
      <c r="AA188" t="s">
        <v>439</v>
      </c>
      <c r="AB188" t="s">
        <v>115</v>
      </c>
      <c r="AC188">
        <v>2397</v>
      </c>
      <c r="AD188" s="8" t="b">
        <f>AND(
 H188&gt;=Filters!$B$3,
 H188&lt;=Filters!$B$4,
 I188&gt;=Filters!$B$5,
 OR(Filters!$B$6="All",B188=Filters!$B$6),
 F188&gt;=Filters!$B$7,
 F188&lt;=Filters!$B$8,
 OR(Filters!$B$9="All",G188=Filters!$B$9)
)</f>
        <v>0</v>
      </c>
      <c r="AE188">
        <f t="shared" si="26"/>
        <v>6</v>
      </c>
      <c r="AF188">
        <f t="shared" si="27"/>
        <v>7</v>
      </c>
      <c r="AG188">
        <f t="shared" si="28"/>
        <v>7</v>
      </c>
      <c r="AH188" s="9" t="str">
        <f t="shared" si="29"/>
        <v/>
      </c>
      <c r="AI188" s="9" t="str">
        <f t="shared" si="30"/>
        <v/>
      </c>
      <c r="AJ188" s="9" t="str">
        <f t="shared" si="31"/>
        <v/>
      </c>
      <c r="AK188" s="9" t="str">
        <f t="shared" si="32"/>
        <v/>
      </c>
      <c r="AL188" s="9" t="str">
        <f t="shared" si="33"/>
        <v/>
      </c>
      <c r="AM188" s="9" t="str">
        <f t="shared" si="34"/>
        <v/>
      </c>
      <c r="AN188" s="9" t="str">
        <f t="shared" si="35"/>
        <v/>
      </c>
      <c r="AO188" s="9" t="str">
        <f t="shared" si="36"/>
        <v/>
      </c>
      <c r="AP188" s="9" t="str">
        <f t="shared" si="37"/>
        <v/>
      </c>
      <c r="AQ188" s="10" t="str">
        <f t="shared" si="38"/>
        <v/>
      </c>
    </row>
    <row r="189" spans="1:43">
      <c r="A189">
        <v>188</v>
      </c>
      <c r="B189" t="s">
        <v>29</v>
      </c>
      <c r="C189" t="s">
        <v>156</v>
      </c>
      <c r="D189" t="s">
        <v>157</v>
      </c>
      <c r="E189" t="s">
        <v>158</v>
      </c>
      <c r="G189" t="s">
        <v>18</v>
      </c>
      <c r="H189" s="4">
        <v>21033000</v>
      </c>
      <c r="I189" s="5">
        <v>256</v>
      </c>
      <c r="J189" s="5">
        <v>0</v>
      </c>
      <c r="K189" s="5">
        <v>8</v>
      </c>
      <c r="L189">
        <v>7</v>
      </c>
      <c r="M189">
        <v>9.1999999999999993</v>
      </c>
      <c r="N189">
        <v>6.32</v>
      </c>
      <c r="O189" s="6">
        <v>15.6</v>
      </c>
      <c r="P189" s="7">
        <v>2.4</v>
      </c>
      <c r="U189" t="s">
        <v>84</v>
      </c>
      <c r="V189" t="s">
        <v>159</v>
      </c>
      <c r="W189">
        <v>2.5</v>
      </c>
      <c r="X189" t="s">
        <v>122</v>
      </c>
      <c r="Y189" t="s">
        <v>160</v>
      </c>
      <c r="Z189" t="s">
        <v>100</v>
      </c>
      <c r="AA189" t="s">
        <v>128</v>
      </c>
      <c r="AB189" t="s">
        <v>102</v>
      </c>
      <c r="AC189">
        <v>779</v>
      </c>
      <c r="AD189" s="8" t="b">
        <f>AND(
 H189&gt;=Filters!$B$3,
 H189&lt;=Filters!$B$4,
 I189&gt;=Filters!$B$5,
 OR(Filters!$B$6="All",B189=Filters!$B$6),
 F189&gt;=Filters!$B$7,
 F189&lt;=Filters!$B$8,
 OR(Filters!$B$9="All",G189=Filters!$B$9)
)</f>
        <v>1</v>
      </c>
      <c r="AE189">
        <f t="shared" si="26"/>
        <v>6</v>
      </c>
      <c r="AF189">
        <f t="shared" si="27"/>
        <v>7</v>
      </c>
      <c r="AG189">
        <f t="shared" si="28"/>
        <v>7</v>
      </c>
      <c r="AH189" s="9">
        <f t="shared" si="29"/>
        <v>0.69047619047619047</v>
      </c>
      <c r="AI189" s="9">
        <f t="shared" si="30"/>
        <v>0.80952380952380942</v>
      </c>
      <c r="AJ189" s="9">
        <f t="shared" si="31"/>
        <v>0.95238095238095222</v>
      </c>
      <c r="AK189" s="9">
        <f t="shared" si="32"/>
        <v>0.60952380952380947</v>
      </c>
      <c r="AL189" s="9">
        <f t="shared" si="33"/>
        <v>0.85714285714285698</v>
      </c>
      <c r="AM189" s="9">
        <f t="shared" si="34"/>
        <v>0.5714285714285714</v>
      </c>
      <c r="AN189" s="9">
        <f t="shared" si="35"/>
        <v>0.69047619047619047</v>
      </c>
      <c r="AO189" s="9">
        <f t="shared" si="36"/>
        <v>0.69047619047619047</v>
      </c>
      <c r="AP189" s="9">
        <f t="shared" si="37"/>
        <v>0.71445181447894857</v>
      </c>
      <c r="AQ189" s="10">
        <f t="shared" si="38"/>
        <v>0.71445200347894855</v>
      </c>
    </row>
    <row r="190" spans="1:43">
      <c r="A190">
        <v>189</v>
      </c>
      <c r="B190" t="s">
        <v>17</v>
      </c>
      <c r="C190" t="s">
        <v>440</v>
      </c>
      <c r="D190" t="s">
        <v>441</v>
      </c>
      <c r="E190" t="s">
        <v>83</v>
      </c>
      <c r="G190" t="s">
        <v>18</v>
      </c>
      <c r="H190" s="4">
        <v>26703000</v>
      </c>
      <c r="I190" s="5">
        <v>256</v>
      </c>
      <c r="J190" s="5">
        <v>0</v>
      </c>
      <c r="K190" s="5">
        <v>8</v>
      </c>
      <c r="L190">
        <v>4.4000000000000004</v>
      </c>
      <c r="M190">
        <v>3.5</v>
      </c>
      <c r="N190">
        <v>6.37</v>
      </c>
      <c r="O190" s="6">
        <v>13.3</v>
      </c>
      <c r="P190" s="7">
        <v>1.1200000000000001</v>
      </c>
      <c r="U190" t="s">
        <v>84</v>
      </c>
      <c r="V190" t="s">
        <v>442</v>
      </c>
      <c r="W190">
        <v>1.2</v>
      </c>
      <c r="X190" t="s">
        <v>84</v>
      </c>
      <c r="Y190" t="s">
        <v>138</v>
      </c>
      <c r="Z190" t="s">
        <v>100</v>
      </c>
      <c r="AA190" t="s">
        <v>128</v>
      </c>
      <c r="AB190" t="s">
        <v>115</v>
      </c>
      <c r="AC190">
        <v>989</v>
      </c>
      <c r="AD190" s="8" t="b">
        <f>AND(
 H190&gt;=Filters!$B$3,
 H190&lt;=Filters!$B$4,
 I190&gt;=Filters!$B$5,
 OR(Filters!$B$6="All",B190=Filters!$B$6),
 F190&gt;=Filters!$B$7,
 F190&lt;=Filters!$B$8,
 OR(Filters!$B$9="All",G190=Filters!$B$9)
)</f>
        <v>0</v>
      </c>
      <c r="AE190">
        <f t="shared" si="26"/>
        <v>6</v>
      </c>
      <c r="AF190">
        <f t="shared" si="27"/>
        <v>7</v>
      </c>
      <c r="AG190">
        <f t="shared" si="28"/>
        <v>7</v>
      </c>
      <c r="AH190" s="9" t="str">
        <f t="shared" si="29"/>
        <v/>
      </c>
      <c r="AI190" s="9" t="str">
        <f t="shared" si="30"/>
        <v/>
      </c>
      <c r="AJ190" s="9" t="str">
        <f t="shared" si="31"/>
        <v/>
      </c>
      <c r="AK190" s="9" t="str">
        <f t="shared" si="32"/>
        <v/>
      </c>
      <c r="AL190" s="9" t="str">
        <f t="shared" si="33"/>
        <v/>
      </c>
      <c r="AM190" s="9" t="str">
        <f t="shared" si="34"/>
        <v/>
      </c>
      <c r="AN190" s="9" t="str">
        <f t="shared" si="35"/>
        <v/>
      </c>
      <c r="AO190" s="9" t="str">
        <f t="shared" si="36"/>
        <v/>
      </c>
      <c r="AP190" s="9" t="str">
        <f t="shared" si="37"/>
        <v/>
      </c>
      <c r="AQ190" s="10" t="str">
        <f t="shared" si="38"/>
        <v/>
      </c>
    </row>
    <row r="191" spans="1:43">
      <c r="A191">
        <v>190</v>
      </c>
      <c r="B191" t="s">
        <v>23</v>
      </c>
      <c r="C191" t="s">
        <v>202</v>
      </c>
      <c r="D191" t="s">
        <v>203</v>
      </c>
      <c r="E191" t="s">
        <v>97</v>
      </c>
      <c r="G191" t="s">
        <v>18</v>
      </c>
      <c r="H191" s="4">
        <v>29295000</v>
      </c>
      <c r="I191" s="5">
        <v>128</v>
      </c>
      <c r="J191" s="5">
        <v>1024</v>
      </c>
      <c r="K191" s="5">
        <v>8</v>
      </c>
      <c r="L191">
        <v>7.6</v>
      </c>
      <c r="M191">
        <v>6.5</v>
      </c>
      <c r="N191">
        <v>5.83</v>
      </c>
      <c r="O191" s="6">
        <v>17.3</v>
      </c>
      <c r="P191" s="7">
        <v>2.8</v>
      </c>
      <c r="U191" t="s">
        <v>84</v>
      </c>
      <c r="V191" t="s">
        <v>121</v>
      </c>
      <c r="W191">
        <v>1.8</v>
      </c>
      <c r="X191" t="s">
        <v>104</v>
      </c>
      <c r="Y191" t="s">
        <v>176</v>
      </c>
      <c r="Z191" t="s">
        <v>161</v>
      </c>
      <c r="AA191" t="s">
        <v>101</v>
      </c>
      <c r="AB191" t="s">
        <v>115</v>
      </c>
      <c r="AC191">
        <v>1085</v>
      </c>
      <c r="AD191" s="8" t="b">
        <f>AND(
 H191&gt;=Filters!$B$3,
 H191&lt;=Filters!$B$4,
 I191&gt;=Filters!$B$5,
 OR(Filters!$B$6="All",B191=Filters!$B$6),
 F191&gt;=Filters!$B$7,
 F191&lt;=Filters!$B$8,
 OR(Filters!$B$9="All",G191=Filters!$B$9)
)</f>
        <v>0</v>
      </c>
      <c r="AE191">
        <f t="shared" si="26"/>
        <v>6</v>
      </c>
      <c r="AF191">
        <f t="shared" si="27"/>
        <v>7</v>
      </c>
      <c r="AG191">
        <f t="shared" si="28"/>
        <v>7</v>
      </c>
      <c r="AH191" s="9" t="str">
        <f t="shared" si="29"/>
        <v/>
      </c>
      <c r="AI191" s="9" t="str">
        <f t="shared" si="30"/>
        <v/>
      </c>
      <c r="AJ191" s="9" t="str">
        <f t="shared" si="31"/>
        <v/>
      </c>
      <c r="AK191" s="9" t="str">
        <f t="shared" si="32"/>
        <v/>
      </c>
      <c r="AL191" s="9" t="str">
        <f t="shared" si="33"/>
        <v/>
      </c>
      <c r="AM191" s="9" t="str">
        <f t="shared" si="34"/>
        <v/>
      </c>
      <c r="AN191" s="9" t="str">
        <f t="shared" si="35"/>
        <v/>
      </c>
      <c r="AO191" s="9" t="str">
        <f t="shared" si="36"/>
        <v/>
      </c>
      <c r="AP191" s="9" t="str">
        <f t="shared" si="37"/>
        <v/>
      </c>
      <c r="AQ191" s="10" t="str">
        <f t="shared" si="38"/>
        <v/>
      </c>
    </row>
    <row r="192" spans="1:43">
      <c r="A192">
        <v>191</v>
      </c>
      <c r="B192" t="s">
        <v>29</v>
      </c>
      <c r="C192" t="s">
        <v>443</v>
      </c>
      <c r="D192" t="s">
        <v>444</v>
      </c>
      <c r="E192" t="s">
        <v>168</v>
      </c>
      <c r="G192" t="s">
        <v>18</v>
      </c>
      <c r="H192" s="4">
        <v>76248000</v>
      </c>
      <c r="I192" s="5">
        <v>1024</v>
      </c>
      <c r="J192" s="5">
        <v>0</v>
      </c>
      <c r="K192" s="5">
        <v>16</v>
      </c>
      <c r="L192">
        <v>9.4</v>
      </c>
      <c r="M192">
        <v>3.5</v>
      </c>
      <c r="N192">
        <v>7.3</v>
      </c>
      <c r="O192" s="6">
        <v>14</v>
      </c>
      <c r="P192" s="7">
        <v>1.42</v>
      </c>
      <c r="U192" t="s">
        <v>84</v>
      </c>
      <c r="V192" t="s">
        <v>140</v>
      </c>
      <c r="W192">
        <v>2.7</v>
      </c>
      <c r="X192" t="s">
        <v>84</v>
      </c>
      <c r="Y192" t="s">
        <v>99</v>
      </c>
      <c r="Z192" t="s">
        <v>445</v>
      </c>
      <c r="AA192" t="s">
        <v>446</v>
      </c>
      <c r="AB192" t="s">
        <v>115</v>
      </c>
      <c r="AC192">
        <v>2824</v>
      </c>
      <c r="AD192" s="8" t="b">
        <f>AND(
 H192&gt;=Filters!$B$3,
 H192&lt;=Filters!$B$4,
 I192&gt;=Filters!$B$5,
 OR(Filters!$B$6="All",B192=Filters!$B$6),
 F192&gt;=Filters!$B$7,
 F192&lt;=Filters!$B$8,
 OR(Filters!$B$9="All",G192=Filters!$B$9)
)</f>
        <v>0</v>
      </c>
      <c r="AE192">
        <f t="shared" si="26"/>
        <v>6</v>
      </c>
      <c r="AF192">
        <f t="shared" si="27"/>
        <v>7</v>
      </c>
      <c r="AG192">
        <f t="shared" si="28"/>
        <v>7</v>
      </c>
      <c r="AH192" s="9" t="str">
        <f t="shared" si="29"/>
        <v/>
      </c>
      <c r="AI192" s="9" t="str">
        <f t="shared" si="30"/>
        <v/>
      </c>
      <c r="AJ192" s="9" t="str">
        <f t="shared" si="31"/>
        <v/>
      </c>
      <c r="AK192" s="9" t="str">
        <f t="shared" si="32"/>
        <v/>
      </c>
      <c r="AL192" s="9" t="str">
        <f t="shared" si="33"/>
        <v/>
      </c>
      <c r="AM192" s="9" t="str">
        <f t="shared" si="34"/>
        <v/>
      </c>
      <c r="AN192" s="9" t="str">
        <f t="shared" si="35"/>
        <v/>
      </c>
      <c r="AO192" s="9" t="str">
        <f t="shared" si="36"/>
        <v/>
      </c>
      <c r="AP192" s="9" t="str">
        <f t="shared" si="37"/>
        <v/>
      </c>
      <c r="AQ192" s="10" t="str">
        <f t="shared" si="38"/>
        <v/>
      </c>
    </row>
    <row r="193" spans="1:43">
      <c r="A193">
        <v>192</v>
      </c>
      <c r="B193" t="s">
        <v>36</v>
      </c>
      <c r="C193" t="s">
        <v>447</v>
      </c>
      <c r="D193" t="s">
        <v>448</v>
      </c>
      <c r="E193" t="s">
        <v>97</v>
      </c>
      <c r="G193" t="s">
        <v>18</v>
      </c>
      <c r="H193" s="4">
        <v>7020000</v>
      </c>
      <c r="I193" s="5">
        <v>32</v>
      </c>
      <c r="J193" s="5">
        <v>0</v>
      </c>
      <c r="K193" s="5">
        <v>4</v>
      </c>
      <c r="L193">
        <v>1</v>
      </c>
      <c r="M193">
        <v>3.5</v>
      </c>
      <c r="N193">
        <v>6.4</v>
      </c>
      <c r="O193" s="6">
        <v>14</v>
      </c>
      <c r="P193" s="7">
        <v>1.3</v>
      </c>
      <c r="U193" t="s">
        <v>84</v>
      </c>
      <c r="V193" t="s">
        <v>198</v>
      </c>
      <c r="W193">
        <v>1.1000000000000001</v>
      </c>
      <c r="X193" t="s">
        <v>84</v>
      </c>
      <c r="Y193" t="s">
        <v>199</v>
      </c>
      <c r="Z193" t="s">
        <v>155</v>
      </c>
      <c r="AA193" t="s">
        <v>128</v>
      </c>
      <c r="AB193" t="s">
        <v>115</v>
      </c>
      <c r="AC193">
        <v>260</v>
      </c>
      <c r="AD193" s="8" t="b">
        <f>AND(
 H193&gt;=Filters!$B$3,
 H193&lt;=Filters!$B$4,
 I193&gt;=Filters!$B$5,
 OR(Filters!$B$6="All",B193=Filters!$B$6),
 F193&gt;=Filters!$B$7,
 F193&lt;=Filters!$B$8,
 OR(Filters!$B$9="All",G193=Filters!$B$9)
)</f>
        <v>0</v>
      </c>
      <c r="AE193">
        <f t="shared" si="26"/>
        <v>6</v>
      </c>
      <c r="AF193">
        <f t="shared" si="27"/>
        <v>7</v>
      </c>
      <c r="AG193">
        <f t="shared" si="28"/>
        <v>7</v>
      </c>
      <c r="AH193" s="9" t="str">
        <f t="shared" si="29"/>
        <v/>
      </c>
      <c r="AI193" s="9" t="str">
        <f t="shared" si="30"/>
        <v/>
      </c>
      <c r="AJ193" s="9" t="str">
        <f t="shared" si="31"/>
        <v/>
      </c>
      <c r="AK193" s="9" t="str">
        <f t="shared" si="32"/>
        <v/>
      </c>
      <c r="AL193" s="9" t="str">
        <f t="shared" si="33"/>
        <v/>
      </c>
      <c r="AM193" s="9" t="str">
        <f t="shared" si="34"/>
        <v/>
      </c>
      <c r="AN193" s="9" t="str">
        <f t="shared" si="35"/>
        <v/>
      </c>
      <c r="AO193" s="9" t="str">
        <f t="shared" si="36"/>
        <v/>
      </c>
      <c r="AP193" s="9" t="str">
        <f t="shared" si="37"/>
        <v/>
      </c>
      <c r="AQ193" s="10" t="str">
        <f t="shared" si="38"/>
        <v/>
      </c>
    </row>
    <row r="194" spans="1:43">
      <c r="A194">
        <v>193</v>
      </c>
      <c r="B194" t="s">
        <v>37</v>
      </c>
      <c r="C194" t="s">
        <v>449</v>
      </c>
      <c r="D194" t="s">
        <v>435</v>
      </c>
      <c r="E194" t="s">
        <v>83</v>
      </c>
      <c r="G194" t="s">
        <v>18</v>
      </c>
      <c r="H194" s="4">
        <v>26997300</v>
      </c>
      <c r="I194" s="5">
        <v>256</v>
      </c>
      <c r="J194" s="5">
        <v>0</v>
      </c>
      <c r="K194" s="5">
        <v>8</v>
      </c>
      <c r="L194">
        <v>7</v>
      </c>
      <c r="M194">
        <v>6.5</v>
      </c>
      <c r="N194">
        <v>6.37</v>
      </c>
      <c r="O194" s="6">
        <v>13.3</v>
      </c>
      <c r="P194" s="7">
        <v>1.3</v>
      </c>
      <c r="U194" t="s">
        <v>84</v>
      </c>
      <c r="V194" t="s">
        <v>98</v>
      </c>
      <c r="W194">
        <v>2.5</v>
      </c>
      <c r="X194" t="s">
        <v>122</v>
      </c>
      <c r="Y194" t="s">
        <v>123</v>
      </c>
      <c r="Z194" t="s">
        <v>100</v>
      </c>
      <c r="AA194" t="s">
        <v>128</v>
      </c>
      <c r="AB194" t="s">
        <v>102</v>
      </c>
      <c r="AC194">
        <v>999.9</v>
      </c>
      <c r="AD194" s="8" t="b">
        <f>AND(
 H194&gt;=Filters!$B$3,
 H194&lt;=Filters!$B$4,
 I194&gt;=Filters!$B$5,
 OR(Filters!$B$6="All",B194=Filters!$B$6),
 F194&gt;=Filters!$B$7,
 F194&lt;=Filters!$B$8,
 OR(Filters!$B$9="All",G194=Filters!$B$9)
)</f>
        <v>0</v>
      </c>
      <c r="AE194">
        <f t="shared" ref="AE194:AE257" si="39">IF(Q194="",6,Q194)</f>
        <v>6</v>
      </c>
      <c r="AF194">
        <f t="shared" ref="AF194:AF257" si="40">IF(R194="",7,R194)</f>
        <v>7</v>
      </c>
      <c r="AG194">
        <f t="shared" ref="AG194:AG257" si="41">IF(S194="",7,S194)</f>
        <v>7</v>
      </c>
      <c r="AH194" s="9" t="str">
        <f t="shared" ref="AH194:AH257" si="42">IF(AD194,IF(CPU_MAX=CPU_MIN,1,(L194-CPU_MIN)/(CPU_MAX-CPU_MIN)),"")</f>
        <v/>
      </c>
      <c r="AI194" s="9" t="str">
        <f t="shared" ref="AI194:AI257" si="43">IF(AD194,IF(RAM_MAX=RAM_MIN,1,(K194-RAM_MIN)/(RAM_MAX-RAM_MIN)),"")</f>
        <v/>
      </c>
      <c r="AJ194" s="9" t="str">
        <f t="shared" ref="AJ194:AJ257" si="44">IF(AD194,IF(GPU_MAX=GPU_MIN,1,(M194-GPU_MIN)/(GPU_MAX-GPU_MIN)),"")</f>
        <v/>
      </c>
      <c r="AK194" s="9" t="str">
        <f t="shared" ref="AK194:AK257" si="45">IF(AD194,IF(SCREEN_MAX=SCREEN_MIN,1,(N194-SCREEN_MIN)/(SCREEN_MAX-SCREEN_MIN)),"")</f>
        <v/>
      </c>
      <c r="AL194" s="9" t="str">
        <f t="shared" ref="AL194:AL257" si="46">IF(AD194,IF(WEIGHT_MAX=WEIGHT_MIN,1,(WEIGHT_MAX-P194)/(WEIGHT_MAX-WEIGHT_MIN)),"")</f>
        <v/>
      </c>
      <c r="AM194" s="9" t="str">
        <f t="shared" ref="AM194:AM257" si="47">IF(AD194,IF(BATTERY_MAX=BATTERY_MIN,1,(AE194-BATTERY_MIN)/(BATTERY_MAX-BATTERY_MIN)),"")</f>
        <v/>
      </c>
      <c r="AN194" s="9" t="str">
        <f t="shared" ref="AN194:AN257" si="48">IF(AD194,IF(DURABILITY_MAX=DURABILITY_MIN,1,(AF194-DURABILITY_MIN)/(DURABILITY_MAX-DURABILITY_MIN)),"")</f>
        <v/>
      </c>
      <c r="AO194" s="9" t="str">
        <f t="shared" ref="AO194:AO257" si="49">IF(AD194,IF(UPGRADE_MAX=UPGRADE_MIN,1,(AG194-UPGRADE_MIN)/(UPGRADE_MAX-UPGRADE_MIN)),"")</f>
        <v/>
      </c>
      <c r="AP194" s="9" t="str">
        <f t="shared" ref="AP194:AP257" si="50">IF(AD194,W_CPU*AH194+W_RAM*AI194+W_GPU*AJ194+W_SCREEN*AK194+W_WEIGHT*AL194+W_BATTERY*AM194+W_DURABILITY*AN194+W_UPGRADE*AO194,"" )</f>
        <v/>
      </c>
      <c r="AQ194" s="10" t="str">
        <f t="shared" ref="AQ194:AQ257" si="51">IF(AP194="","",AP194+ROW()*0.000000001)</f>
        <v/>
      </c>
    </row>
    <row r="195" spans="1:43">
      <c r="A195">
        <v>194</v>
      </c>
      <c r="B195" t="s">
        <v>29</v>
      </c>
      <c r="C195" t="s">
        <v>450</v>
      </c>
      <c r="D195" t="s">
        <v>451</v>
      </c>
      <c r="E195" t="s">
        <v>97</v>
      </c>
      <c r="G195" t="s">
        <v>18</v>
      </c>
      <c r="H195" s="4">
        <v>18846000</v>
      </c>
      <c r="I195" s="5">
        <v>256</v>
      </c>
      <c r="J195" s="5">
        <v>0</v>
      </c>
      <c r="K195" s="5">
        <v>8</v>
      </c>
      <c r="L195">
        <v>5.2</v>
      </c>
      <c r="M195">
        <v>6.5</v>
      </c>
      <c r="N195">
        <v>5.83</v>
      </c>
      <c r="O195" s="6">
        <v>17.3</v>
      </c>
      <c r="P195" s="7">
        <v>2.8</v>
      </c>
      <c r="U195" t="s">
        <v>84</v>
      </c>
      <c r="V195" t="s">
        <v>126</v>
      </c>
      <c r="W195">
        <v>1.6</v>
      </c>
      <c r="X195" t="s">
        <v>122</v>
      </c>
      <c r="Y195" t="s">
        <v>123</v>
      </c>
      <c r="Z195" t="s">
        <v>100</v>
      </c>
      <c r="AA195" t="s">
        <v>452</v>
      </c>
      <c r="AB195" t="s">
        <v>102</v>
      </c>
      <c r="AC195">
        <v>698</v>
      </c>
      <c r="AD195" s="8" t="b">
        <f>AND(
 H195&gt;=Filters!$B$3,
 H195&lt;=Filters!$B$4,
 I195&gt;=Filters!$B$5,
 OR(Filters!$B$6="All",B195=Filters!$B$6),
 F195&gt;=Filters!$B$7,
 F195&lt;=Filters!$B$8,
 OR(Filters!$B$9="All",G195=Filters!$B$9)
)</f>
        <v>1</v>
      </c>
      <c r="AE195">
        <f t="shared" si="39"/>
        <v>6</v>
      </c>
      <c r="AF195">
        <f t="shared" si="40"/>
        <v>7</v>
      </c>
      <c r="AG195">
        <f t="shared" si="41"/>
        <v>7</v>
      </c>
      <c r="AH195" s="9">
        <f t="shared" si="42"/>
        <v>0.47619047619047616</v>
      </c>
      <c r="AI195" s="9">
        <f t="shared" si="43"/>
        <v>0.80952380952380942</v>
      </c>
      <c r="AJ195" s="9">
        <f t="shared" si="44"/>
        <v>0.63095238095238093</v>
      </c>
      <c r="AK195" s="9">
        <f t="shared" si="45"/>
        <v>0.55119047619047612</v>
      </c>
      <c r="AL195" s="9">
        <f t="shared" si="46"/>
        <v>0.80952380952380942</v>
      </c>
      <c r="AM195" s="9">
        <f t="shared" si="47"/>
        <v>0.5714285714285714</v>
      </c>
      <c r="AN195" s="9">
        <f t="shared" si="48"/>
        <v>0.69047619047619047</v>
      </c>
      <c r="AO195" s="9">
        <f t="shared" si="49"/>
        <v>0.69047619047619047</v>
      </c>
      <c r="AP195" s="9">
        <f t="shared" si="50"/>
        <v>0.6413400115444603</v>
      </c>
      <c r="AQ195" s="10">
        <f t="shared" si="51"/>
        <v>0.64134020654446033</v>
      </c>
    </row>
    <row r="196" spans="1:43">
      <c r="A196">
        <v>195</v>
      </c>
      <c r="B196" t="s">
        <v>23</v>
      </c>
      <c r="C196" t="s">
        <v>166</v>
      </c>
      <c r="D196" t="s">
        <v>167</v>
      </c>
      <c r="E196" t="s">
        <v>168</v>
      </c>
      <c r="G196" t="s">
        <v>18</v>
      </c>
      <c r="H196" s="4">
        <v>22653000</v>
      </c>
      <c r="I196" s="5">
        <v>0</v>
      </c>
      <c r="J196" s="5">
        <v>1024</v>
      </c>
      <c r="K196" s="5">
        <v>8</v>
      </c>
      <c r="L196">
        <v>7.6</v>
      </c>
      <c r="M196">
        <v>3.8</v>
      </c>
      <c r="N196">
        <v>6.67</v>
      </c>
      <c r="O196" s="6">
        <v>13.3</v>
      </c>
      <c r="P196" s="7">
        <v>1.62</v>
      </c>
      <c r="U196" t="s">
        <v>84</v>
      </c>
      <c r="V196" t="s">
        <v>121</v>
      </c>
      <c r="W196">
        <v>1.8</v>
      </c>
      <c r="X196" t="s">
        <v>84</v>
      </c>
      <c r="Y196" t="s">
        <v>127</v>
      </c>
      <c r="Z196" t="s">
        <v>146</v>
      </c>
      <c r="AA196" t="s">
        <v>149</v>
      </c>
      <c r="AB196" t="s">
        <v>115</v>
      </c>
      <c r="AC196">
        <v>839</v>
      </c>
      <c r="AD196" s="8" t="b">
        <f>AND(
 H196&gt;=Filters!$B$3,
 H196&lt;=Filters!$B$4,
 I196&gt;=Filters!$B$5,
 OR(Filters!$B$6="All",B196=Filters!$B$6),
 F196&gt;=Filters!$B$7,
 F196&lt;=Filters!$B$8,
 OR(Filters!$B$9="All",G196=Filters!$B$9)
)</f>
        <v>0</v>
      </c>
      <c r="AE196">
        <f t="shared" si="39"/>
        <v>6</v>
      </c>
      <c r="AF196">
        <f t="shared" si="40"/>
        <v>7</v>
      </c>
      <c r="AG196">
        <f t="shared" si="41"/>
        <v>7</v>
      </c>
      <c r="AH196" s="9" t="str">
        <f t="shared" si="42"/>
        <v/>
      </c>
      <c r="AI196" s="9" t="str">
        <f t="shared" si="43"/>
        <v/>
      </c>
      <c r="AJ196" s="9" t="str">
        <f t="shared" si="44"/>
        <v/>
      </c>
      <c r="AK196" s="9" t="str">
        <f t="shared" si="45"/>
        <v/>
      </c>
      <c r="AL196" s="9" t="str">
        <f t="shared" si="46"/>
        <v/>
      </c>
      <c r="AM196" s="9" t="str">
        <f t="shared" si="47"/>
        <v/>
      </c>
      <c r="AN196" s="9" t="str">
        <f t="shared" si="48"/>
        <v/>
      </c>
      <c r="AO196" s="9" t="str">
        <f t="shared" si="49"/>
        <v/>
      </c>
      <c r="AP196" s="9" t="str">
        <f t="shared" si="50"/>
        <v/>
      </c>
      <c r="AQ196" s="10" t="str">
        <f t="shared" si="51"/>
        <v/>
      </c>
    </row>
    <row r="197" spans="1:43">
      <c r="A197">
        <v>196</v>
      </c>
      <c r="B197" t="s">
        <v>26</v>
      </c>
      <c r="C197" t="s">
        <v>181</v>
      </c>
      <c r="D197" t="s">
        <v>182</v>
      </c>
      <c r="E197" t="s">
        <v>97</v>
      </c>
      <c r="G197" t="s">
        <v>18</v>
      </c>
      <c r="H197" s="4">
        <v>24678000</v>
      </c>
      <c r="I197" s="5">
        <v>0</v>
      </c>
      <c r="J197" s="5">
        <v>1024</v>
      </c>
      <c r="K197" s="5">
        <v>8</v>
      </c>
      <c r="L197">
        <v>5.2</v>
      </c>
      <c r="M197">
        <v>6.5</v>
      </c>
      <c r="N197">
        <v>6.24</v>
      </c>
      <c r="O197" s="6">
        <v>17.3</v>
      </c>
      <c r="P197" s="7">
        <v>2.5</v>
      </c>
      <c r="U197" t="s">
        <v>84</v>
      </c>
      <c r="V197" t="s">
        <v>126</v>
      </c>
      <c r="W197">
        <v>1.6</v>
      </c>
      <c r="X197" t="s">
        <v>122</v>
      </c>
      <c r="Y197" t="s">
        <v>183</v>
      </c>
      <c r="Z197" t="s">
        <v>146</v>
      </c>
      <c r="AA197" t="s">
        <v>128</v>
      </c>
      <c r="AB197" t="s">
        <v>115</v>
      </c>
      <c r="AC197">
        <v>914</v>
      </c>
      <c r="AD197" s="8" t="b">
        <f>AND(
 H197&gt;=Filters!$B$3,
 H197&lt;=Filters!$B$4,
 I197&gt;=Filters!$B$5,
 OR(Filters!$B$6="All",B197=Filters!$B$6),
 F197&gt;=Filters!$B$7,
 F197&lt;=Filters!$B$8,
 OR(Filters!$B$9="All",G197=Filters!$B$9)
)</f>
        <v>0</v>
      </c>
      <c r="AE197">
        <f t="shared" si="39"/>
        <v>6</v>
      </c>
      <c r="AF197">
        <f t="shared" si="40"/>
        <v>7</v>
      </c>
      <c r="AG197">
        <f t="shared" si="41"/>
        <v>7</v>
      </c>
      <c r="AH197" s="9" t="str">
        <f t="shared" si="42"/>
        <v/>
      </c>
      <c r="AI197" s="9" t="str">
        <f t="shared" si="43"/>
        <v/>
      </c>
      <c r="AJ197" s="9" t="str">
        <f t="shared" si="44"/>
        <v/>
      </c>
      <c r="AK197" s="9" t="str">
        <f t="shared" si="45"/>
        <v/>
      </c>
      <c r="AL197" s="9" t="str">
        <f t="shared" si="46"/>
        <v/>
      </c>
      <c r="AM197" s="9" t="str">
        <f t="shared" si="47"/>
        <v/>
      </c>
      <c r="AN197" s="9" t="str">
        <f t="shared" si="48"/>
        <v/>
      </c>
      <c r="AO197" s="9" t="str">
        <f t="shared" si="49"/>
        <v/>
      </c>
      <c r="AP197" s="9" t="str">
        <f t="shared" si="50"/>
        <v/>
      </c>
      <c r="AQ197" s="10" t="str">
        <f t="shared" si="51"/>
        <v/>
      </c>
    </row>
    <row r="198" spans="1:43">
      <c r="A198">
        <v>197</v>
      </c>
      <c r="B198" t="s">
        <v>33</v>
      </c>
      <c r="C198" t="s">
        <v>453</v>
      </c>
      <c r="D198" t="s">
        <v>454</v>
      </c>
      <c r="E198" t="s">
        <v>158</v>
      </c>
      <c r="G198" t="s">
        <v>18</v>
      </c>
      <c r="H198" s="4">
        <v>164673000</v>
      </c>
      <c r="I198" s="5">
        <v>1024</v>
      </c>
      <c r="J198" s="5">
        <v>0</v>
      </c>
      <c r="K198" s="5">
        <v>32</v>
      </c>
      <c r="L198">
        <v>9.8000000000000007</v>
      </c>
      <c r="M198">
        <v>9.1999999999999993</v>
      </c>
      <c r="N198">
        <v>9.64</v>
      </c>
      <c r="O198" s="6">
        <v>17.3</v>
      </c>
      <c r="P198" s="7">
        <v>3.49</v>
      </c>
      <c r="U198" t="s">
        <v>84</v>
      </c>
      <c r="V198" t="s">
        <v>455</v>
      </c>
      <c r="W198">
        <v>2.9</v>
      </c>
      <c r="X198" t="s">
        <v>122</v>
      </c>
      <c r="Y198" t="s">
        <v>456</v>
      </c>
      <c r="Z198" t="s">
        <v>445</v>
      </c>
      <c r="AA198" t="s">
        <v>439</v>
      </c>
      <c r="AB198" t="s">
        <v>115</v>
      </c>
      <c r="AC198">
        <v>6099</v>
      </c>
      <c r="AD198" s="8" t="b">
        <f>AND(
 H198&gt;=Filters!$B$3,
 H198&lt;=Filters!$B$4,
 I198&gt;=Filters!$B$5,
 OR(Filters!$B$6="All",B198=Filters!$B$6),
 F198&gt;=Filters!$B$7,
 F198&lt;=Filters!$B$8,
 OR(Filters!$B$9="All",G198=Filters!$B$9)
)</f>
        <v>0</v>
      </c>
      <c r="AE198">
        <f t="shared" si="39"/>
        <v>6</v>
      </c>
      <c r="AF198">
        <f t="shared" si="40"/>
        <v>7</v>
      </c>
      <c r="AG198">
        <f t="shared" si="41"/>
        <v>7</v>
      </c>
      <c r="AH198" s="9" t="str">
        <f t="shared" si="42"/>
        <v/>
      </c>
      <c r="AI198" s="9" t="str">
        <f t="shared" si="43"/>
        <v/>
      </c>
      <c r="AJ198" s="9" t="str">
        <f t="shared" si="44"/>
        <v/>
      </c>
      <c r="AK198" s="9" t="str">
        <f t="shared" si="45"/>
        <v/>
      </c>
      <c r="AL198" s="9" t="str">
        <f t="shared" si="46"/>
        <v/>
      </c>
      <c r="AM198" s="9" t="str">
        <f t="shared" si="47"/>
        <v/>
      </c>
      <c r="AN198" s="9" t="str">
        <f t="shared" si="48"/>
        <v/>
      </c>
      <c r="AO198" s="9" t="str">
        <f t="shared" si="49"/>
        <v/>
      </c>
      <c r="AP198" s="9" t="str">
        <f t="shared" si="50"/>
        <v/>
      </c>
      <c r="AQ198" s="10" t="str">
        <f t="shared" si="51"/>
        <v/>
      </c>
    </row>
    <row r="199" spans="1:43">
      <c r="A199">
        <v>198</v>
      </c>
      <c r="B199" t="s">
        <v>26</v>
      </c>
      <c r="C199" t="s">
        <v>237</v>
      </c>
      <c r="D199" t="s">
        <v>238</v>
      </c>
      <c r="E199" t="s">
        <v>97</v>
      </c>
      <c r="G199" t="s">
        <v>18</v>
      </c>
      <c r="H199" s="4">
        <v>25893000</v>
      </c>
      <c r="I199" s="5">
        <v>512</v>
      </c>
      <c r="J199" s="5">
        <v>0</v>
      </c>
      <c r="K199" s="5">
        <v>8</v>
      </c>
      <c r="L199">
        <v>5.2</v>
      </c>
      <c r="M199">
        <v>3.8</v>
      </c>
      <c r="N199">
        <v>5.96</v>
      </c>
      <c r="O199" s="6">
        <v>13.3</v>
      </c>
      <c r="P199" s="7">
        <v>1.49</v>
      </c>
      <c r="U199" t="s">
        <v>84</v>
      </c>
      <c r="V199" t="s">
        <v>126</v>
      </c>
      <c r="W199">
        <v>1.6</v>
      </c>
      <c r="X199" t="s">
        <v>84</v>
      </c>
      <c r="Y199" t="s">
        <v>127</v>
      </c>
      <c r="Z199" t="s">
        <v>106</v>
      </c>
      <c r="AA199" t="s">
        <v>101</v>
      </c>
      <c r="AB199" t="s">
        <v>115</v>
      </c>
      <c r="AC199">
        <v>959</v>
      </c>
      <c r="AD199" s="8" t="b">
        <f>AND(
 H199&gt;=Filters!$B$3,
 H199&lt;=Filters!$B$4,
 I199&gt;=Filters!$B$5,
 OR(Filters!$B$6="All",B199=Filters!$B$6),
 F199&gt;=Filters!$B$7,
 F199&lt;=Filters!$B$8,
 OR(Filters!$B$9="All",G199=Filters!$B$9)
)</f>
        <v>0</v>
      </c>
      <c r="AE199">
        <f t="shared" si="39"/>
        <v>6</v>
      </c>
      <c r="AF199">
        <f t="shared" si="40"/>
        <v>7</v>
      </c>
      <c r="AG199">
        <f t="shared" si="41"/>
        <v>7</v>
      </c>
      <c r="AH199" s="9" t="str">
        <f t="shared" si="42"/>
        <v/>
      </c>
      <c r="AI199" s="9" t="str">
        <f t="shared" si="43"/>
        <v/>
      </c>
      <c r="AJ199" s="9" t="str">
        <f t="shared" si="44"/>
        <v/>
      </c>
      <c r="AK199" s="9" t="str">
        <f t="shared" si="45"/>
        <v/>
      </c>
      <c r="AL199" s="9" t="str">
        <f t="shared" si="46"/>
        <v/>
      </c>
      <c r="AM199" s="9" t="str">
        <f t="shared" si="47"/>
        <v/>
      </c>
      <c r="AN199" s="9" t="str">
        <f t="shared" si="48"/>
        <v/>
      </c>
      <c r="AO199" s="9" t="str">
        <f t="shared" si="49"/>
        <v/>
      </c>
      <c r="AP199" s="9" t="str">
        <f t="shared" si="50"/>
        <v/>
      </c>
      <c r="AQ199" s="10" t="str">
        <f t="shared" si="51"/>
        <v/>
      </c>
    </row>
    <row r="200" spans="1:43">
      <c r="A200">
        <v>199</v>
      </c>
      <c r="B200" t="s">
        <v>26</v>
      </c>
      <c r="C200" t="s">
        <v>457</v>
      </c>
      <c r="D200" t="s">
        <v>458</v>
      </c>
      <c r="E200" t="s">
        <v>158</v>
      </c>
      <c r="G200" t="s">
        <v>18</v>
      </c>
      <c r="H200" s="4">
        <v>37233000</v>
      </c>
      <c r="I200" s="5">
        <v>256</v>
      </c>
      <c r="J200" s="5">
        <v>1024</v>
      </c>
      <c r="K200" s="5">
        <v>16</v>
      </c>
      <c r="L200">
        <v>9.6</v>
      </c>
      <c r="M200">
        <v>9.1999999999999993</v>
      </c>
      <c r="N200">
        <v>6.24</v>
      </c>
      <c r="O200" s="6">
        <v>17.3</v>
      </c>
      <c r="P200" s="7">
        <v>3.35</v>
      </c>
      <c r="U200" t="s">
        <v>84</v>
      </c>
      <c r="V200" t="s">
        <v>210</v>
      </c>
      <c r="W200">
        <v>2.8</v>
      </c>
      <c r="X200" t="s">
        <v>122</v>
      </c>
      <c r="Y200" t="s">
        <v>160</v>
      </c>
      <c r="Z200" t="s">
        <v>212</v>
      </c>
      <c r="AA200" t="s">
        <v>128</v>
      </c>
      <c r="AB200" t="s">
        <v>115</v>
      </c>
      <c r="AC200">
        <v>1379</v>
      </c>
      <c r="AD200" s="8" t="b">
        <f>AND(
 H200&gt;=Filters!$B$3,
 H200&lt;=Filters!$B$4,
 I200&gt;=Filters!$B$5,
 OR(Filters!$B$6="All",B200=Filters!$B$6),
 F200&gt;=Filters!$B$7,
 F200&lt;=Filters!$B$8,
 OR(Filters!$B$9="All",G200=Filters!$B$9)
)</f>
        <v>0</v>
      </c>
      <c r="AE200">
        <f t="shared" si="39"/>
        <v>6</v>
      </c>
      <c r="AF200">
        <f t="shared" si="40"/>
        <v>7</v>
      </c>
      <c r="AG200">
        <f t="shared" si="41"/>
        <v>7</v>
      </c>
      <c r="AH200" s="9" t="str">
        <f t="shared" si="42"/>
        <v/>
      </c>
      <c r="AI200" s="9" t="str">
        <f t="shared" si="43"/>
        <v/>
      </c>
      <c r="AJ200" s="9" t="str">
        <f t="shared" si="44"/>
        <v/>
      </c>
      <c r="AK200" s="9" t="str">
        <f t="shared" si="45"/>
        <v/>
      </c>
      <c r="AL200" s="9" t="str">
        <f t="shared" si="46"/>
        <v/>
      </c>
      <c r="AM200" s="9" t="str">
        <f t="shared" si="47"/>
        <v/>
      </c>
      <c r="AN200" s="9" t="str">
        <f t="shared" si="48"/>
        <v/>
      </c>
      <c r="AO200" s="9" t="str">
        <f t="shared" si="49"/>
        <v/>
      </c>
      <c r="AP200" s="9" t="str">
        <f t="shared" si="50"/>
        <v/>
      </c>
      <c r="AQ200" s="10" t="str">
        <f t="shared" si="51"/>
        <v/>
      </c>
    </row>
    <row r="201" spans="1:43">
      <c r="A201">
        <v>200</v>
      </c>
      <c r="B201" t="s">
        <v>26</v>
      </c>
      <c r="C201" t="s">
        <v>350</v>
      </c>
      <c r="D201" t="s">
        <v>351</v>
      </c>
      <c r="E201" t="s">
        <v>97</v>
      </c>
      <c r="G201" t="s">
        <v>18</v>
      </c>
      <c r="H201" s="4">
        <v>28215000</v>
      </c>
      <c r="I201" s="5">
        <v>256</v>
      </c>
      <c r="J201" s="5">
        <v>0</v>
      </c>
      <c r="K201" s="5">
        <v>8</v>
      </c>
      <c r="L201">
        <v>7.6</v>
      </c>
      <c r="M201">
        <v>6.5</v>
      </c>
      <c r="N201">
        <v>5.83</v>
      </c>
      <c r="O201" s="6">
        <v>17.3</v>
      </c>
      <c r="P201" s="7">
        <v>2.5</v>
      </c>
      <c r="U201" t="s">
        <v>84</v>
      </c>
      <c r="V201" t="s">
        <v>121</v>
      </c>
      <c r="W201">
        <v>1.8</v>
      </c>
      <c r="X201" t="s">
        <v>122</v>
      </c>
      <c r="Y201" t="s">
        <v>183</v>
      </c>
      <c r="Z201" t="s">
        <v>100</v>
      </c>
      <c r="AA201" t="s">
        <v>101</v>
      </c>
      <c r="AB201" t="s">
        <v>115</v>
      </c>
      <c r="AC201">
        <v>1045</v>
      </c>
      <c r="AD201" s="8" t="b">
        <f>AND(
 H201&gt;=Filters!$B$3,
 H201&lt;=Filters!$B$4,
 I201&gt;=Filters!$B$5,
 OR(Filters!$B$6="All",B201=Filters!$B$6),
 F201&gt;=Filters!$B$7,
 F201&lt;=Filters!$B$8,
 OR(Filters!$B$9="All",G201=Filters!$B$9)
)</f>
        <v>0</v>
      </c>
      <c r="AE201">
        <f t="shared" si="39"/>
        <v>6</v>
      </c>
      <c r="AF201">
        <f t="shared" si="40"/>
        <v>7</v>
      </c>
      <c r="AG201">
        <f t="shared" si="41"/>
        <v>7</v>
      </c>
      <c r="AH201" s="9" t="str">
        <f t="shared" si="42"/>
        <v/>
      </c>
      <c r="AI201" s="9" t="str">
        <f t="shared" si="43"/>
        <v/>
      </c>
      <c r="AJ201" s="9" t="str">
        <f t="shared" si="44"/>
        <v/>
      </c>
      <c r="AK201" s="9" t="str">
        <f t="shared" si="45"/>
        <v/>
      </c>
      <c r="AL201" s="9" t="str">
        <f t="shared" si="46"/>
        <v/>
      </c>
      <c r="AM201" s="9" t="str">
        <f t="shared" si="47"/>
        <v/>
      </c>
      <c r="AN201" s="9" t="str">
        <f t="shared" si="48"/>
        <v/>
      </c>
      <c r="AO201" s="9" t="str">
        <f t="shared" si="49"/>
        <v/>
      </c>
      <c r="AP201" s="9" t="str">
        <f t="shared" si="50"/>
        <v/>
      </c>
      <c r="AQ201" s="10" t="str">
        <f t="shared" si="51"/>
        <v/>
      </c>
    </row>
    <row r="202" spans="1:43">
      <c r="A202">
        <v>201</v>
      </c>
      <c r="B202" t="s">
        <v>23</v>
      </c>
      <c r="C202" t="s">
        <v>208</v>
      </c>
      <c r="D202" t="s">
        <v>209</v>
      </c>
      <c r="E202" t="s">
        <v>158</v>
      </c>
      <c r="G202" t="s">
        <v>18</v>
      </c>
      <c r="H202" s="4">
        <v>49815000</v>
      </c>
      <c r="I202" s="5">
        <v>512</v>
      </c>
      <c r="J202" s="5">
        <v>1024</v>
      </c>
      <c r="K202" s="5">
        <v>16</v>
      </c>
      <c r="L202">
        <v>9.6</v>
      </c>
      <c r="M202">
        <v>9.1999999999999993</v>
      </c>
      <c r="N202">
        <v>9.82</v>
      </c>
      <c r="O202" s="6">
        <v>15.6</v>
      </c>
      <c r="P202" s="7">
        <v>2.65</v>
      </c>
      <c r="U202" t="s">
        <v>84</v>
      </c>
      <c r="V202" t="s">
        <v>210</v>
      </c>
      <c r="W202">
        <v>2.8</v>
      </c>
      <c r="X202" t="s">
        <v>122</v>
      </c>
      <c r="Y202" t="s">
        <v>211</v>
      </c>
      <c r="Z202" t="s">
        <v>428</v>
      </c>
      <c r="AA202" t="s">
        <v>459</v>
      </c>
      <c r="AB202" t="s">
        <v>115</v>
      </c>
      <c r="AC202">
        <v>1845</v>
      </c>
      <c r="AD202" s="8" t="b">
        <f>AND(
 H202&gt;=Filters!$B$3,
 H202&lt;=Filters!$B$4,
 I202&gt;=Filters!$B$5,
 OR(Filters!$B$6="All",B202=Filters!$B$6),
 F202&gt;=Filters!$B$7,
 F202&lt;=Filters!$B$8,
 OR(Filters!$B$9="All",G202=Filters!$B$9)
)</f>
        <v>0</v>
      </c>
      <c r="AE202">
        <f t="shared" si="39"/>
        <v>6</v>
      </c>
      <c r="AF202">
        <f t="shared" si="40"/>
        <v>7</v>
      </c>
      <c r="AG202">
        <f t="shared" si="41"/>
        <v>7</v>
      </c>
      <c r="AH202" s="9" t="str">
        <f t="shared" si="42"/>
        <v/>
      </c>
      <c r="AI202" s="9" t="str">
        <f t="shared" si="43"/>
        <v/>
      </c>
      <c r="AJ202" s="9" t="str">
        <f t="shared" si="44"/>
        <v/>
      </c>
      <c r="AK202" s="9" t="str">
        <f t="shared" si="45"/>
        <v/>
      </c>
      <c r="AL202" s="9" t="str">
        <f t="shared" si="46"/>
        <v/>
      </c>
      <c r="AM202" s="9" t="str">
        <f t="shared" si="47"/>
        <v/>
      </c>
      <c r="AN202" s="9" t="str">
        <f t="shared" si="48"/>
        <v/>
      </c>
      <c r="AO202" s="9" t="str">
        <f t="shared" si="49"/>
        <v/>
      </c>
      <c r="AP202" s="9" t="str">
        <f t="shared" si="50"/>
        <v/>
      </c>
      <c r="AQ202" s="10" t="str">
        <f t="shared" si="51"/>
        <v/>
      </c>
    </row>
    <row r="203" spans="1:43">
      <c r="A203">
        <v>202</v>
      </c>
      <c r="B203" t="s">
        <v>29</v>
      </c>
      <c r="C203" t="s">
        <v>460</v>
      </c>
      <c r="D203" t="s">
        <v>461</v>
      </c>
      <c r="E203" t="s">
        <v>97</v>
      </c>
      <c r="G203" t="s">
        <v>18</v>
      </c>
      <c r="H203" s="4">
        <v>13311000</v>
      </c>
      <c r="I203" s="5">
        <v>128</v>
      </c>
      <c r="J203" s="5">
        <v>0</v>
      </c>
      <c r="K203" s="5">
        <v>4</v>
      </c>
      <c r="L203">
        <v>6.6</v>
      </c>
      <c r="M203">
        <v>3.5</v>
      </c>
      <c r="N203">
        <v>3.92</v>
      </c>
      <c r="O203" s="6">
        <v>15.6</v>
      </c>
      <c r="P203" s="7">
        <v>2.1</v>
      </c>
      <c r="U203" t="s">
        <v>84</v>
      </c>
      <c r="V203" t="s">
        <v>375</v>
      </c>
      <c r="W203">
        <v>2.2999999999999998</v>
      </c>
      <c r="X203" t="s">
        <v>84</v>
      </c>
      <c r="Y203" t="s">
        <v>130</v>
      </c>
      <c r="Z203" t="s">
        <v>87</v>
      </c>
      <c r="AA203" t="s">
        <v>114</v>
      </c>
      <c r="AB203" t="s">
        <v>115</v>
      </c>
      <c r="AC203">
        <v>493</v>
      </c>
      <c r="AD203" s="8" t="b">
        <f>AND(
 H203&gt;=Filters!$B$3,
 H203&lt;=Filters!$B$4,
 I203&gt;=Filters!$B$5,
 OR(Filters!$B$6="All",B203=Filters!$B$6),
 F203&gt;=Filters!$B$7,
 F203&lt;=Filters!$B$8,
 OR(Filters!$B$9="All",G203=Filters!$B$9)
)</f>
        <v>0</v>
      </c>
      <c r="AE203">
        <f t="shared" si="39"/>
        <v>6</v>
      </c>
      <c r="AF203">
        <f t="shared" si="40"/>
        <v>7</v>
      </c>
      <c r="AG203">
        <f t="shared" si="41"/>
        <v>7</v>
      </c>
      <c r="AH203" s="9" t="str">
        <f t="shared" si="42"/>
        <v/>
      </c>
      <c r="AI203" s="9" t="str">
        <f t="shared" si="43"/>
        <v/>
      </c>
      <c r="AJ203" s="9" t="str">
        <f t="shared" si="44"/>
        <v/>
      </c>
      <c r="AK203" s="9" t="str">
        <f t="shared" si="45"/>
        <v/>
      </c>
      <c r="AL203" s="9" t="str">
        <f t="shared" si="46"/>
        <v/>
      </c>
      <c r="AM203" s="9" t="str">
        <f t="shared" si="47"/>
        <v/>
      </c>
      <c r="AN203" s="9" t="str">
        <f t="shared" si="48"/>
        <v/>
      </c>
      <c r="AO203" s="9" t="str">
        <f t="shared" si="49"/>
        <v/>
      </c>
      <c r="AP203" s="9" t="str">
        <f t="shared" si="50"/>
        <v/>
      </c>
      <c r="AQ203" s="10" t="str">
        <f t="shared" si="51"/>
        <v/>
      </c>
    </row>
    <row r="204" spans="1:43">
      <c r="A204">
        <v>203</v>
      </c>
      <c r="B204" t="s">
        <v>17</v>
      </c>
      <c r="C204" t="s">
        <v>462</v>
      </c>
      <c r="D204" t="s">
        <v>463</v>
      </c>
      <c r="E204" t="s">
        <v>97</v>
      </c>
      <c r="G204" t="s">
        <v>18</v>
      </c>
      <c r="H204" s="4">
        <v>20034000</v>
      </c>
      <c r="I204" s="5">
        <v>0</v>
      </c>
      <c r="J204" s="5">
        <v>1024</v>
      </c>
      <c r="K204" s="5">
        <v>8</v>
      </c>
      <c r="L204">
        <v>9.4</v>
      </c>
      <c r="M204">
        <v>6.5</v>
      </c>
      <c r="N204">
        <v>5.92</v>
      </c>
      <c r="O204" s="6">
        <v>15.6</v>
      </c>
      <c r="P204" s="7">
        <v>2.23</v>
      </c>
      <c r="U204" t="s">
        <v>84</v>
      </c>
      <c r="V204" t="s">
        <v>140</v>
      </c>
      <c r="W204">
        <v>2.7</v>
      </c>
      <c r="X204" t="s">
        <v>122</v>
      </c>
      <c r="Y204" t="s">
        <v>145</v>
      </c>
      <c r="Z204" t="s">
        <v>146</v>
      </c>
      <c r="AA204" t="s">
        <v>101</v>
      </c>
      <c r="AB204" t="s">
        <v>115</v>
      </c>
      <c r="AC204">
        <v>742</v>
      </c>
      <c r="AD204" s="8" t="b">
        <f>AND(
 H204&gt;=Filters!$B$3,
 H204&lt;=Filters!$B$4,
 I204&gt;=Filters!$B$5,
 OR(Filters!$B$6="All",B204=Filters!$B$6),
 F204&gt;=Filters!$B$7,
 F204&lt;=Filters!$B$8,
 OR(Filters!$B$9="All",G204=Filters!$B$9)
)</f>
        <v>0</v>
      </c>
      <c r="AE204">
        <f t="shared" si="39"/>
        <v>6</v>
      </c>
      <c r="AF204">
        <f t="shared" si="40"/>
        <v>7</v>
      </c>
      <c r="AG204">
        <f t="shared" si="41"/>
        <v>7</v>
      </c>
      <c r="AH204" s="9" t="str">
        <f t="shared" si="42"/>
        <v/>
      </c>
      <c r="AI204" s="9" t="str">
        <f t="shared" si="43"/>
        <v/>
      </c>
      <c r="AJ204" s="9" t="str">
        <f t="shared" si="44"/>
        <v/>
      </c>
      <c r="AK204" s="9" t="str">
        <f t="shared" si="45"/>
        <v/>
      </c>
      <c r="AL204" s="9" t="str">
        <f t="shared" si="46"/>
        <v/>
      </c>
      <c r="AM204" s="9" t="str">
        <f t="shared" si="47"/>
        <v/>
      </c>
      <c r="AN204" s="9" t="str">
        <f t="shared" si="48"/>
        <v/>
      </c>
      <c r="AO204" s="9" t="str">
        <f t="shared" si="49"/>
        <v/>
      </c>
      <c r="AP204" s="9" t="str">
        <f t="shared" si="50"/>
        <v/>
      </c>
      <c r="AQ204" s="10" t="str">
        <f t="shared" si="51"/>
        <v/>
      </c>
    </row>
    <row r="205" spans="1:43">
      <c r="A205">
        <v>204</v>
      </c>
      <c r="B205" t="s">
        <v>29</v>
      </c>
      <c r="C205" t="s">
        <v>464</v>
      </c>
      <c r="D205" t="s">
        <v>465</v>
      </c>
      <c r="E205" t="s">
        <v>158</v>
      </c>
      <c r="G205" t="s">
        <v>18</v>
      </c>
      <c r="H205" s="4">
        <v>47223000</v>
      </c>
      <c r="I205" s="5">
        <v>512</v>
      </c>
      <c r="J205" s="5">
        <v>1024</v>
      </c>
      <c r="K205" s="5">
        <v>16</v>
      </c>
      <c r="L205">
        <v>9.6</v>
      </c>
      <c r="M205">
        <v>9.1999999999999993</v>
      </c>
      <c r="N205">
        <v>6.32</v>
      </c>
      <c r="O205" s="6">
        <v>15.6</v>
      </c>
      <c r="P205" s="7">
        <v>3.2</v>
      </c>
      <c r="U205" t="s">
        <v>84</v>
      </c>
      <c r="V205" t="s">
        <v>210</v>
      </c>
      <c r="W205">
        <v>2.8</v>
      </c>
      <c r="X205" t="s">
        <v>122</v>
      </c>
      <c r="Y205" t="s">
        <v>211</v>
      </c>
      <c r="Z205" t="s">
        <v>428</v>
      </c>
      <c r="AA205" t="s">
        <v>128</v>
      </c>
      <c r="AB205" t="s">
        <v>115</v>
      </c>
      <c r="AC205">
        <v>1749</v>
      </c>
      <c r="AD205" s="8" t="b">
        <f>AND(
 H205&gt;=Filters!$B$3,
 H205&lt;=Filters!$B$4,
 I205&gt;=Filters!$B$5,
 OR(Filters!$B$6="All",B205=Filters!$B$6),
 F205&gt;=Filters!$B$7,
 F205&lt;=Filters!$B$8,
 OR(Filters!$B$9="All",G205=Filters!$B$9)
)</f>
        <v>0</v>
      </c>
      <c r="AE205">
        <f t="shared" si="39"/>
        <v>6</v>
      </c>
      <c r="AF205">
        <f t="shared" si="40"/>
        <v>7</v>
      </c>
      <c r="AG205">
        <f t="shared" si="41"/>
        <v>7</v>
      </c>
      <c r="AH205" s="9" t="str">
        <f t="shared" si="42"/>
        <v/>
      </c>
      <c r="AI205" s="9" t="str">
        <f t="shared" si="43"/>
        <v/>
      </c>
      <c r="AJ205" s="9" t="str">
        <f t="shared" si="44"/>
        <v/>
      </c>
      <c r="AK205" s="9" t="str">
        <f t="shared" si="45"/>
        <v/>
      </c>
      <c r="AL205" s="9" t="str">
        <f t="shared" si="46"/>
        <v/>
      </c>
      <c r="AM205" s="9" t="str">
        <f t="shared" si="47"/>
        <v/>
      </c>
      <c r="AN205" s="9" t="str">
        <f t="shared" si="48"/>
        <v/>
      </c>
      <c r="AO205" s="9" t="str">
        <f t="shared" si="49"/>
        <v/>
      </c>
      <c r="AP205" s="9" t="str">
        <f t="shared" si="50"/>
        <v/>
      </c>
      <c r="AQ205" s="10" t="str">
        <f t="shared" si="51"/>
        <v/>
      </c>
    </row>
    <row r="206" spans="1:43">
      <c r="A206">
        <v>205</v>
      </c>
      <c r="B206" t="s">
        <v>23</v>
      </c>
      <c r="C206" t="s">
        <v>466</v>
      </c>
      <c r="D206" t="s">
        <v>467</v>
      </c>
      <c r="E206" t="s">
        <v>468</v>
      </c>
      <c r="G206" t="s">
        <v>18</v>
      </c>
      <c r="H206" s="4">
        <v>82485000</v>
      </c>
      <c r="I206" s="5">
        <v>256</v>
      </c>
      <c r="J206" s="5">
        <v>1024</v>
      </c>
      <c r="K206" s="5">
        <v>16</v>
      </c>
      <c r="L206">
        <v>10</v>
      </c>
      <c r="M206">
        <v>8</v>
      </c>
      <c r="N206">
        <v>9.42</v>
      </c>
      <c r="O206" s="6">
        <v>15.6</v>
      </c>
      <c r="P206" s="7">
        <v>2.8</v>
      </c>
      <c r="U206" t="s">
        <v>84</v>
      </c>
      <c r="V206" t="s">
        <v>469</v>
      </c>
      <c r="W206">
        <v>3</v>
      </c>
      <c r="X206" t="s">
        <v>122</v>
      </c>
      <c r="Y206" t="s">
        <v>470</v>
      </c>
      <c r="Z206" t="s">
        <v>212</v>
      </c>
      <c r="AA206" t="s">
        <v>471</v>
      </c>
      <c r="AB206" t="s">
        <v>115</v>
      </c>
      <c r="AC206">
        <v>3055</v>
      </c>
      <c r="AD206" s="8" t="b">
        <f>AND(
 H206&gt;=Filters!$B$3,
 H206&lt;=Filters!$B$4,
 I206&gt;=Filters!$B$5,
 OR(Filters!$B$6="All",B206=Filters!$B$6),
 F206&gt;=Filters!$B$7,
 F206&lt;=Filters!$B$8,
 OR(Filters!$B$9="All",G206=Filters!$B$9)
)</f>
        <v>0</v>
      </c>
      <c r="AE206">
        <f t="shared" si="39"/>
        <v>6</v>
      </c>
      <c r="AF206">
        <f t="shared" si="40"/>
        <v>7</v>
      </c>
      <c r="AG206">
        <f t="shared" si="41"/>
        <v>7</v>
      </c>
      <c r="AH206" s="9" t="str">
        <f t="shared" si="42"/>
        <v/>
      </c>
      <c r="AI206" s="9" t="str">
        <f t="shared" si="43"/>
        <v/>
      </c>
      <c r="AJ206" s="9" t="str">
        <f t="shared" si="44"/>
        <v/>
      </c>
      <c r="AK206" s="9" t="str">
        <f t="shared" si="45"/>
        <v/>
      </c>
      <c r="AL206" s="9" t="str">
        <f t="shared" si="46"/>
        <v/>
      </c>
      <c r="AM206" s="9" t="str">
        <f t="shared" si="47"/>
        <v/>
      </c>
      <c r="AN206" s="9" t="str">
        <f t="shared" si="48"/>
        <v/>
      </c>
      <c r="AO206" s="9" t="str">
        <f t="shared" si="49"/>
        <v/>
      </c>
      <c r="AP206" s="9" t="str">
        <f t="shared" si="50"/>
        <v/>
      </c>
      <c r="AQ206" s="10" t="str">
        <f t="shared" si="51"/>
        <v/>
      </c>
    </row>
    <row r="207" spans="1:43">
      <c r="A207">
        <v>206</v>
      </c>
      <c r="B207" t="s">
        <v>29</v>
      </c>
      <c r="C207" t="s">
        <v>156</v>
      </c>
      <c r="D207" t="s">
        <v>157</v>
      </c>
      <c r="E207" t="s">
        <v>158</v>
      </c>
      <c r="G207" t="s">
        <v>18</v>
      </c>
      <c r="H207" s="4">
        <v>37746000</v>
      </c>
      <c r="I207" s="5">
        <v>512</v>
      </c>
      <c r="J207" s="5">
        <v>0</v>
      </c>
      <c r="K207" s="5">
        <v>16</v>
      </c>
      <c r="L207">
        <v>9.6</v>
      </c>
      <c r="M207">
        <v>9.1999999999999993</v>
      </c>
      <c r="N207">
        <v>5.92</v>
      </c>
      <c r="O207" s="6">
        <v>15.6</v>
      </c>
      <c r="P207" s="7">
        <v>2.4</v>
      </c>
      <c r="U207" t="s">
        <v>84</v>
      </c>
      <c r="V207" t="s">
        <v>210</v>
      </c>
      <c r="W207">
        <v>2.8</v>
      </c>
      <c r="X207" t="s">
        <v>122</v>
      </c>
      <c r="Y207" t="s">
        <v>211</v>
      </c>
      <c r="Z207" t="s">
        <v>106</v>
      </c>
      <c r="AA207" t="s">
        <v>101</v>
      </c>
      <c r="AB207" t="s">
        <v>102</v>
      </c>
      <c r="AC207">
        <v>1398</v>
      </c>
      <c r="AD207" s="8" t="b">
        <f>AND(
 H207&gt;=Filters!$B$3,
 H207&lt;=Filters!$B$4,
 I207&gt;=Filters!$B$5,
 OR(Filters!$B$6="All",B207=Filters!$B$6),
 F207&gt;=Filters!$B$7,
 F207&lt;=Filters!$B$8,
 OR(Filters!$B$9="All",G207=Filters!$B$9)
)</f>
        <v>0</v>
      </c>
      <c r="AE207">
        <f t="shared" si="39"/>
        <v>6</v>
      </c>
      <c r="AF207">
        <f t="shared" si="40"/>
        <v>7</v>
      </c>
      <c r="AG207">
        <f t="shared" si="41"/>
        <v>7</v>
      </c>
      <c r="AH207" s="9" t="str">
        <f t="shared" si="42"/>
        <v/>
      </c>
      <c r="AI207" s="9" t="str">
        <f t="shared" si="43"/>
        <v/>
      </c>
      <c r="AJ207" s="9" t="str">
        <f t="shared" si="44"/>
        <v/>
      </c>
      <c r="AK207" s="9" t="str">
        <f t="shared" si="45"/>
        <v/>
      </c>
      <c r="AL207" s="9" t="str">
        <f t="shared" si="46"/>
        <v/>
      </c>
      <c r="AM207" s="9" t="str">
        <f t="shared" si="47"/>
        <v/>
      </c>
      <c r="AN207" s="9" t="str">
        <f t="shared" si="48"/>
        <v/>
      </c>
      <c r="AO207" s="9" t="str">
        <f t="shared" si="49"/>
        <v/>
      </c>
      <c r="AP207" s="9" t="str">
        <f t="shared" si="50"/>
        <v/>
      </c>
      <c r="AQ207" s="10" t="str">
        <f t="shared" si="51"/>
        <v/>
      </c>
    </row>
    <row r="208" spans="1:43">
      <c r="A208">
        <v>207</v>
      </c>
      <c r="B208" t="s">
        <v>23</v>
      </c>
      <c r="C208" t="s">
        <v>132</v>
      </c>
      <c r="D208" t="s">
        <v>133</v>
      </c>
      <c r="E208" t="s">
        <v>97</v>
      </c>
      <c r="G208" t="s">
        <v>18</v>
      </c>
      <c r="H208" s="4">
        <v>11853000</v>
      </c>
      <c r="I208" s="5">
        <v>0</v>
      </c>
      <c r="J208" s="5">
        <v>1024</v>
      </c>
      <c r="K208" s="5">
        <v>6</v>
      </c>
      <c r="L208">
        <v>4.8</v>
      </c>
      <c r="M208">
        <v>3.5</v>
      </c>
      <c r="N208">
        <v>4.22</v>
      </c>
      <c r="O208" s="6">
        <v>15.6</v>
      </c>
      <c r="P208" s="7">
        <v>2.2999999999999998</v>
      </c>
      <c r="U208" t="s">
        <v>84</v>
      </c>
      <c r="V208" t="s">
        <v>144</v>
      </c>
      <c r="W208">
        <v>2.4</v>
      </c>
      <c r="X208" t="s">
        <v>84</v>
      </c>
      <c r="Y208" t="s">
        <v>99</v>
      </c>
      <c r="Z208" t="s">
        <v>146</v>
      </c>
      <c r="AA208" t="s">
        <v>472</v>
      </c>
      <c r="AB208" t="s">
        <v>115</v>
      </c>
      <c r="AC208">
        <v>439</v>
      </c>
      <c r="AD208" s="8" t="b">
        <f>AND(
 H208&gt;=Filters!$B$3,
 H208&lt;=Filters!$B$4,
 I208&gt;=Filters!$B$5,
 OR(Filters!$B$6="All",B208=Filters!$B$6),
 F208&gt;=Filters!$B$7,
 F208&lt;=Filters!$B$8,
 OR(Filters!$B$9="All",G208=Filters!$B$9)
)</f>
        <v>0</v>
      </c>
      <c r="AE208">
        <f t="shared" si="39"/>
        <v>6</v>
      </c>
      <c r="AF208">
        <f t="shared" si="40"/>
        <v>7</v>
      </c>
      <c r="AG208">
        <f t="shared" si="41"/>
        <v>7</v>
      </c>
      <c r="AH208" s="9" t="str">
        <f t="shared" si="42"/>
        <v/>
      </c>
      <c r="AI208" s="9" t="str">
        <f t="shared" si="43"/>
        <v/>
      </c>
      <c r="AJ208" s="9" t="str">
        <f t="shared" si="44"/>
        <v/>
      </c>
      <c r="AK208" s="9" t="str">
        <f t="shared" si="45"/>
        <v/>
      </c>
      <c r="AL208" s="9" t="str">
        <f t="shared" si="46"/>
        <v/>
      </c>
      <c r="AM208" s="9" t="str">
        <f t="shared" si="47"/>
        <v/>
      </c>
      <c r="AN208" s="9" t="str">
        <f t="shared" si="48"/>
        <v/>
      </c>
      <c r="AO208" s="9" t="str">
        <f t="shared" si="49"/>
        <v/>
      </c>
      <c r="AP208" s="9" t="str">
        <f t="shared" si="50"/>
        <v/>
      </c>
      <c r="AQ208" s="10" t="str">
        <f t="shared" si="51"/>
        <v/>
      </c>
    </row>
    <row r="209" spans="1:43">
      <c r="A209">
        <v>208</v>
      </c>
      <c r="B209" t="s">
        <v>23</v>
      </c>
      <c r="C209" t="s">
        <v>147</v>
      </c>
      <c r="D209" t="s">
        <v>148</v>
      </c>
      <c r="E209" t="s">
        <v>83</v>
      </c>
      <c r="G209" t="s">
        <v>18</v>
      </c>
      <c r="H209" s="4">
        <v>52623000</v>
      </c>
      <c r="I209" s="5">
        <v>256</v>
      </c>
      <c r="J209" s="5">
        <v>0</v>
      </c>
      <c r="K209" s="5">
        <v>8</v>
      </c>
      <c r="L209">
        <v>7.6</v>
      </c>
      <c r="M209">
        <v>3.8</v>
      </c>
      <c r="N209">
        <v>10</v>
      </c>
      <c r="O209" s="6">
        <v>13.3</v>
      </c>
      <c r="P209" s="7">
        <v>1.21</v>
      </c>
      <c r="U209" t="s">
        <v>84</v>
      </c>
      <c r="V209" t="s">
        <v>121</v>
      </c>
      <c r="W209">
        <v>1.8</v>
      </c>
      <c r="X209" t="s">
        <v>84</v>
      </c>
      <c r="Y209" t="s">
        <v>127</v>
      </c>
      <c r="Z209" t="s">
        <v>100</v>
      </c>
      <c r="AA209" t="s">
        <v>382</v>
      </c>
      <c r="AB209" t="s">
        <v>115</v>
      </c>
      <c r="AC209">
        <v>1949</v>
      </c>
      <c r="AD209" s="8" t="b">
        <f>AND(
 H209&gt;=Filters!$B$3,
 H209&lt;=Filters!$B$4,
 I209&gt;=Filters!$B$5,
 OR(Filters!$B$6="All",B209=Filters!$B$6),
 F209&gt;=Filters!$B$7,
 F209&lt;=Filters!$B$8,
 OR(Filters!$B$9="All",G209=Filters!$B$9)
)</f>
        <v>0</v>
      </c>
      <c r="AE209">
        <f t="shared" si="39"/>
        <v>6</v>
      </c>
      <c r="AF209">
        <f t="shared" si="40"/>
        <v>7</v>
      </c>
      <c r="AG209">
        <f t="shared" si="41"/>
        <v>7</v>
      </c>
      <c r="AH209" s="9" t="str">
        <f t="shared" si="42"/>
        <v/>
      </c>
      <c r="AI209" s="9" t="str">
        <f t="shared" si="43"/>
        <v/>
      </c>
      <c r="AJ209" s="9" t="str">
        <f t="shared" si="44"/>
        <v/>
      </c>
      <c r="AK209" s="9" t="str">
        <f t="shared" si="45"/>
        <v/>
      </c>
      <c r="AL209" s="9" t="str">
        <f t="shared" si="46"/>
        <v/>
      </c>
      <c r="AM209" s="9" t="str">
        <f t="shared" si="47"/>
        <v/>
      </c>
      <c r="AN209" s="9" t="str">
        <f t="shared" si="48"/>
        <v/>
      </c>
      <c r="AO209" s="9" t="str">
        <f t="shared" si="49"/>
        <v/>
      </c>
      <c r="AP209" s="9" t="str">
        <f t="shared" si="50"/>
        <v/>
      </c>
      <c r="AQ209" s="10" t="str">
        <f t="shared" si="51"/>
        <v/>
      </c>
    </row>
    <row r="210" spans="1:43">
      <c r="A210">
        <v>209</v>
      </c>
      <c r="B210" t="s">
        <v>23</v>
      </c>
      <c r="C210" t="s">
        <v>147</v>
      </c>
      <c r="D210" t="s">
        <v>148</v>
      </c>
      <c r="E210" t="s">
        <v>83</v>
      </c>
      <c r="G210" t="s">
        <v>18</v>
      </c>
      <c r="H210" s="4">
        <v>39123000</v>
      </c>
      <c r="I210" s="5">
        <v>256</v>
      </c>
      <c r="J210" s="5">
        <v>0</v>
      </c>
      <c r="K210" s="5">
        <v>8</v>
      </c>
      <c r="L210">
        <v>7.6</v>
      </c>
      <c r="M210">
        <v>3.8</v>
      </c>
      <c r="N210">
        <v>5.96</v>
      </c>
      <c r="O210" s="6">
        <v>13.3</v>
      </c>
      <c r="P210" s="7">
        <v>1.2</v>
      </c>
      <c r="U210" t="s">
        <v>84</v>
      </c>
      <c r="V210" t="s">
        <v>121</v>
      </c>
      <c r="W210">
        <v>1.8</v>
      </c>
      <c r="X210" t="s">
        <v>84</v>
      </c>
      <c r="Y210" t="s">
        <v>127</v>
      </c>
      <c r="Z210" t="s">
        <v>100</v>
      </c>
      <c r="AA210" t="s">
        <v>101</v>
      </c>
      <c r="AB210" t="s">
        <v>115</v>
      </c>
      <c r="AC210">
        <v>1449</v>
      </c>
      <c r="AD210" s="8" t="b">
        <f>AND(
 H210&gt;=Filters!$B$3,
 H210&lt;=Filters!$B$4,
 I210&gt;=Filters!$B$5,
 OR(Filters!$B$6="All",B210=Filters!$B$6),
 F210&gt;=Filters!$B$7,
 F210&lt;=Filters!$B$8,
 OR(Filters!$B$9="All",G210=Filters!$B$9)
)</f>
        <v>0</v>
      </c>
      <c r="AE210">
        <f t="shared" si="39"/>
        <v>6</v>
      </c>
      <c r="AF210">
        <f t="shared" si="40"/>
        <v>7</v>
      </c>
      <c r="AG210">
        <f t="shared" si="41"/>
        <v>7</v>
      </c>
      <c r="AH210" s="9" t="str">
        <f t="shared" si="42"/>
        <v/>
      </c>
      <c r="AI210" s="9" t="str">
        <f t="shared" si="43"/>
        <v/>
      </c>
      <c r="AJ210" s="9" t="str">
        <f t="shared" si="44"/>
        <v/>
      </c>
      <c r="AK210" s="9" t="str">
        <f t="shared" si="45"/>
        <v/>
      </c>
      <c r="AL210" s="9" t="str">
        <f t="shared" si="46"/>
        <v/>
      </c>
      <c r="AM210" s="9" t="str">
        <f t="shared" si="47"/>
        <v/>
      </c>
      <c r="AN210" s="9" t="str">
        <f t="shared" si="48"/>
        <v/>
      </c>
      <c r="AO210" s="9" t="str">
        <f t="shared" si="49"/>
        <v/>
      </c>
      <c r="AP210" s="9" t="str">
        <f t="shared" si="50"/>
        <v/>
      </c>
      <c r="AQ210" s="10" t="str">
        <f t="shared" si="51"/>
        <v/>
      </c>
    </row>
    <row r="211" spans="1:43">
      <c r="A211">
        <v>210</v>
      </c>
      <c r="B211" t="s">
        <v>29</v>
      </c>
      <c r="C211" t="s">
        <v>281</v>
      </c>
      <c r="D211" t="s">
        <v>282</v>
      </c>
      <c r="E211" t="s">
        <v>97</v>
      </c>
      <c r="G211" t="s">
        <v>18</v>
      </c>
      <c r="H211" s="4">
        <v>16119000</v>
      </c>
      <c r="I211" s="5">
        <v>256</v>
      </c>
      <c r="J211" s="5">
        <v>0</v>
      </c>
      <c r="K211" s="5">
        <v>8</v>
      </c>
      <c r="L211">
        <v>7</v>
      </c>
      <c r="M211">
        <v>3.5</v>
      </c>
      <c r="N211">
        <v>3.92</v>
      </c>
      <c r="O211" s="6">
        <v>15.6</v>
      </c>
      <c r="P211" s="7">
        <v>2.2000000000000002</v>
      </c>
      <c r="U211" t="s">
        <v>84</v>
      </c>
      <c r="V211" t="s">
        <v>98</v>
      </c>
      <c r="W211">
        <v>2.5</v>
      </c>
      <c r="X211" t="s">
        <v>84</v>
      </c>
      <c r="Y211" t="s">
        <v>99</v>
      </c>
      <c r="Z211" t="s">
        <v>100</v>
      </c>
      <c r="AA211" t="s">
        <v>114</v>
      </c>
      <c r="AB211" t="s">
        <v>115</v>
      </c>
      <c r="AC211">
        <v>597</v>
      </c>
      <c r="AD211" s="8" t="b">
        <f>AND(
 H211&gt;=Filters!$B$3,
 H211&lt;=Filters!$B$4,
 I211&gt;=Filters!$B$5,
 OR(Filters!$B$6="All",B211=Filters!$B$6),
 F211&gt;=Filters!$B$7,
 F211&lt;=Filters!$B$8,
 OR(Filters!$B$9="All",G211=Filters!$B$9)
)</f>
        <v>1</v>
      </c>
      <c r="AE211">
        <f t="shared" si="39"/>
        <v>6</v>
      </c>
      <c r="AF211">
        <f t="shared" si="40"/>
        <v>7</v>
      </c>
      <c r="AG211">
        <f t="shared" si="41"/>
        <v>7</v>
      </c>
      <c r="AH211" s="9">
        <f t="shared" si="42"/>
        <v>0.69047619047619047</v>
      </c>
      <c r="AI211" s="9">
        <f t="shared" si="43"/>
        <v>0.80952380952380942</v>
      </c>
      <c r="AJ211" s="9">
        <f t="shared" si="44"/>
        <v>0.27380952380952378</v>
      </c>
      <c r="AK211" s="9">
        <f t="shared" si="45"/>
        <v>0.32380952380952377</v>
      </c>
      <c r="AL211" s="9">
        <f t="shared" si="46"/>
        <v>0.88095238095238082</v>
      </c>
      <c r="AM211" s="9">
        <f t="shared" si="47"/>
        <v>0.5714285714285714</v>
      </c>
      <c r="AN211" s="9">
        <f t="shared" si="48"/>
        <v>0.69047619047619047</v>
      </c>
      <c r="AO211" s="9">
        <f t="shared" si="49"/>
        <v>0.69047619047619047</v>
      </c>
      <c r="AP211" s="9">
        <f t="shared" si="50"/>
        <v>0.64753274085971191</v>
      </c>
      <c r="AQ211" s="10">
        <f t="shared" si="51"/>
        <v>0.64753295185971194</v>
      </c>
    </row>
    <row r="212" spans="1:43">
      <c r="A212">
        <v>211</v>
      </c>
      <c r="B212" t="s">
        <v>17</v>
      </c>
      <c r="C212" t="s">
        <v>473</v>
      </c>
      <c r="D212" t="s">
        <v>474</v>
      </c>
      <c r="E212" t="s">
        <v>97</v>
      </c>
      <c r="G212" t="s">
        <v>18</v>
      </c>
      <c r="H212" s="4">
        <v>21033000</v>
      </c>
      <c r="I212" s="5">
        <v>0</v>
      </c>
      <c r="J212" s="5">
        <v>1024</v>
      </c>
      <c r="K212" s="5">
        <v>8</v>
      </c>
      <c r="L212">
        <v>9.6</v>
      </c>
      <c r="M212">
        <v>9.1999999999999993</v>
      </c>
      <c r="N212">
        <v>5.92</v>
      </c>
      <c r="O212" s="6">
        <v>15.6</v>
      </c>
      <c r="P212" s="7">
        <v>2.4</v>
      </c>
      <c r="U212" t="s">
        <v>84</v>
      </c>
      <c r="V212" t="s">
        <v>210</v>
      </c>
      <c r="W212">
        <v>2.8</v>
      </c>
      <c r="X212" t="s">
        <v>122</v>
      </c>
      <c r="Y212" t="s">
        <v>160</v>
      </c>
      <c r="Z212" t="s">
        <v>146</v>
      </c>
      <c r="AA212" t="s">
        <v>101</v>
      </c>
      <c r="AB212" t="s">
        <v>201</v>
      </c>
      <c r="AC212">
        <v>779</v>
      </c>
      <c r="AD212" s="8" t="b">
        <f>AND(
 H212&gt;=Filters!$B$3,
 H212&lt;=Filters!$B$4,
 I212&gt;=Filters!$B$5,
 OR(Filters!$B$6="All",B212=Filters!$B$6),
 F212&gt;=Filters!$B$7,
 F212&lt;=Filters!$B$8,
 OR(Filters!$B$9="All",G212=Filters!$B$9)
)</f>
        <v>0</v>
      </c>
      <c r="AE212">
        <f t="shared" si="39"/>
        <v>6</v>
      </c>
      <c r="AF212">
        <f t="shared" si="40"/>
        <v>7</v>
      </c>
      <c r="AG212">
        <f t="shared" si="41"/>
        <v>7</v>
      </c>
      <c r="AH212" s="9" t="str">
        <f t="shared" si="42"/>
        <v/>
      </c>
      <c r="AI212" s="9" t="str">
        <f t="shared" si="43"/>
        <v/>
      </c>
      <c r="AJ212" s="9" t="str">
        <f t="shared" si="44"/>
        <v/>
      </c>
      <c r="AK212" s="9" t="str">
        <f t="shared" si="45"/>
        <v/>
      </c>
      <c r="AL212" s="9" t="str">
        <f t="shared" si="46"/>
        <v/>
      </c>
      <c r="AM212" s="9" t="str">
        <f t="shared" si="47"/>
        <v/>
      </c>
      <c r="AN212" s="9" t="str">
        <f t="shared" si="48"/>
        <v/>
      </c>
      <c r="AO212" s="9" t="str">
        <f t="shared" si="49"/>
        <v/>
      </c>
      <c r="AP212" s="9" t="str">
        <f t="shared" si="50"/>
        <v/>
      </c>
      <c r="AQ212" s="10" t="str">
        <f t="shared" si="51"/>
        <v/>
      </c>
    </row>
    <row r="213" spans="1:43">
      <c r="A213">
        <v>212</v>
      </c>
      <c r="B213" t="s">
        <v>21</v>
      </c>
      <c r="C213" t="s">
        <v>475</v>
      </c>
      <c r="D213" t="s">
        <v>476</v>
      </c>
      <c r="E213" t="s">
        <v>158</v>
      </c>
      <c r="G213" t="s">
        <v>18</v>
      </c>
      <c r="H213" s="4">
        <v>37989000</v>
      </c>
      <c r="I213" s="5">
        <v>256</v>
      </c>
      <c r="J213" s="5">
        <v>1024</v>
      </c>
      <c r="K213" s="5">
        <v>16</v>
      </c>
      <c r="L213">
        <v>9.6</v>
      </c>
      <c r="M213">
        <v>9.1999999999999993</v>
      </c>
      <c r="N213">
        <v>5.83</v>
      </c>
      <c r="O213" s="6">
        <v>17.3</v>
      </c>
      <c r="P213" s="7">
        <v>2.9</v>
      </c>
      <c r="U213" t="s">
        <v>84</v>
      </c>
      <c r="V213" t="s">
        <v>210</v>
      </c>
      <c r="W213">
        <v>2.8</v>
      </c>
      <c r="X213" t="s">
        <v>122</v>
      </c>
      <c r="Y213" t="s">
        <v>160</v>
      </c>
      <c r="Z213" t="s">
        <v>212</v>
      </c>
      <c r="AA213" t="s">
        <v>101</v>
      </c>
      <c r="AB213" t="s">
        <v>115</v>
      </c>
      <c r="AC213">
        <v>1407</v>
      </c>
      <c r="AD213" s="8" t="b">
        <f>AND(
 H213&gt;=Filters!$B$3,
 H213&lt;=Filters!$B$4,
 I213&gt;=Filters!$B$5,
 OR(Filters!$B$6="All",B213=Filters!$B$6),
 F213&gt;=Filters!$B$7,
 F213&lt;=Filters!$B$8,
 OR(Filters!$B$9="All",G213=Filters!$B$9)
)</f>
        <v>0</v>
      </c>
      <c r="AE213">
        <f t="shared" si="39"/>
        <v>6</v>
      </c>
      <c r="AF213">
        <f t="shared" si="40"/>
        <v>7</v>
      </c>
      <c r="AG213">
        <f t="shared" si="41"/>
        <v>7</v>
      </c>
      <c r="AH213" s="9" t="str">
        <f t="shared" si="42"/>
        <v/>
      </c>
      <c r="AI213" s="9" t="str">
        <f t="shared" si="43"/>
        <v/>
      </c>
      <c r="AJ213" s="9" t="str">
        <f t="shared" si="44"/>
        <v/>
      </c>
      <c r="AK213" s="9" t="str">
        <f t="shared" si="45"/>
        <v/>
      </c>
      <c r="AL213" s="9" t="str">
        <f t="shared" si="46"/>
        <v/>
      </c>
      <c r="AM213" s="9" t="str">
        <f t="shared" si="47"/>
        <v/>
      </c>
      <c r="AN213" s="9" t="str">
        <f t="shared" si="48"/>
        <v/>
      </c>
      <c r="AO213" s="9" t="str">
        <f t="shared" si="49"/>
        <v/>
      </c>
      <c r="AP213" s="9" t="str">
        <f t="shared" si="50"/>
        <v/>
      </c>
      <c r="AQ213" s="10" t="str">
        <f t="shared" si="51"/>
        <v/>
      </c>
    </row>
    <row r="214" spans="1:43">
      <c r="A214">
        <v>213</v>
      </c>
      <c r="B214" t="s">
        <v>26</v>
      </c>
      <c r="C214" t="s">
        <v>477</v>
      </c>
      <c r="D214" t="s">
        <v>478</v>
      </c>
      <c r="E214" t="s">
        <v>97</v>
      </c>
      <c r="G214" t="s">
        <v>18</v>
      </c>
      <c r="H214" s="4">
        <v>9423000</v>
      </c>
      <c r="I214" s="5">
        <v>0</v>
      </c>
      <c r="J214" s="5">
        <v>500</v>
      </c>
      <c r="K214" s="5">
        <v>4</v>
      </c>
      <c r="L214">
        <v>4</v>
      </c>
      <c r="M214">
        <v>3.5</v>
      </c>
      <c r="N214">
        <v>5.92</v>
      </c>
      <c r="O214" s="6">
        <v>15.6</v>
      </c>
      <c r="P214" s="7">
        <v>2.1</v>
      </c>
      <c r="U214" t="s">
        <v>84</v>
      </c>
      <c r="V214" t="s">
        <v>129</v>
      </c>
      <c r="W214">
        <v>2</v>
      </c>
      <c r="X214" t="s">
        <v>84</v>
      </c>
      <c r="Y214" t="s">
        <v>130</v>
      </c>
      <c r="Z214" t="s">
        <v>113</v>
      </c>
      <c r="AA214" t="s">
        <v>101</v>
      </c>
      <c r="AB214" t="s">
        <v>102</v>
      </c>
      <c r="AC214">
        <v>349</v>
      </c>
      <c r="AD214" s="8" t="b">
        <f>AND(
 H214&gt;=Filters!$B$3,
 H214&lt;=Filters!$B$4,
 I214&gt;=Filters!$B$5,
 OR(Filters!$B$6="All",B214=Filters!$B$6),
 F214&gt;=Filters!$B$7,
 F214&lt;=Filters!$B$8,
 OR(Filters!$B$9="All",G214=Filters!$B$9)
)</f>
        <v>0</v>
      </c>
      <c r="AE214">
        <f t="shared" si="39"/>
        <v>6</v>
      </c>
      <c r="AF214">
        <f t="shared" si="40"/>
        <v>7</v>
      </c>
      <c r="AG214">
        <f t="shared" si="41"/>
        <v>7</v>
      </c>
      <c r="AH214" s="9" t="str">
        <f t="shared" si="42"/>
        <v/>
      </c>
      <c r="AI214" s="9" t="str">
        <f t="shared" si="43"/>
        <v/>
      </c>
      <c r="AJ214" s="9" t="str">
        <f t="shared" si="44"/>
        <v/>
      </c>
      <c r="AK214" s="9" t="str">
        <f t="shared" si="45"/>
        <v/>
      </c>
      <c r="AL214" s="9" t="str">
        <f t="shared" si="46"/>
        <v/>
      </c>
      <c r="AM214" s="9" t="str">
        <f t="shared" si="47"/>
        <v/>
      </c>
      <c r="AN214" s="9" t="str">
        <f t="shared" si="48"/>
        <v/>
      </c>
      <c r="AO214" s="9" t="str">
        <f t="shared" si="49"/>
        <v/>
      </c>
      <c r="AP214" s="9" t="str">
        <f t="shared" si="50"/>
        <v/>
      </c>
      <c r="AQ214" s="10" t="str">
        <f t="shared" si="51"/>
        <v/>
      </c>
    </row>
    <row r="215" spans="1:43">
      <c r="A215">
        <v>214</v>
      </c>
      <c r="B215" t="s">
        <v>29</v>
      </c>
      <c r="C215" t="s">
        <v>281</v>
      </c>
      <c r="D215" t="s">
        <v>282</v>
      </c>
      <c r="E215" t="s">
        <v>97</v>
      </c>
      <c r="G215" t="s">
        <v>18</v>
      </c>
      <c r="H215" s="4">
        <v>14823000</v>
      </c>
      <c r="I215" s="5">
        <v>256</v>
      </c>
      <c r="J215" s="5">
        <v>0</v>
      </c>
      <c r="K215" s="5">
        <v>8</v>
      </c>
      <c r="L215">
        <v>7</v>
      </c>
      <c r="M215">
        <v>3.5</v>
      </c>
      <c r="N215">
        <v>5.92</v>
      </c>
      <c r="O215" s="6">
        <v>15.6</v>
      </c>
      <c r="P215" s="7">
        <v>2.2000000000000002</v>
      </c>
      <c r="U215" t="s">
        <v>84</v>
      </c>
      <c r="V215" t="s">
        <v>98</v>
      </c>
      <c r="W215">
        <v>2.5</v>
      </c>
      <c r="X215" t="s">
        <v>84</v>
      </c>
      <c r="Y215" t="s">
        <v>99</v>
      </c>
      <c r="Z215" t="s">
        <v>100</v>
      </c>
      <c r="AA215" t="s">
        <v>101</v>
      </c>
      <c r="AB215" t="s">
        <v>102</v>
      </c>
      <c r="AC215">
        <v>549</v>
      </c>
      <c r="AD215" s="8" t="b">
        <f>AND(
 H215&gt;=Filters!$B$3,
 H215&lt;=Filters!$B$4,
 I215&gt;=Filters!$B$5,
 OR(Filters!$B$6="All",B215=Filters!$B$6),
 F215&gt;=Filters!$B$7,
 F215&lt;=Filters!$B$8,
 OR(Filters!$B$9="All",G215=Filters!$B$9)
)</f>
        <v>1</v>
      </c>
      <c r="AE215">
        <f t="shared" si="39"/>
        <v>6</v>
      </c>
      <c r="AF215">
        <f t="shared" si="40"/>
        <v>7</v>
      </c>
      <c r="AG215">
        <f t="shared" si="41"/>
        <v>7</v>
      </c>
      <c r="AH215" s="9">
        <f t="shared" si="42"/>
        <v>0.69047619047619047</v>
      </c>
      <c r="AI215" s="9">
        <f t="shared" si="43"/>
        <v>0.80952380952380942</v>
      </c>
      <c r="AJ215" s="9">
        <f t="shared" si="44"/>
        <v>0.27380952380952378</v>
      </c>
      <c r="AK215" s="9">
        <f t="shared" si="45"/>
        <v>0.56190476190476191</v>
      </c>
      <c r="AL215" s="9">
        <f t="shared" si="46"/>
        <v>0.88095238095238082</v>
      </c>
      <c r="AM215" s="9">
        <f t="shared" si="47"/>
        <v>0.5714285714285714</v>
      </c>
      <c r="AN215" s="9">
        <f t="shared" si="48"/>
        <v>0.69047619047619047</v>
      </c>
      <c r="AO215" s="9">
        <f t="shared" si="49"/>
        <v>0.69047619047619047</v>
      </c>
      <c r="AP215" s="9">
        <f t="shared" si="50"/>
        <v>0.66711988618300544</v>
      </c>
      <c r="AQ215" s="10">
        <f t="shared" si="51"/>
        <v>0.66712010118300547</v>
      </c>
    </row>
    <row r="216" spans="1:43">
      <c r="A216">
        <v>215</v>
      </c>
      <c r="B216" t="s">
        <v>27</v>
      </c>
      <c r="C216" t="s">
        <v>419</v>
      </c>
      <c r="D216" t="s">
        <v>420</v>
      </c>
      <c r="E216" t="s">
        <v>83</v>
      </c>
      <c r="G216" t="s">
        <v>18</v>
      </c>
      <c r="H216" s="4">
        <v>40473000</v>
      </c>
      <c r="I216" s="5">
        <v>512</v>
      </c>
      <c r="J216" s="5">
        <v>0</v>
      </c>
      <c r="K216" s="5">
        <v>8</v>
      </c>
      <c r="L216">
        <v>9.4</v>
      </c>
      <c r="M216">
        <v>3.5</v>
      </c>
      <c r="N216">
        <v>7.35</v>
      </c>
      <c r="O216" s="6">
        <v>13</v>
      </c>
      <c r="P216" s="7">
        <v>1.05</v>
      </c>
      <c r="U216" t="s">
        <v>84</v>
      </c>
      <c r="V216" t="s">
        <v>140</v>
      </c>
      <c r="W216">
        <v>2.7</v>
      </c>
      <c r="X216" t="s">
        <v>84</v>
      </c>
      <c r="Y216" t="s">
        <v>99</v>
      </c>
      <c r="Z216" t="s">
        <v>106</v>
      </c>
      <c r="AA216" t="s">
        <v>421</v>
      </c>
      <c r="AB216" t="s">
        <v>115</v>
      </c>
      <c r="AC216">
        <v>1499</v>
      </c>
      <c r="AD216" s="8" t="b">
        <f>AND(
 H216&gt;=Filters!$B$3,
 H216&lt;=Filters!$B$4,
 I216&gt;=Filters!$B$5,
 OR(Filters!$B$6="All",B216=Filters!$B$6),
 F216&gt;=Filters!$B$7,
 F216&lt;=Filters!$B$8,
 OR(Filters!$B$9="All",G216=Filters!$B$9)
)</f>
        <v>0</v>
      </c>
      <c r="AE216">
        <f t="shared" si="39"/>
        <v>6</v>
      </c>
      <c r="AF216">
        <f t="shared" si="40"/>
        <v>7</v>
      </c>
      <c r="AG216">
        <f t="shared" si="41"/>
        <v>7</v>
      </c>
      <c r="AH216" s="9" t="str">
        <f t="shared" si="42"/>
        <v/>
      </c>
      <c r="AI216" s="9" t="str">
        <f t="shared" si="43"/>
        <v/>
      </c>
      <c r="AJ216" s="9" t="str">
        <f t="shared" si="44"/>
        <v/>
      </c>
      <c r="AK216" s="9" t="str">
        <f t="shared" si="45"/>
        <v/>
      </c>
      <c r="AL216" s="9" t="str">
        <f t="shared" si="46"/>
        <v/>
      </c>
      <c r="AM216" s="9" t="str">
        <f t="shared" si="47"/>
        <v/>
      </c>
      <c r="AN216" s="9" t="str">
        <f t="shared" si="48"/>
        <v/>
      </c>
      <c r="AO216" s="9" t="str">
        <f t="shared" si="49"/>
        <v/>
      </c>
      <c r="AP216" s="9" t="str">
        <f t="shared" si="50"/>
        <v/>
      </c>
      <c r="AQ216" s="10" t="str">
        <f t="shared" si="51"/>
        <v/>
      </c>
    </row>
    <row r="217" spans="1:43">
      <c r="A217">
        <v>216</v>
      </c>
      <c r="B217" t="s">
        <v>23</v>
      </c>
      <c r="C217" t="s">
        <v>273</v>
      </c>
      <c r="D217" t="s">
        <v>274</v>
      </c>
      <c r="E217" t="s">
        <v>83</v>
      </c>
      <c r="G217" t="s">
        <v>18</v>
      </c>
      <c r="H217" s="4">
        <v>25160760</v>
      </c>
      <c r="I217" s="5">
        <v>256</v>
      </c>
      <c r="J217" s="5">
        <v>0</v>
      </c>
      <c r="K217" s="5">
        <v>8</v>
      </c>
      <c r="L217">
        <v>7.6</v>
      </c>
      <c r="M217">
        <v>6.5</v>
      </c>
      <c r="N217">
        <v>6.37</v>
      </c>
      <c r="O217" s="6">
        <v>13.3</v>
      </c>
      <c r="P217" s="7">
        <v>1.4</v>
      </c>
      <c r="U217" t="s">
        <v>84</v>
      </c>
      <c r="V217" t="s">
        <v>121</v>
      </c>
      <c r="W217">
        <v>1.8</v>
      </c>
      <c r="X217" t="s">
        <v>104</v>
      </c>
      <c r="Y217" t="s">
        <v>176</v>
      </c>
      <c r="Z217" t="s">
        <v>100</v>
      </c>
      <c r="AA217" t="s">
        <v>128</v>
      </c>
      <c r="AB217" t="s">
        <v>115</v>
      </c>
      <c r="AC217">
        <v>931.88</v>
      </c>
      <c r="AD217" s="8" t="b">
        <f>AND(
 H217&gt;=Filters!$B$3,
 H217&lt;=Filters!$B$4,
 I217&gt;=Filters!$B$5,
 OR(Filters!$B$6="All",B217=Filters!$B$6),
 F217&gt;=Filters!$B$7,
 F217&lt;=Filters!$B$8,
 OR(Filters!$B$9="All",G217=Filters!$B$9)
)</f>
        <v>0</v>
      </c>
      <c r="AE217">
        <f t="shared" si="39"/>
        <v>6</v>
      </c>
      <c r="AF217">
        <f t="shared" si="40"/>
        <v>7</v>
      </c>
      <c r="AG217">
        <f t="shared" si="41"/>
        <v>7</v>
      </c>
      <c r="AH217" s="9" t="str">
        <f t="shared" si="42"/>
        <v/>
      </c>
      <c r="AI217" s="9" t="str">
        <f t="shared" si="43"/>
        <v/>
      </c>
      <c r="AJ217" s="9" t="str">
        <f t="shared" si="44"/>
        <v/>
      </c>
      <c r="AK217" s="9" t="str">
        <f t="shared" si="45"/>
        <v/>
      </c>
      <c r="AL217" s="9" t="str">
        <f t="shared" si="46"/>
        <v/>
      </c>
      <c r="AM217" s="9" t="str">
        <f t="shared" si="47"/>
        <v/>
      </c>
      <c r="AN217" s="9" t="str">
        <f t="shared" si="48"/>
        <v/>
      </c>
      <c r="AO217" s="9" t="str">
        <f t="shared" si="49"/>
        <v/>
      </c>
      <c r="AP217" s="9" t="str">
        <f t="shared" si="50"/>
        <v/>
      </c>
      <c r="AQ217" s="10" t="str">
        <f t="shared" si="51"/>
        <v/>
      </c>
    </row>
    <row r="218" spans="1:43">
      <c r="A218">
        <v>217</v>
      </c>
      <c r="B218" t="s">
        <v>29</v>
      </c>
      <c r="C218" t="s">
        <v>479</v>
      </c>
      <c r="D218" t="s">
        <v>480</v>
      </c>
      <c r="E218" t="s">
        <v>97</v>
      </c>
      <c r="G218" t="s">
        <v>18</v>
      </c>
      <c r="H218" s="4">
        <v>15903000</v>
      </c>
      <c r="I218" s="5">
        <v>0</v>
      </c>
      <c r="J218" s="5">
        <v>1024</v>
      </c>
      <c r="K218" s="5">
        <v>8</v>
      </c>
      <c r="L218">
        <v>7</v>
      </c>
      <c r="M218">
        <v>9.1999999999999993</v>
      </c>
      <c r="N218">
        <v>5.83</v>
      </c>
      <c r="O218" s="6">
        <v>17.3</v>
      </c>
      <c r="P218" s="7">
        <v>2.8</v>
      </c>
      <c r="U218" t="s">
        <v>84</v>
      </c>
      <c r="V218" t="s">
        <v>98</v>
      </c>
      <c r="W218">
        <v>2.5</v>
      </c>
      <c r="X218" t="s">
        <v>122</v>
      </c>
      <c r="Y218" t="s">
        <v>294</v>
      </c>
      <c r="Z218" t="s">
        <v>146</v>
      </c>
      <c r="AA218" t="s">
        <v>452</v>
      </c>
      <c r="AB218" t="s">
        <v>102</v>
      </c>
      <c r="AC218">
        <v>589</v>
      </c>
      <c r="AD218" s="8" t="b">
        <f>AND(
 H218&gt;=Filters!$B$3,
 H218&lt;=Filters!$B$4,
 I218&gt;=Filters!$B$5,
 OR(Filters!$B$6="All",B218=Filters!$B$6),
 F218&gt;=Filters!$B$7,
 F218&lt;=Filters!$B$8,
 OR(Filters!$B$9="All",G218=Filters!$B$9)
)</f>
        <v>0</v>
      </c>
      <c r="AE218">
        <f t="shared" si="39"/>
        <v>6</v>
      </c>
      <c r="AF218">
        <f t="shared" si="40"/>
        <v>7</v>
      </c>
      <c r="AG218">
        <f t="shared" si="41"/>
        <v>7</v>
      </c>
      <c r="AH218" s="9" t="str">
        <f t="shared" si="42"/>
        <v/>
      </c>
      <c r="AI218" s="9" t="str">
        <f t="shared" si="43"/>
        <v/>
      </c>
      <c r="AJ218" s="9" t="str">
        <f t="shared" si="44"/>
        <v/>
      </c>
      <c r="AK218" s="9" t="str">
        <f t="shared" si="45"/>
        <v/>
      </c>
      <c r="AL218" s="9" t="str">
        <f t="shared" si="46"/>
        <v/>
      </c>
      <c r="AM218" s="9" t="str">
        <f t="shared" si="47"/>
        <v/>
      </c>
      <c r="AN218" s="9" t="str">
        <f t="shared" si="48"/>
        <v/>
      </c>
      <c r="AO218" s="9" t="str">
        <f t="shared" si="49"/>
        <v/>
      </c>
      <c r="AP218" s="9" t="str">
        <f t="shared" si="50"/>
        <v/>
      </c>
      <c r="AQ218" s="10" t="str">
        <f t="shared" si="51"/>
        <v/>
      </c>
    </row>
    <row r="219" spans="1:43">
      <c r="A219">
        <v>218</v>
      </c>
      <c r="B219" t="s">
        <v>26</v>
      </c>
      <c r="C219" t="s">
        <v>336</v>
      </c>
      <c r="D219" t="s">
        <v>337</v>
      </c>
      <c r="E219" t="s">
        <v>97</v>
      </c>
      <c r="G219" t="s">
        <v>18</v>
      </c>
      <c r="H219" s="4">
        <v>27837000</v>
      </c>
      <c r="I219" s="5">
        <v>256</v>
      </c>
      <c r="J219" s="5">
        <v>0</v>
      </c>
      <c r="K219" s="5">
        <v>8</v>
      </c>
      <c r="L219">
        <v>7.6</v>
      </c>
      <c r="M219">
        <v>6.5</v>
      </c>
      <c r="N219">
        <v>6</v>
      </c>
      <c r="O219" s="6">
        <v>14</v>
      </c>
      <c r="P219" s="7">
        <v>1.63</v>
      </c>
      <c r="U219" t="s">
        <v>84</v>
      </c>
      <c r="V219" t="s">
        <v>121</v>
      </c>
      <c r="W219">
        <v>1.8</v>
      </c>
      <c r="X219" t="s">
        <v>122</v>
      </c>
      <c r="Y219" t="s">
        <v>183</v>
      </c>
      <c r="Z219" t="s">
        <v>100</v>
      </c>
      <c r="AA219" t="s">
        <v>101</v>
      </c>
      <c r="AB219" t="s">
        <v>115</v>
      </c>
      <c r="AC219">
        <v>1031</v>
      </c>
      <c r="AD219" s="8" t="b">
        <f>AND(
 H219&gt;=Filters!$B$3,
 H219&lt;=Filters!$B$4,
 I219&gt;=Filters!$B$5,
 OR(Filters!$B$6="All",B219=Filters!$B$6),
 F219&gt;=Filters!$B$7,
 F219&lt;=Filters!$B$8,
 OR(Filters!$B$9="All",G219=Filters!$B$9)
)</f>
        <v>0</v>
      </c>
      <c r="AE219">
        <f t="shared" si="39"/>
        <v>6</v>
      </c>
      <c r="AF219">
        <f t="shared" si="40"/>
        <v>7</v>
      </c>
      <c r="AG219">
        <f t="shared" si="41"/>
        <v>7</v>
      </c>
      <c r="AH219" s="9" t="str">
        <f t="shared" si="42"/>
        <v/>
      </c>
      <c r="AI219" s="9" t="str">
        <f t="shared" si="43"/>
        <v/>
      </c>
      <c r="AJ219" s="9" t="str">
        <f t="shared" si="44"/>
        <v/>
      </c>
      <c r="AK219" s="9" t="str">
        <f t="shared" si="45"/>
        <v/>
      </c>
      <c r="AL219" s="9" t="str">
        <f t="shared" si="46"/>
        <v/>
      </c>
      <c r="AM219" s="9" t="str">
        <f t="shared" si="47"/>
        <v/>
      </c>
      <c r="AN219" s="9" t="str">
        <f t="shared" si="48"/>
        <v/>
      </c>
      <c r="AO219" s="9" t="str">
        <f t="shared" si="49"/>
        <v/>
      </c>
      <c r="AP219" s="9" t="str">
        <f t="shared" si="50"/>
        <v/>
      </c>
      <c r="AQ219" s="10" t="str">
        <f t="shared" si="51"/>
        <v/>
      </c>
    </row>
    <row r="220" spans="1:43">
      <c r="A220">
        <v>219</v>
      </c>
      <c r="B220" t="s">
        <v>23</v>
      </c>
      <c r="C220" t="s">
        <v>481</v>
      </c>
      <c r="D220" t="s">
        <v>482</v>
      </c>
      <c r="E220" t="s">
        <v>83</v>
      </c>
      <c r="G220" t="s">
        <v>18</v>
      </c>
      <c r="H220" s="4">
        <v>31023000</v>
      </c>
      <c r="I220" s="5">
        <v>256</v>
      </c>
      <c r="J220" s="5">
        <v>0</v>
      </c>
      <c r="K220" s="5">
        <v>8</v>
      </c>
      <c r="L220">
        <v>5.2</v>
      </c>
      <c r="M220">
        <v>3.8</v>
      </c>
      <c r="N220">
        <v>6</v>
      </c>
      <c r="O220" s="6">
        <v>14</v>
      </c>
      <c r="P220" s="7">
        <v>1.6</v>
      </c>
      <c r="U220" t="s">
        <v>84</v>
      </c>
      <c r="V220" t="s">
        <v>126</v>
      </c>
      <c r="W220">
        <v>1.6</v>
      </c>
      <c r="X220" t="s">
        <v>84</v>
      </c>
      <c r="Y220" t="s">
        <v>127</v>
      </c>
      <c r="Z220" t="s">
        <v>100</v>
      </c>
      <c r="AA220" t="s">
        <v>101</v>
      </c>
      <c r="AB220" t="s">
        <v>115</v>
      </c>
      <c r="AC220">
        <v>1149</v>
      </c>
      <c r="AD220" s="8" t="b">
        <f>AND(
 H220&gt;=Filters!$B$3,
 H220&lt;=Filters!$B$4,
 I220&gt;=Filters!$B$5,
 OR(Filters!$B$6="All",B220=Filters!$B$6),
 F220&gt;=Filters!$B$7,
 F220&lt;=Filters!$B$8,
 OR(Filters!$B$9="All",G220=Filters!$B$9)
)</f>
        <v>0</v>
      </c>
      <c r="AE220">
        <f t="shared" si="39"/>
        <v>6</v>
      </c>
      <c r="AF220">
        <f t="shared" si="40"/>
        <v>7</v>
      </c>
      <c r="AG220">
        <f t="shared" si="41"/>
        <v>7</v>
      </c>
      <c r="AH220" s="9" t="str">
        <f t="shared" si="42"/>
        <v/>
      </c>
      <c r="AI220" s="9" t="str">
        <f t="shared" si="43"/>
        <v/>
      </c>
      <c r="AJ220" s="9" t="str">
        <f t="shared" si="44"/>
        <v/>
      </c>
      <c r="AK220" s="9" t="str">
        <f t="shared" si="45"/>
        <v/>
      </c>
      <c r="AL220" s="9" t="str">
        <f t="shared" si="46"/>
        <v/>
      </c>
      <c r="AM220" s="9" t="str">
        <f t="shared" si="47"/>
        <v/>
      </c>
      <c r="AN220" s="9" t="str">
        <f t="shared" si="48"/>
        <v/>
      </c>
      <c r="AO220" s="9" t="str">
        <f t="shared" si="49"/>
        <v/>
      </c>
      <c r="AP220" s="9" t="str">
        <f t="shared" si="50"/>
        <v/>
      </c>
      <c r="AQ220" s="10" t="str">
        <f t="shared" si="51"/>
        <v/>
      </c>
    </row>
    <row r="221" spans="1:43">
      <c r="A221">
        <v>220</v>
      </c>
      <c r="B221" t="s">
        <v>23</v>
      </c>
      <c r="C221" t="s">
        <v>166</v>
      </c>
      <c r="D221" t="s">
        <v>167</v>
      </c>
      <c r="E221" t="s">
        <v>168</v>
      </c>
      <c r="G221" t="s">
        <v>18</v>
      </c>
      <c r="H221" s="4">
        <v>34533000</v>
      </c>
      <c r="I221" s="5">
        <v>512</v>
      </c>
      <c r="J221" s="5">
        <v>0</v>
      </c>
      <c r="K221" s="5">
        <v>16</v>
      </c>
      <c r="L221">
        <v>7.6</v>
      </c>
      <c r="M221">
        <v>3.8</v>
      </c>
      <c r="N221">
        <v>6.26</v>
      </c>
      <c r="O221" s="6">
        <v>13.3</v>
      </c>
      <c r="P221" s="7">
        <v>1.62</v>
      </c>
      <c r="U221" t="s">
        <v>84</v>
      </c>
      <c r="V221" t="s">
        <v>121</v>
      </c>
      <c r="W221">
        <v>1.8</v>
      </c>
      <c r="X221" t="s">
        <v>84</v>
      </c>
      <c r="Y221" t="s">
        <v>127</v>
      </c>
      <c r="Z221" t="s">
        <v>106</v>
      </c>
      <c r="AA221" t="s">
        <v>169</v>
      </c>
      <c r="AB221" t="s">
        <v>115</v>
      </c>
      <c r="AC221">
        <v>1279</v>
      </c>
      <c r="AD221" s="8" t="b">
        <f>AND(
 H221&gt;=Filters!$B$3,
 H221&lt;=Filters!$B$4,
 I221&gt;=Filters!$B$5,
 OR(Filters!$B$6="All",B221=Filters!$B$6),
 F221&gt;=Filters!$B$7,
 F221&lt;=Filters!$B$8,
 OR(Filters!$B$9="All",G221=Filters!$B$9)
)</f>
        <v>0</v>
      </c>
      <c r="AE221">
        <f t="shared" si="39"/>
        <v>6</v>
      </c>
      <c r="AF221">
        <f t="shared" si="40"/>
        <v>7</v>
      </c>
      <c r="AG221">
        <f t="shared" si="41"/>
        <v>7</v>
      </c>
      <c r="AH221" s="9" t="str">
        <f t="shared" si="42"/>
        <v/>
      </c>
      <c r="AI221" s="9" t="str">
        <f t="shared" si="43"/>
        <v/>
      </c>
      <c r="AJ221" s="9" t="str">
        <f t="shared" si="44"/>
        <v/>
      </c>
      <c r="AK221" s="9" t="str">
        <f t="shared" si="45"/>
        <v/>
      </c>
      <c r="AL221" s="9" t="str">
        <f t="shared" si="46"/>
        <v/>
      </c>
      <c r="AM221" s="9" t="str">
        <f t="shared" si="47"/>
        <v/>
      </c>
      <c r="AN221" s="9" t="str">
        <f t="shared" si="48"/>
        <v/>
      </c>
      <c r="AO221" s="9" t="str">
        <f t="shared" si="49"/>
        <v/>
      </c>
      <c r="AP221" s="9" t="str">
        <f t="shared" si="50"/>
        <v/>
      </c>
      <c r="AQ221" s="10" t="str">
        <f t="shared" si="51"/>
        <v/>
      </c>
    </row>
    <row r="222" spans="1:43">
      <c r="A222">
        <v>221</v>
      </c>
      <c r="B222" t="s">
        <v>23</v>
      </c>
      <c r="C222" t="s">
        <v>239</v>
      </c>
      <c r="D222" t="s">
        <v>240</v>
      </c>
      <c r="E222" t="s">
        <v>97</v>
      </c>
      <c r="G222" t="s">
        <v>18</v>
      </c>
      <c r="H222" s="4">
        <v>18288450</v>
      </c>
      <c r="I222" s="5">
        <v>256</v>
      </c>
      <c r="J222" s="5">
        <v>0</v>
      </c>
      <c r="K222" s="5">
        <v>8</v>
      </c>
      <c r="L222">
        <v>5.2</v>
      </c>
      <c r="M222">
        <v>6.5</v>
      </c>
      <c r="N222">
        <v>5.92</v>
      </c>
      <c r="O222" s="6">
        <v>15.6</v>
      </c>
      <c r="P222" s="7">
        <v>2.2000000000000002</v>
      </c>
      <c r="U222" t="s">
        <v>84</v>
      </c>
      <c r="V222" t="s">
        <v>126</v>
      </c>
      <c r="W222">
        <v>1.6</v>
      </c>
      <c r="X222" t="s">
        <v>104</v>
      </c>
      <c r="Y222" t="s">
        <v>241</v>
      </c>
      <c r="Z222" t="s">
        <v>100</v>
      </c>
      <c r="AA222" t="s">
        <v>101</v>
      </c>
      <c r="AB222" t="s">
        <v>201</v>
      </c>
      <c r="AC222">
        <v>677.35</v>
      </c>
      <c r="AD222" s="8" t="b">
        <f>AND(
 H222&gt;=Filters!$B$3,
 H222&lt;=Filters!$B$4,
 I222&gt;=Filters!$B$5,
 OR(Filters!$B$6="All",B222=Filters!$B$6),
 F222&gt;=Filters!$B$7,
 F222&lt;=Filters!$B$8,
 OR(Filters!$B$9="All",G222=Filters!$B$9)
)</f>
        <v>1</v>
      </c>
      <c r="AE222">
        <f t="shared" si="39"/>
        <v>6</v>
      </c>
      <c r="AF222">
        <f t="shared" si="40"/>
        <v>7</v>
      </c>
      <c r="AG222">
        <f t="shared" si="41"/>
        <v>7</v>
      </c>
      <c r="AH222" s="9">
        <f t="shared" si="42"/>
        <v>0.47619047619047616</v>
      </c>
      <c r="AI222" s="9">
        <f t="shared" si="43"/>
        <v>0.80952380952380942</v>
      </c>
      <c r="AJ222" s="9">
        <f t="shared" si="44"/>
        <v>0.63095238095238093</v>
      </c>
      <c r="AK222" s="9">
        <f t="shared" si="45"/>
        <v>0.56190476190476191</v>
      </c>
      <c r="AL222" s="9">
        <f t="shared" si="46"/>
        <v>0.88095238095238082</v>
      </c>
      <c r="AM222" s="9">
        <f t="shared" si="47"/>
        <v>0.5714285714285714</v>
      </c>
      <c r="AN222" s="9">
        <f t="shared" si="48"/>
        <v>0.69047619047619047</v>
      </c>
      <c r="AO222" s="9">
        <f t="shared" si="49"/>
        <v>0.69047619047619047</v>
      </c>
      <c r="AP222" s="9">
        <f t="shared" si="50"/>
        <v>0.64584333967408358</v>
      </c>
      <c r="AQ222" s="10">
        <f t="shared" si="51"/>
        <v>0.64584356167408363</v>
      </c>
    </row>
    <row r="223" spans="1:43">
      <c r="A223">
        <v>222</v>
      </c>
      <c r="B223" t="s">
        <v>29</v>
      </c>
      <c r="C223" t="s">
        <v>403</v>
      </c>
      <c r="D223" t="s">
        <v>404</v>
      </c>
      <c r="E223" t="s">
        <v>168</v>
      </c>
      <c r="G223" t="s">
        <v>18</v>
      </c>
      <c r="H223" s="4">
        <v>24273000</v>
      </c>
      <c r="I223" s="5">
        <v>256</v>
      </c>
      <c r="J223" s="5">
        <v>0</v>
      </c>
      <c r="K223" s="5">
        <v>8</v>
      </c>
      <c r="L223">
        <v>5.2</v>
      </c>
      <c r="M223">
        <v>3.8</v>
      </c>
      <c r="N223">
        <v>6.4</v>
      </c>
      <c r="O223" s="6">
        <v>14</v>
      </c>
      <c r="P223" s="7">
        <v>1.74</v>
      </c>
      <c r="U223" t="s">
        <v>84</v>
      </c>
      <c r="V223" t="s">
        <v>126</v>
      </c>
      <c r="W223">
        <v>1.6</v>
      </c>
      <c r="X223" t="s">
        <v>84</v>
      </c>
      <c r="Y223" t="s">
        <v>127</v>
      </c>
      <c r="Z223" t="s">
        <v>100</v>
      </c>
      <c r="AA223" t="s">
        <v>128</v>
      </c>
      <c r="AB223" t="s">
        <v>115</v>
      </c>
      <c r="AC223">
        <v>899</v>
      </c>
      <c r="AD223" s="8" t="b">
        <f>AND(
 H223&gt;=Filters!$B$3,
 H223&lt;=Filters!$B$4,
 I223&gt;=Filters!$B$5,
 OR(Filters!$B$6="All",B223=Filters!$B$6),
 F223&gt;=Filters!$B$7,
 F223&lt;=Filters!$B$8,
 OR(Filters!$B$9="All",G223=Filters!$B$9)
)</f>
        <v>1</v>
      </c>
      <c r="AE223">
        <f t="shared" si="39"/>
        <v>6</v>
      </c>
      <c r="AF223">
        <f t="shared" si="40"/>
        <v>7</v>
      </c>
      <c r="AG223">
        <f t="shared" si="41"/>
        <v>7</v>
      </c>
      <c r="AH223" s="9">
        <f t="shared" si="42"/>
        <v>0.47619047619047616</v>
      </c>
      <c r="AI223" s="9">
        <f t="shared" si="43"/>
        <v>0.80952380952380942</v>
      </c>
      <c r="AJ223" s="9">
        <f t="shared" si="44"/>
        <v>0.30952380952380948</v>
      </c>
      <c r="AK223" s="9">
        <f t="shared" si="45"/>
        <v>0.61904761904761907</v>
      </c>
      <c r="AL223" s="9">
        <f t="shared" si="46"/>
        <v>0.93571428571428561</v>
      </c>
      <c r="AM223" s="9">
        <f t="shared" si="47"/>
        <v>0.5714285714285714</v>
      </c>
      <c r="AN223" s="9">
        <f t="shared" si="48"/>
        <v>0.69047619047619047</v>
      </c>
      <c r="AO223" s="9">
        <f t="shared" si="49"/>
        <v>0.69047619047619047</v>
      </c>
      <c r="AP223" s="9">
        <f t="shared" si="50"/>
        <v>0.63218440682239208</v>
      </c>
      <c r="AQ223" s="10">
        <f t="shared" si="51"/>
        <v>0.6321846298223921</v>
      </c>
    </row>
    <row r="224" spans="1:43">
      <c r="A224">
        <v>223</v>
      </c>
      <c r="B224" t="s">
        <v>35</v>
      </c>
      <c r="C224" t="s">
        <v>483</v>
      </c>
      <c r="D224" t="s">
        <v>484</v>
      </c>
      <c r="E224" t="s">
        <v>83</v>
      </c>
      <c r="G224" t="s">
        <v>18</v>
      </c>
      <c r="H224" s="4">
        <v>36801000</v>
      </c>
      <c r="I224" s="5">
        <v>256</v>
      </c>
      <c r="J224" s="5">
        <v>0</v>
      </c>
      <c r="K224" s="5">
        <v>8</v>
      </c>
      <c r="L224">
        <v>9</v>
      </c>
      <c r="M224">
        <v>3.5</v>
      </c>
      <c r="N224">
        <v>5.96</v>
      </c>
      <c r="O224" s="6">
        <v>13.3</v>
      </c>
      <c r="P224" s="7">
        <v>1.2</v>
      </c>
      <c r="U224" t="s">
        <v>84</v>
      </c>
      <c r="V224" t="s">
        <v>485</v>
      </c>
      <c r="W224">
        <v>2.5</v>
      </c>
      <c r="X224" t="s">
        <v>84</v>
      </c>
      <c r="Y224" t="s">
        <v>130</v>
      </c>
      <c r="Z224" t="s">
        <v>100</v>
      </c>
      <c r="AA224" t="s">
        <v>101</v>
      </c>
      <c r="AB224" t="s">
        <v>115</v>
      </c>
      <c r="AC224">
        <v>1363</v>
      </c>
      <c r="AD224" s="8" t="b">
        <f>AND(
 H224&gt;=Filters!$B$3,
 H224&lt;=Filters!$B$4,
 I224&gt;=Filters!$B$5,
 OR(Filters!$B$6="All",B224=Filters!$B$6),
 F224&gt;=Filters!$B$7,
 F224&lt;=Filters!$B$8,
 OR(Filters!$B$9="All",G224=Filters!$B$9)
)</f>
        <v>0</v>
      </c>
      <c r="AE224">
        <f t="shared" si="39"/>
        <v>6</v>
      </c>
      <c r="AF224">
        <f t="shared" si="40"/>
        <v>7</v>
      </c>
      <c r="AG224">
        <f t="shared" si="41"/>
        <v>7</v>
      </c>
      <c r="AH224" s="9" t="str">
        <f t="shared" si="42"/>
        <v/>
      </c>
      <c r="AI224" s="9" t="str">
        <f t="shared" si="43"/>
        <v/>
      </c>
      <c r="AJ224" s="9" t="str">
        <f t="shared" si="44"/>
        <v/>
      </c>
      <c r="AK224" s="9" t="str">
        <f t="shared" si="45"/>
        <v/>
      </c>
      <c r="AL224" s="9" t="str">
        <f t="shared" si="46"/>
        <v/>
      </c>
      <c r="AM224" s="9" t="str">
        <f t="shared" si="47"/>
        <v/>
      </c>
      <c r="AN224" s="9" t="str">
        <f t="shared" si="48"/>
        <v/>
      </c>
      <c r="AO224" s="9" t="str">
        <f t="shared" si="49"/>
        <v/>
      </c>
      <c r="AP224" s="9" t="str">
        <f t="shared" si="50"/>
        <v/>
      </c>
      <c r="AQ224" s="10" t="str">
        <f t="shared" si="51"/>
        <v/>
      </c>
    </row>
    <row r="225" spans="1:43">
      <c r="A225">
        <v>224</v>
      </c>
      <c r="B225" t="s">
        <v>26</v>
      </c>
      <c r="C225" t="s">
        <v>204</v>
      </c>
      <c r="D225" t="s">
        <v>205</v>
      </c>
      <c r="E225" t="s">
        <v>97</v>
      </c>
      <c r="G225" t="s">
        <v>18</v>
      </c>
      <c r="H225" s="4">
        <v>21438000</v>
      </c>
      <c r="I225" s="5">
        <v>0</v>
      </c>
      <c r="J225" s="5">
        <v>1024</v>
      </c>
      <c r="K225" s="5">
        <v>8</v>
      </c>
      <c r="L225">
        <v>5.2</v>
      </c>
      <c r="M225">
        <v>3.8</v>
      </c>
      <c r="N225">
        <v>5.92</v>
      </c>
      <c r="O225" s="6">
        <v>15.6</v>
      </c>
      <c r="P225" s="7">
        <v>2.1</v>
      </c>
      <c r="U225" t="s">
        <v>84</v>
      </c>
      <c r="V225" t="s">
        <v>126</v>
      </c>
      <c r="W225">
        <v>1.6</v>
      </c>
      <c r="X225" t="s">
        <v>84</v>
      </c>
      <c r="Y225" t="s">
        <v>127</v>
      </c>
      <c r="Z225" t="s">
        <v>146</v>
      </c>
      <c r="AA225" t="s">
        <v>101</v>
      </c>
      <c r="AB225" t="s">
        <v>115</v>
      </c>
      <c r="AC225">
        <v>794</v>
      </c>
      <c r="AD225" s="8" t="b">
        <f>AND(
 H225&gt;=Filters!$B$3,
 H225&lt;=Filters!$B$4,
 I225&gt;=Filters!$B$5,
 OR(Filters!$B$6="All",B225=Filters!$B$6),
 F225&gt;=Filters!$B$7,
 F225&lt;=Filters!$B$8,
 OR(Filters!$B$9="All",G225=Filters!$B$9)
)</f>
        <v>0</v>
      </c>
      <c r="AE225">
        <f t="shared" si="39"/>
        <v>6</v>
      </c>
      <c r="AF225">
        <f t="shared" si="40"/>
        <v>7</v>
      </c>
      <c r="AG225">
        <f t="shared" si="41"/>
        <v>7</v>
      </c>
      <c r="AH225" s="9" t="str">
        <f t="shared" si="42"/>
        <v/>
      </c>
      <c r="AI225" s="9" t="str">
        <f t="shared" si="43"/>
        <v/>
      </c>
      <c r="AJ225" s="9" t="str">
        <f t="shared" si="44"/>
        <v/>
      </c>
      <c r="AK225" s="9" t="str">
        <f t="shared" si="45"/>
        <v/>
      </c>
      <c r="AL225" s="9" t="str">
        <f t="shared" si="46"/>
        <v/>
      </c>
      <c r="AM225" s="9" t="str">
        <f t="shared" si="47"/>
        <v/>
      </c>
      <c r="AN225" s="9" t="str">
        <f t="shared" si="48"/>
        <v/>
      </c>
      <c r="AO225" s="9" t="str">
        <f t="shared" si="49"/>
        <v/>
      </c>
      <c r="AP225" s="9" t="str">
        <f t="shared" si="50"/>
        <v/>
      </c>
      <c r="AQ225" s="10" t="str">
        <f t="shared" si="51"/>
        <v/>
      </c>
    </row>
    <row r="226" spans="1:43">
      <c r="A226">
        <v>225</v>
      </c>
      <c r="B226" t="s">
        <v>23</v>
      </c>
      <c r="C226" t="s">
        <v>486</v>
      </c>
      <c r="D226" t="s">
        <v>487</v>
      </c>
      <c r="E226" t="s">
        <v>158</v>
      </c>
      <c r="G226" t="s">
        <v>18</v>
      </c>
      <c r="H226" s="4">
        <v>66321180</v>
      </c>
      <c r="I226" s="5">
        <v>256</v>
      </c>
      <c r="J226" s="5">
        <v>1024</v>
      </c>
      <c r="K226" s="5">
        <v>16</v>
      </c>
      <c r="L226">
        <v>9.6</v>
      </c>
      <c r="M226">
        <v>9.1999999999999993</v>
      </c>
      <c r="N226">
        <v>6.24</v>
      </c>
      <c r="O226" s="6">
        <v>17.3</v>
      </c>
      <c r="P226" s="7">
        <v>4.42</v>
      </c>
      <c r="U226" t="s">
        <v>84</v>
      </c>
      <c r="V226" t="s">
        <v>210</v>
      </c>
      <c r="W226">
        <v>2.8</v>
      </c>
      <c r="X226" t="s">
        <v>122</v>
      </c>
      <c r="Y226" t="s">
        <v>211</v>
      </c>
      <c r="Z226" t="s">
        <v>212</v>
      </c>
      <c r="AA226" t="s">
        <v>128</v>
      </c>
      <c r="AB226" t="s">
        <v>115</v>
      </c>
      <c r="AC226">
        <v>2456.34</v>
      </c>
      <c r="AD226" s="8" t="b">
        <f>AND(
 H226&gt;=Filters!$B$3,
 H226&lt;=Filters!$B$4,
 I226&gt;=Filters!$B$5,
 OR(Filters!$B$6="All",B226=Filters!$B$6),
 F226&gt;=Filters!$B$7,
 F226&lt;=Filters!$B$8,
 OR(Filters!$B$9="All",G226=Filters!$B$9)
)</f>
        <v>0</v>
      </c>
      <c r="AE226">
        <f t="shared" si="39"/>
        <v>6</v>
      </c>
      <c r="AF226">
        <f t="shared" si="40"/>
        <v>7</v>
      </c>
      <c r="AG226">
        <f t="shared" si="41"/>
        <v>7</v>
      </c>
      <c r="AH226" s="9" t="str">
        <f t="shared" si="42"/>
        <v/>
      </c>
      <c r="AI226" s="9" t="str">
        <f t="shared" si="43"/>
        <v/>
      </c>
      <c r="AJ226" s="9" t="str">
        <f t="shared" si="44"/>
        <v/>
      </c>
      <c r="AK226" s="9" t="str">
        <f t="shared" si="45"/>
        <v/>
      </c>
      <c r="AL226" s="9" t="str">
        <f t="shared" si="46"/>
        <v/>
      </c>
      <c r="AM226" s="9" t="str">
        <f t="shared" si="47"/>
        <v/>
      </c>
      <c r="AN226" s="9" t="str">
        <f t="shared" si="48"/>
        <v/>
      </c>
      <c r="AO226" s="9" t="str">
        <f t="shared" si="49"/>
        <v/>
      </c>
      <c r="AP226" s="9" t="str">
        <f t="shared" si="50"/>
        <v/>
      </c>
      <c r="AQ226" s="10" t="str">
        <f t="shared" si="51"/>
        <v/>
      </c>
    </row>
    <row r="227" spans="1:43">
      <c r="A227">
        <v>226</v>
      </c>
      <c r="B227" t="s">
        <v>17</v>
      </c>
      <c r="C227" t="s">
        <v>462</v>
      </c>
      <c r="D227" t="s">
        <v>463</v>
      </c>
      <c r="E227" t="s">
        <v>97</v>
      </c>
      <c r="G227" t="s">
        <v>18</v>
      </c>
      <c r="H227" s="4">
        <v>22464000</v>
      </c>
      <c r="I227" s="5">
        <v>256</v>
      </c>
      <c r="J227" s="5">
        <v>0</v>
      </c>
      <c r="K227" s="5">
        <v>8</v>
      </c>
      <c r="L227">
        <v>9.4</v>
      </c>
      <c r="M227">
        <v>6.5</v>
      </c>
      <c r="N227">
        <v>5.92</v>
      </c>
      <c r="O227" s="6">
        <v>15.6</v>
      </c>
      <c r="P227" s="7">
        <v>2.2000000000000002</v>
      </c>
      <c r="U227" t="s">
        <v>84</v>
      </c>
      <c r="V227" t="s">
        <v>140</v>
      </c>
      <c r="W227">
        <v>2.7</v>
      </c>
      <c r="X227" t="s">
        <v>122</v>
      </c>
      <c r="Y227" t="s">
        <v>145</v>
      </c>
      <c r="Z227" t="s">
        <v>100</v>
      </c>
      <c r="AA227" t="s">
        <v>101</v>
      </c>
      <c r="AB227" t="s">
        <v>115</v>
      </c>
      <c r="AC227">
        <v>832</v>
      </c>
      <c r="AD227" s="8" t="b">
        <f>AND(
 H227&gt;=Filters!$B$3,
 H227&lt;=Filters!$B$4,
 I227&gt;=Filters!$B$5,
 OR(Filters!$B$6="All",B227=Filters!$B$6),
 F227&gt;=Filters!$B$7,
 F227&lt;=Filters!$B$8,
 OR(Filters!$B$9="All",G227=Filters!$B$9)
)</f>
        <v>1</v>
      </c>
      <c r="AE227">
        <f t="shared" si="39"/>
        <v>6</v>
      </c>
      <c r="AF227">
        <f t="shared" si="40"/>
        <v>7</v>
      </c>
      <c r="AG227">
        <f t="shared" si="41"/>
        <v>7</v>
      </c>
      <c r="AH227" s="9">
        <f t="shared" si="42"/>
        <v>0.97619047619047628</v>
      </c>
      <c r="AI227" s="9">
        <f t="shared" si="43"/>
        <v>0.80952380952380942</v>
      </c>
      <c r="AJ227" s="9">
        <f t="shared" si="44"/>
        <v>0.63095238095238093</v>
      </c>
      <c r="AK227" s="9">
        <f t="shared" si="45"/>
        <v>0.56190476190476191</v>
      </c>
      <c r="AL227" s="9">
        <f t="shared" si="46"/>
        <v>0.88095238095238082</v>
      </c>
      <c r="AM227" s="9">
        <f t="shared" si="47"/>
        <v>0.5714285714285714</v>
      </c>
      <c r="AN227" s="9">
        <f t="shared" si="48"/>
        <v>0.69047619047619047</v>
      </c>
      <c r="AO227" s="9">
        <f t="shared" si="49"/>
        <v>0.69047619047619047</v>
      </c>
      <c r="AP227" s="9">
        <f t="shared" si="50"/>
        <v>0.75028731836960894</v>
      </c>
      <c r="AQ227" s="10">
        <f t="shared" si="51"/>
        <v>0.75028754536960895</v>
      </c>
    </row>
    <row r="228" spans="1:43">
      <c r="A228">
        <v>227</v>
      </c>
      <c r="B228" t="s">
        <v>23</v>
      </c>
      <c r="C228" t="s">
        <v>356</v>
      </c>
      <c r="D228" t="s">
        <v>357</v>
      </c>
      <c r="E228" t="s">
        <v>97</v>
      </c>
      <c r="G228" t="s">
        <v>18</v>
      </c>
      <c r="H228" s="4">
        <v>23193270</v>
      </c>
      <c r="I228" s="5">
        <v>0</v>
      </c>
      <c r="J228" s="5">
        <v>1024</v>
      </c>
      <c r="K228" s="5">
        <v>16</v>
      </c>
      <c r="L228">
        <v>9.4</v>
      </c>
      <c r="M228">
        <v>6.5</v>
      </c>
      <c r="N228">
        <v>6.22</v>
      </c>
      <c r="O228" s="6">
        <v>15.6</v>
      </c>
      <c r="P228" s="7">
        <v>2.2999999999999998</v>
      </c>
      <c r="U228" t="s">
        <v>84</v>
      </c>
      <c r="V228" t="s">
        <v>140</v>
      </c>
      <c r="W228">
        <v>2.7</v>
      </c>
      <c r="X228" t="s">
        <v>104</v>
      </c>
      <c r="Y228" t="s">
        <v>358</v>
      </c>
      <c r="Z228" t="s">
        <v>146</v>
      </c>
      <c r="AA228" t="s">
        <v>169</v>
      </c>
      <c r="AB228" t="s">
        <v>115</v>
      </c>
      <c r="AC228">
        <v>859.01</v>
      </c>
      <c r="AD228" s="8" t="b">
        <f>AND(
 H228&gt;=Filters!$B$3,
 H228&lt;=Filters!$B$4,
 I228&gt;=Filters!$B$5,
 OR(Filters!$B$6="All",B228=Filters!$B$6),
 F228&gt;=Filters!$B$7,
 F228&lt;=Filters!$B$8,
 OR(Filters!$B$9="All",G228=Filters!$B$9)
)</f>
        <v>0</v>
      </c>
      <c r="AE228">
        <f t="shared" si="39"/>
        <v>6</v>
      </c>
      <c r="AF228">
        <f t="shared" si="40"/>
        <v>7</v>
      </c>
      <c r="AG228">
        <f t="shared" si="41"/>
        <v>7</v>
      </c>
      <c r="AH228" s="9" t="str">
        <f t="shared" si="42"/>
        <v/>
      </c>
      <c r="AI228" s="9" t="str">
        <f t="shared" si="43"/>
        <v/>
      </c>
      <c r="AJ228" s="9" t="str">
        <f t="shared" si="44"/>
        <v/>
      </c>
      <c r="AK228" s="9" t="str">
        <f t="shared" si="45"/>
        <v/>
      </c>
      <c r="AL228" s="9" t="str">
        <f t="shared" si="46"/>
        <v/>
      </c>
      <c r="AM228" s="9" t="str">
        <f t="shared" si="47"/>
        <v/>
      </c>
      <c r="AN228" s="9" t="str">
        <f t="shared" si="48"/>
        <v/>
      </c>
      <c r="AO228" s="9" t="str">
        <f t="shared" si="49"/>
        <v/>
      </c>
      <c r="AP228" s="9" t="str">
        <f t="shared" si="50"/>
        <v/>
      </c>
      <c r="AQ228" s="10" t="str">
        <f t="shared" si="51"/>
        <v/>
      </c>
    </row>
    <row r="229" spans="1:43">
      <c r="A229">
        <v>228</v>
      </c>
      <c r="B229" t="s">
        <v>21</v>
      </c>
      <c r="C229" t="s">
        <v>488</v>
      </c>
      <c r="D229" t="s">
        <v>489</v>
      </c>
      <c r="E229" t="s">
        <v>97</v>
      </c>
      <c r="G229" t="s">
        <v>18</v>
      </c>
      <c r="H229" s="4">
        <v>20763000</v>
      </c>
      <c r="I229" s="5">
        <v>256</v>
      </c>
      <c r="J229" s="5">
        <v>0</v>
      </c>
      <c r="K229" s="5">
        <v>8</v>
      </c>
      <c r="L229">
        <v>7</v>
      </c>
      <c r="M229">
        <v>6.5</v>
      </c>
      <c r="N229">
        <v>5.92</v>
      </c>
      <c r="O229" s="6">
        <v>15.6</v>
      </c>
      <c r="P229" s="7">
        <v>2</v>
      </c>
      <c r="U229" t="s">
        <v>84</v>
      </c>
      <c r="V229" t="s">
        <v>98</v>
      </c>
      <c r="W229">
        <v>2.5</v>
      </c>
      <c r="X229" t="s">
        <v>122</v>
      </c>
      <c r="Y229" t="s">
        <v>230</v>
      </c>
      <c r="Z229" t="s">
        <v>100</v>
      </c>
      <c r="AA229" t="s">
        <v>101</v>
      </c>
      <c r="AB229" t="s">
        <v>115</v>
      </c>
      <c r="AC229">
        <v>769</v>
      </c>
      <c r="AD229" s="8" t="b">
        <f>AND(
 H229&gt;=Filters!$B$3,
 H229&lt;=Filters!$B$4,
 I229&gt;=Filters!$B$5,
 OR(Filters!$B$6="All",B229=Filters!$B$6),
 F229&gt;=Filters!$B$7,
 F229&lt;=Filters!$B$8,
 OR(Filters!$B$9="All",G229=Filters!$B$9)
)</f>
        <v>1</v>
      </c>
      <c r="AE229">
        <f t="shared" si="39"/>
        <v>6</v>
      </c>
      <c r="AF229">
        <f t="shared" si="40"/>
        <v>7</v>
      </c>
      <c r="AG229">
        <f t="shared" si="41"/>
        <v>7</v>
      </c>
      <c r="AH229" s="9">
        <f t="shared" si="42"/>
        <v>0.69047619047619047</v>
      </c>
      <c r="AI229" s="9">
        <f t="shared" si="43"/>
        <v>0.80952380952380942</v>
      </c>
      <c r="AJ229" s="9">
        <f t="shared" si="44"/>
        <v>0.63095238095238093</v>
      </c>
      <c r="AK229" s="9">
        <f t="shared" si="45"/>
        <v>0.56190476190476191</v>
      </c>
      <c r="AL229" s="9">
        <f t="shared" si="46"/>
        <v>0.90476190476190466</v>
      </c>
      <c r="AM229" s="9">
        <f t="shared" si="47"/>
        <v>0.5714285714285714</v>
      </c>
      <c r="AN229" s="9">
        <f t="shared" si="48"/>
        <v>0.69047619047619047</v>
      </c>
      <c r="AO229" s="9">
        <f t="shared" si="49"/>
        <v>0.69047619047619047</v>
      </c>
      <c r="AP229" s="9">
        <f t="shared" si="50"/>
        <v>0.69181234702600047</v>
      </c>
      <c r="AQ229" s="10">
        <f t="shared" si="51"/>
        <v>0.69181257602600044</v>
      </c>
    </row>
    <row r="230" spans="1:43">
      <c r="A230">
        <v>229</v>
      </c>
      <c r="B230" t="s">
        <v>21</v>
      </c>
      <c r="C230" t="s">
        <v>490</v>
      </c>
      <c r="D230" t="s">
        <v>491</v>
      </c>
      <c r="E230" t="s">
        <v>97</v>
      </c>
      <c r="G230" t="s">
        <v>18</v>
      </c>
      <c r="H230" s="4">
        <v>24057000</v>
      </c>
      <c r="I230" s="5">
        <v>256</v>
      </c>
      <c r="J230" s="5">
        <v>500</v>
      </c>
      <c r="K230" s="5">
        <v>8</v>
      </c>
      <c r="L230">
        <v>7</v>
      </c>
      <c r="M230">
        <v>9.1999999999999993</v>
      </c>
      <c r="N230">
        <v>5.83</v>
      </c>
      <c r="O230" s="6">
        <v>17.3</v>
      </c>
      <c r="P230" s="7">
        <v>2.69</v>
      </c>
      <c r="U230" t="s">
        <v>84</v>
      </c>
      <c r="V230" t="s">
        <v>98</v>
      </c>
      <c r="W230">
        <v>2.5</v>
      </c>
      <c r="X230" t="s">
        <v>122</v>
      </c>
      <c r="Y230" t="s">
        <v>492</v>
      </c>
      <c r="Z230" t="s">
        <v>493</v>
      </c>
      <c r="AA230" t="s">
        <v>101</v>
      </c>
      <c r="AB230" t="s">
        <v>115</v>
      </c>
      <c r="AC230">
        <v>891</v>
      </c>
      <c r="AD230" s="8" t="b">
        <f>AND(
 H230&gt;=Filters!$B$3,
 H230&lt;=Filters!$B$4,
 I230&gt;=Filters!$B$5,
 OR(Filters!$B$6="All",B230=Filters!$B$6),
 F230&gt;=Filters!$B$7,
 F230&lt;=Filters!$B$8,
 OR(Filters!$B$9="All",G230=Filters!$B$9)
)</f>
        <v>1</v>
      </c>
      <c r="AE230">
        <f t="shared" si="39"/>
        <v>6</v>
      </c>
      <c r="AF230">
        <f t="shared" si="40"/>
        <v>7</v>
      </c>
      <c r="AG230">
        <f t="shared" si="41"/>
        <v>7</v>
      </c>
      <c r="AH230" s="9">
        <f t="shared" si="42"/>
        <v>0.69047619047619047</v>
      </c>
      <c r="AI230" s="9">
        <f t="shared" si="43"/>
        <v>0.80952380952380942</v>
      </c>
      <c r="AJ230" s="9">
        <f t="shared" si="44"/>
        <v>0.95238095238095222</v>
      </c>
      <c r="AK230" s="9">
        <f t="shared" si="45"/>
        <v>0.55119047619047612</v>
      </c>
      <c r="AL230" s="9">
        <f t="shared" si="46"/>
        <v>0.82261904761904758</v>
      </c>
      <c r="AM230" s="9">
        <f t="shared" si="47"/>
        <v>0.5714285714285714</v>
      </c>
      <c r="AN230" s="9">
        <f t="shared" si="48"/>
        <v>0.69047619047619047</v>
      </c>
      <c r="AO230" s="9">
        <f t="shared" si="49"/>
        <v>0.69047619047619047</v>
      </c>
      <c r="AP230" s="9">
        <f t="shared" si="50"/>
        <v>0.70790237568953873</v>
      </c>
      <c r="AQ230" s="10">
        <f t="shared" si="51"/>
        <v>0.70790260568953878</v>
      </c>
    </row>
    <row r="231" spans="1:43">
      <c r="A231">
        <v>230</v>
      </c>
      <c r="B231" t="s">
        <v>26</v>
      </c>
      <c r="C231" t="s">
        <v>494</v>
      </c>
      <c r="D231" t="s">
        <v>495</v>
      </c>
      <c r="E231" t="s">
        <v>97</v>
      </c>
      <c r="G231" t="s">
        <v>18</v>
      </c>
      <c r="H231" s="4">
        <v>34263000</v>
      </c>
      <c r="I231" s="5">
        <v>0</v>
      </c>
      <c r="J231" s="5">
        <v>1024</v>
      </c>
      <c r="K231" s="5">
        <v>8</v>
      </c>
      <c r="L231">
        <v>9.4</v>
      </c>
      <c r="M231">
        <v>6.5</v>
      </c>
      <c r="N231">
        <v>5.92</v>
      </c>
      <c r="O231" s="6">
        <v>15.6</v>
      </c>
      <c r="P231" s="7">
        <v>1.9</v>
      </c>
      <c r="U231" t="s">
        <v>84</v>
      </c>
      <c r="V231" t="s">
        <v>140</v>
      </c>
      <c r="W231">
        <v>2.7</v>
      </c>
      <c r="X231" t="s">
        <v>104</v>
      </c>
      <c r="Y231" t="s">
        <v>496</v>
      </c>
      <c r="Z231" t="s">
        <v>146</v>
      </c>
      <c r="AA231" t="s">
        <v>101</v>
      </c>
      <c r="AB231" t="s">
        <v>115</v>
      </c>
      <c r="AC231">
        <v>1269</v>
      </c>
      <c r="AD231" s="8" t="b">
        <f>AND(
 H231&gt;=Filters!$B$3,
 H231&lt;=Filters!$B$4,
 I231&gt;=Filters!$B$5,
 OR(Filters!$B$6="All",B231=Filters!$B$6),
 F231&gt;=Filters!$B$7,
 F231&lt;=Filters!$B$8,
 OR(Filters!$B$9="All",G231=Filters!$B$9)
)</f>
        <v>0</v>
      </c>
      <c r="AE231">
        <f t="shared" si="39"/>
        <v>6</v>
      </c>
      <c r="AF231">
        <f t="shared" si="40"/>
        <v>7</v>
      </c>
      <c r="AG231">
        <f t="shared" si="41"/>
        <v>7</v>
      </c>
      <c r="AH231" s="9" t="str">
        <f t="shared" si="42"/>
        <v/>
      </c>
      <c r="AI231" s="9" t="str">
        <f t="shared" si="43"/>
        <v/>
      </c>
      <c r="AJ231" s="9" t="str">
        <f t="shared" si="44"/>
        <v/>
      </c>
      <c r="AK231" s="9" t="str">
        <f t="shared" si="45"/>
        <v/>
      </c>
      <c r="AL231" s="9" t="str">
        <f t="shared" si="46"/>
        <v/>
      </c>
      <c r="AM231" s="9" t="str">
        <f t="shared" si="47"/>
        <v/>
      </c>
      <c r="AN231" s="9" t="str">
        <f t="shared" si="48"/>
        <v/>
      </c>
      <c r="AO231" s="9" t="str">
        <f t="shared" si="49"/>
        <v/>
      </c>
      <c r="AP231" s="9" t="str">
        <f t="shared" si="50"/>
        <v/>
      </c>
      <c r="AQ231" s="10" t="str">
        <f t="shared" si="51"/>
        <v/>
      </c>
    </row>
    <row r="232" spans="1:43">
      <c r="A232">
        <v>231</v>
      </c>
      <c r="B232" t="s">
        <v>21</v>
      </c>
      <c r="C232" t="s">
        <v>497</v>
      </c>
      <c r="D232" t="s">
        <v>498</v>
      </c>
      <c r="E232" t="s">
        <v>97</v>
      </c>
      <c r="G232" t="s">
        <v>18</v>
      </c>
      <c r="H232" s="4">
        <v>10772730</v>
      </c>
      <c r="I232" s="5">
        <v>0</v>
      </c>
      <c r="J232" s="5">
        <v>1024</v>
      </c>
      <c r="K232" s="5">
        <v>4</v>
      </c>
      <c r="L232">
        <v>4.8</v>
      </c>
      <c r="M232">
        <v>3.5</v>
      </c>
      <c r="N232">
        <v>3.92</v>
      </c>
      <c r="O232" s="6">
        <v>15.6</v>
      </c>
      <c r="P232" s="7">
        <v>2.37</v>
      </c>
      <c r="U232" t="s">
        <v>84</v>
      </c>
      <c r="V232" t="s">
        <v>144</v>
      </c>
      <c r="W232">
        <v>2.4</v>
      </c>
      <c r="X232" t="s">
        <v>84</v>
      </c>
      <c r="Y232" t="s">
        <v>99</v>
      </c>
      <c r="Z232" t="s">
        <v>146</v>
      </c>
      <c r="AA232" t="s">
        <v>114</v>
      </c>
      <c r="AB232" t="s">
        <v>115</v>
      </c>
      <c r="AC232">
        <v>398.99</v>
      </c>
      <c r="AD232" s="8" t="b">
        <f>AND(
 H232&gt;=Filters!$B$3,
 H232&lt;=Filters!$B$4,
 I232&gt;=Filters!$B$5,
 OR(Filters!$B$6="All",B232=Filters!$B$6),
 F232&gt;=Filters!$B$7,
 F232&lt;=Filters!$B$8,
 OR(Filters!$B$9="All",G232=Filters!$B$9)
)</f>
        <v>0</v>
      </c>
      <c r="AE232">
        <f t="shared" si="39"/>
        <v>6</v>
      </c>
      <c r="AF232">
        <f t="shared" si="40"/>
        <v>7</v>
      </c>
      <c r="AG232">
        <f t="shared" si="41"/>
        <v>7</v>
      </c>
      <c r="AH232" s="9" t="str">
        <f t="shared" si="42"/>
        <v/>
      </c>
      <c r="AI232" s="9" t="str">
        <f t="shared" si="43"/>
        <v/>
      </c>
      <c r="AJ232" s="9" t="str">
        <f t="shared" si="44"/>
        <v/>
      </c>
      <c r="AK232" s="9" t="str">
        <f t="shared" si="45"/>
        <v/>
      </c>
      <c r="AL232" s="9" t="str">
        <f t="shared" si="46"/>
        <v/>
      </c>
      <c r="AM232" s="9" t="str">
        <f t="shared" si="47"/>
        <v/>
      </c>
      <c r="AN232" s="9" t="str">
        <f t="shared" si="48"/>
        <v/>
      </c>
      <c r="AO232" s="9" t="str">
        <f t="shared" si="49"/>
        <v/>
      </c>
      <c r="AP232" s="9" t="str">
        <f t="shared" si="50"/>
        <v/>
      </c>
      <c r="AQ232" s="10" t="str">
        <f t="shared" si="51"/>
        <v/>
      </c>
    </row>
    <row r="233" spans="1:43">
      <c r="A233">
        <v>232</v>
      </c>
      <c r="B233" t="s">
        <v>26</v>
      </c>
      <c r="C233" t="s">
        <v>499</v>
      </c>
      <c r="D233" t="s">
        <v>500</v>
      </c>
      <c r="E233" t="s">
        <v>97</v>
      </c>
      <c r="G233" t="s">
        <v>18</v>
      </c>
      <c r="H233" s="4">
        <v>8910000</v>
      </c>
      <c r="I233" s="5">
        <v>0</v>
      </c>
      <c r="J233" s="5">
        <v>500</v>
      </c>
      <c r="K233" s="5">
        <v>4</v>
      </c>
      <c r="L233">
        <v>4</v>
      </c>
      <c r="M233">
        <v>6.5</v>
      </c>
      <c r="N233">
        <v>3.92</v>
      </c>
      <c r="O233" s="6">
        <v>15.6</v>
      </c>
      <c r="P233" s="7">
        <v>2.1</v>
      </c>
      <c r="U233" t="s">
        <v>104</v>
      </c>
      <c r="V233" t="s">
        <v>501</v>
      </c>
      <c r="W233">
        <v>1.5</v>
      </c>
      <c r="X233" t="s">
        <v>104</v>
      </c>
      <c r="Y233" t="s">
        <v>165</v>
      </c>
      <c r="Z233" t="s">
        <v>113</v>
      </c>
      <c r="AA233" t="s">
        <v>114</v>
      </c>
      <c r="AB233" t="s">
        <v>115</v>
      </c>
      <c r="AC233">
        <v>330</v>
      </c>
      <c r="AD233" s="8" t="b">
        <f>AND(
 H233&gt;=Filters!$B$3,
 H233&lt;=Filters!$B$4,
 I233&gt;=Filters!$B$5,
 OR(Filters!$B$6="All",B233=Filters!$B$6),
 F233&gt;=Filters!$B$7,
 F233&lt;=Filters!$B$8,
 OR(Filters!$B$9="All",G233=Filters!$B$9)
)</f>
        <v>0</v>
      </c>
      <c r="AE233">
        <f t="shared" si="39"/>
        <v>6</v>
      </c>
      <c r="AF233">
        <f t="shared" si="40"/>
        <v>7</v>
      </c>
      <c r="AG233">
        <f t="shared" si="41"/>
        <v>7</v>
      </c>
      <c r="AH233" s="9" t="str">
        <f t="shared" si="42"/>
        <v/>
      </c>
      <c r="AI233" s="9" t="str">
        <f t="shared" si="43"/>
        <v/>
      </c>
      <c r="AJ233" s="9" t="str">
        <f t="shared" si="44"/>
        <v/>
      </c>
      <c r="AK233" s="9" t="str">
        <f t="shared" si="45"/>
        <v/>
      </c>
      <c r="AL233" s="9" t="str">
        <f t="shared" si="46"/>
        <v/>
      </c>
      <c r="AM233" s="9" t="str">
        <f t="shared" si="47"/>
        <v/>
      </c>
      <c r="AN233" s="9" t="str">
        <f t="shared" si="48"/>
        <v/>
      </c>
      <c r="AO233" s="9" t="str">
        <f t="shared" si="49"/>
        <v/>
      </c>
      <c r="AP233" s="9" t="str">
        <f t="shared" si="50"/>
        <v/>
      </c>
      <c r="AQ233" s="10" t="str">
        <f t="shared" si="51"/>
        <v/>
      </c>
    </row>
    <row r="234" spans="1:43">
      <c r="A234">
        <v>233</v>
      </c>
      <c r="B234" t="s">
        <v>29</v>
      </c>
      <c r="C234" t="s">
        <v>464</v>
      </c>
      <c r="D234" t="s">
        <v>465</v>
      </c>
      <c r="E234" t="s">
        <v>158</v>
      </c>
      <c r="G234" t="s">
        <v>18</v>
      </c>
      <c r="H234" s="4">
        <v>40473000</v>
      </c>
      <c r="I234" s="5">
        <v>256</v>
      </c>
      <c r="J234" s="5">
        <v>1024</v>
      </c>
      <c r="K234" s="5">
        <v>16</v>
      </c>
      <c r="L234">
        <v>9.6</v>
      </c>
      <c r="M234">
        <v>9.1999999999999993</v>
      </c>
      <c r="N234">
        <v>6.32</v>
      </c>
      <c r="O234" s="6">
        <v>15.6</v>
      </c>
      <c r="P234" s="7">
        <v>3.2</v>
      </c>
      <c r="U234" t="s">
        <v>84</v>
      </c>
      <c r="V234" t="s">
        <v>210</v>
      </c>
      <c r="W234">
        <v>2.8</v>
      </c>
      <c r="X234" t="s">
        <v>122</v>
      </c>
      <c r="Y234" t="s">
        <v>211</v>
      </c>
      <c r="Z234" t="s">
        <v>212</v>
      </c>
      <c r="AA234" t="s">
        <v>128</v>
      </c>
      <c r="AB234" t="s">
        <v>115</v>
      </c>
      <c r="AC234">
        <v>1499</v>
      </c>
      <c r="AD234" s="8" t="b">
        <f>AND(
 H234&gt;=Filters!$B$3,
 H234&lt;=Filters!$B$4,
 I234&gt;=Filters!$B$5,
 OR(Filters!$B$6="All",B234=Filters!$B$6),
 F234&gt;=Filters!$B$7,
 F234&lt;=Filters!$B$8,
 OR(Filters!$B$9="All",G234=Filters!$B$9)
)</f>
        <v>0</v>
      </c>
      <c r="AE234">
        <f t="shared" si="39"/>
        <v>6</v>
      </c>
      <c r="AF234">
        <f t="shared" si="40"/>
        <v>7</v>
      </c>
      <c r="AG234">
        <f t="shared" si="41"/>
        <v>7</v>
      </c>
      <c r="AH234" s="9" t="str">
        <f t="shared" si="42"/>
        <v/>
      </c>
      <c r="AI234" s="9" t="str">
        <f t="shared" si="43"/>
        <v/>
      </c>
      <c r="AJ234" s="9" t="str">
        <f t="shared" si="44"/>
        <v/>
      </c>
      <c r="AK234" s="9" t="str">
        <f t="shared" si="45"/>
        <v/>
      </c>
      <c r="AL234" s="9" t="str">
        <f t="shared" si="46"/>
        <v/>
      </c>
      <c r="AM234" s="9" t="str">
        <f t="shared" si="47"/>
        <v/>
      </c>
      <c r="AN234" s="9" t="str">
        <f t="shared" si="48"/>
        <v/>
      </c>
      <c r="AO234" s="9" t="str">
        <f t="shared" si="49"/>
        <v/>
      </c>
      <c r="AP234" s="9" t="str">
        <f t="shared" si="50"/>
        <v/>
      </c>
      <c r="AQ234" s="10" t="str">
        <f t="shared" si="51"/>
        <v/>
      </c>
    </row>
    <row r="235" spans="1:43">
      <c r="A235">
        <v>234</v>
      </c>
      <c r="B235" t="s">
        <v>23</v>
      </c>
      <c r="C235" t="s">
        <v>502</v>
      </c>
      <c r="D235" t="s">
        <v>503</v>
      </c>
      <c r="E235" t="s">
        <v>97</v>
      </c>
      <c r="G235" t="s">
        <v>18</v>
      </c>
      <c r="H235" s="4">
        <v>23193000</v>
      </c>
      <c r="I235" s="5">
        <v>256</v>
      </c>
      <c r="J235" s="5">
        <v>0</v>
      </c>
      <c r="K235" s="5">
        <v>8</v>
      </c>
      <c r="L235">
        <v>7</v>
      </c>
      <c r="M235">
        <v>3.5</v>
      </c>
      <c r="N235">
        <v>6</v>
      </c>
      <c r="O235" s="6">
        <v>14</v>
      </c>
      <c r="P235" s="7">
        <v>1.6</v>
      </c>
      <c r="U235" t="s">
        <v>84</v>
      </c>
      <c r="V235" t="s">
        <v>98</v>
      </c>
      <c r="W235">
        <v>2.5</v>
      </c>
      <c r="X235" t="s">
        <v>84</v>
      </c>
      <c r="Y235" t="s">
        <v>99</v>
      </c>
      <c r="Z235" t="s">
        <v>100</v>
      </c>
      <c r="AA235" t="s">
        <v>101</v>
      </c>
      <c r="AB235" t="s">
        <v>115</v>
      </c>
      <c r="AC235">
        <v>859</v>
      </c>
      <c r="AD235" s="8" t="b">
        <f>AND(
 H235&gt;=Filters!$B$3,
 H235&lt;=Filters!$B$4,
 I235&gt;=Filters!$B$5,
 OR(Filters!$B$6="All",B235=Filters!$B$6),
 F235&gt;=Filters!$B$7,
 F235&lt;=Filters!$B$8,
 OR(Filters!$B$9="All",G235=Filters!$B$9)
)</f>
        <v>1</v>
      </c>
      <c r="AE235">
        <f t="shared" si="39"/>
        <v>6</v>
      </c>
      <c r="AF235">
        <f t="shared" si="40"/>
        <v>7</v>
      </c>
      <c r="AG235">
        <f t="shared" si="41"/>
        <v>7</v>
      </c>
      <c r="AH235" s="9">
        <f t="shared" si="42"/>
        <v>0.69047619047619047</v>
      </c>
      <c r="AI235" s="9">
        <f t="shared" si="43"/>
        <v>0.80952380952380942</v>
      </c>
      <c r="AJ235" s="9">
        <f t="shared" si="44"/>
        <v>0.27380952380952378</v>
      </c>
      <c r="AK235" s="9">
        <f t="shared" si="45"/>
        <v>0.5714285714285714</v>
      </c>
      <c r="AL235" s="9">
        <f t="shared" si="46"/>
        <v>0.95238095238095233</v>
      </c>
      <c r="AM235" s="9">
        <f t="shared" si="47"/>
        <v>0.5714285714285714</v>
      </c>
      <c r="AN235" s="9">
        <f t="shared" si="48"/>
        <v>0.69047619047619047</v>
      </c>
      <c r="AO235" s="9">
        <f t="shared" si="49"/>
        <v>0.69047619047619047</v>
      </c>
      <c r="AP235" s="9">
        <f t="shared" si="50"/>
        <v>0.67152527858601241</v>
      </c>
      <c r="AQ235" s="10">
        <f t="shared" si="51"/>
        <v>0.67152551358601242</v>
      </c>
    </row>
    <row r="236" spans="1:43">
      <c r="A236">
        <v>235</v>
      </c>
      <c r="B236" t="s">
        <v>17</v>
      </c>
      <c r="C236" t="s">
        <v>504</v>
      </c>
      <c r="D236" t="s">
        <v>505</v>
      </c>
      <c r="E236" t="s">
        <v>168</v>
      </c>
      <c r="G236" t="s">
        <v>18</v>
      </c>
      <c r="H236" s="4">
        <v>18603000</v>
      </c>
      <c r="I236" s="5">
        <v>256</v>
      </c>
      <c r="J236" s="5">
        <v>0</v>
      </c>
      <c r="K236" s="5">
        <v>8</v>
      </c>
      <c r="L236">
        <v>6.6</v>
      </c>
      <c r="M236">
        <v>3.5</v>
      </c>
      <c r="N236">
        <v>6.67</v>
      </c>
      <c r="O236" s="6">
        <v>13.3</v>
      </c>
      <c r="P236" s="7">
        <v>1.6</v>
      </c>
      <c r="U236" t="s">
        <v>84</v>
      </c>
      <c r="V236" t="s">
        <v>375</v>
      </c>
      <c r="W236">
        <v>2.2999999999999998</v>
      </c>
      <c r="X236" t="s">
        <v>84</v>
      </c>
      <c r="Y236" t="s">
        <v>130</v>
      </c>
      <c r="Z236" t="s">
        <v>100</v>
      </c>
      <c r="AA236" t="s">
        <v>149</v>
      </c>
      <c r="AB236" t="s">
        <v>115</v>
      </c>
      <c r="AC236">
        <v>689</v>
      </c>
      <c r="AD236" s="8" t="b">
        <f>AND(
 H236&gt;=Filters!$B$3,
 H236&lt;=Filters!$B$4,
 I236&gt;=Filters!$B$5,
 OR(Filters!$B$6="All",B236=Filters!$B$6),
 F236&gt;=Filters!$B$7,
 F236&lt;=Filters!$B$8,
 OR(Filters!$B$9="All",G236=Filters!$B$9)
)</f>
        <v>1</v>
      </c>
      <c r="AE236">
        <f t="shared" si="39"/>
        <v>6</v>
      </c>
      <c r="AF236">
        <f t="shared" si="40"/>
        <v>7</v>
      </c>
      <c r="AG236">
        <f t="shared" si="41"/>
        <v>7</v>
      </c>
      <c r="AH236" s="9">
        <f t="shared" si="42"/>
        <v>0.64285714285714279</v>
      </c>
      <c r="AI236" s="9">
        <f t="shared" si="43"/>
        <v>0.80952380952380942</v>
      </c>
      <c r="AJ236" s="9">
        <f t="shared" si="44"/>
        <v>0.27380952380952378</v>
      </c>
      <c r="AK236" s="9">
        <f t="shared" si="45"/>
        <v>0.6511904761904761</v>
      </c>
      <c r="AL236" s="9">
        <f t="shared" si="46"/>
        <v>0.95238095238095233</v>
      </c>
      <c r="AM236" s="9">
        <f t="shared" si="47"/>
        <v>0.5714285714285714</v>
      </c>
      <c r="AN236" s="9">
        <f t="shared" si="48"/>
        <v>0.69047619047619047</v>
      </c>
      <c r="AO236" s="9">
        <f t="shared" si="49"/>
        <v>0.69047619047619047</v>
      </c>
      <c r="AP236" s="9">
        <f t="shared" si="50"/>
        <v>0.66813992667926581</v>
      </c>
      <c r="AQ236" s="10">
        <f t="shared" si="51"/>
        <v>0.66814016267926579</v>
      </c>
    </row>
    <row r="237" spans="1:43">
      <c r="A237">
        <v>236</v>
      </c>
      <c r="B237" t="s">
        <v>23</v>
      </c>
      <c r="C237" t="s">
        <v>356</v>
      </c>
      <c r="D237" t="s">
        <v>357</v>
      </c>
      <c r="E237" t="s">
        <v>97</v>
      </c>
      <c r="G237" t="s">
        <v>18</v>
      </c>
      <c r="H237" s="4">
        <v>24273000</v>
      </c>
      <c r="I237" s="5">
        <v>256</v>
      </c>
      <c r="J237" s="5">
        <v>0</v>
      </c>
      <c r="K237" s="5">
        <v>16</v>
      </c>
      <c r="L237">
        <v>9.4</v>
      </c>
      <c r="M237">
        <v>6.5</v>
      </c>
      <c r="N237">
        <v>5.92</v>
      </c>
      <c r="O237" s="6">
        <v>15.6</v>
      </c>
      <c r="P237" s="7">
        <v>2.36</v>
      </c>
      <c r="U237" t="s">
        <v>84</v>
      </c>
      <c r="V237" t="s">
        <v>140</v>
      </c>
      <c r="W237">
        <v>2.7</v>
      </c>
      <c r="X237" t="s">
        <v>104</v>
      </c>
      <c r="Y237" t="s">
        <v>358</v>
      </c>
      <c r="Z237" t="s">
        <v>100</v>
      </c>
      <c r="AA237" t="s">
        <v>101</v>
      </c>
      <c r="AB237" t="s">
        <v>201</v>
      </c>
      <c r="AC237">
        <v>899</v>
      </c>
      <c r="AD237" s="8" t="b">
        <f>AND(
 H237&gt;=Filters!$B$3,
 H237&lt;=Filters!$B$4,
 I237&gt;=Filters!$B$5,
 OR(Filters!$B$6="All",B237=Filters!$B$6),
 F237&gt;=Filters!$B$7,
 F237&lt;=Filters!$B$8,
 OR(Filters!$B$9="All",G237=Filters!$B$9)
)</f>
        <v>1</v>
      </c>
      <c r="AE237">
        <f t="shared" si="39"/>
        <v>6</v>
      </c>
      <c r="AF237">
        <f t="shared" si="40"/>
        <v>7</v>
      </c>
      <c r="AG237">
        <f t="shared" si="41"/>
        <v>7</v>
      </c>
      <c r="AH237" s="9">
        <f t="shared" si="42"/>
        <v>0.97619047619047628</v>
      </c>
      <c r="AI237" s="9">
        <f t="shared" si="43"/>
        <v>1.7619047619047619</v>
      </c>
      <c r="AJ237" s="9">
        <f t="shared" si="44"/>
        <v>0.63095238095238093</v>
      </c>
      <c r="AK237" s="9">
        <f t="shared" si="45"/>
        <v>0.56190476190476191</v>
      </c>
      <c r="AL237" s="9">
        <f t="shared" si="46"/>
        <v>0.86190476190476184</v>
      </c>
      <c r="AM237" s="9">
        <f t="shared" si="47"/>
        <v>0.5714285714285714</v>
      </c>
      <c r="AN237" s="9">
        <f t="shared" si="48"/>
        <v>0.69047619047619047</v>
      </c>
      <c r="AO237" s="9">
        <f t="shared" si="49"/>
        <v>0.69047619047619047</v>
      </c>
      <c r="AP237" s="9">
        <f t="shared" si="50"/>
        <v>0.92273539331490884</v>
      </c>
      <c r="AQ237" s="10">
        <f t="shared" si="51"/>
        <v>0.92273563031490879</v>
      </c>
    </row>
    <row r="238" spans="1:43">
      <c r="A238">
        <v>237</v>
      </c>
      <c r="B238" t="s">
        <v>17</v>
      </c>
      <c r="C238" t="s">
        <v>387</v>
      </c>
      <c r="D238" t="s">
        <v>388</v>
      </c>
      <c r="E238" t="s">
        <v>97</v>
      </c>
      <c r="G238" t="s">
        <v>18</v>
      </c>
      <c r="H238" s="4">
        <v>10530000</v>
      </c>
      <c r="I238" s="5">
        <v>0</v>
      </c>
      <c r="J238" s="5">
        <v>1024</v>
      </c>
      <c r="K238" s="5">
        <v>4</v>
      </c>
      <c r="L238">
        <v>4</v>
      </c>
      <c r="M238">
        <v>3.5</v>
      </c>
      <c r="N238">
        <v>3.92</v>
      </c>
      <c r="O238" s="6">
        <v>15.6</v>
      </c>
      <c r="P238" s="7">
        <v>2.1</v>
      </c>
      <c r="U238" t="s">
        <v>84</v>
      </c>
      <c r="V238" t="s">
        <v>129</v>
      </c>
      <c r="W238">
        <v>2</v>
      </c>
      <c r="X238" t="s">
        <v>84</v>
      </c>
      <c r="Y238" t="s">
        <v>130</v>
      </c>
      <c r="Z238" t="s">
        <v>146</v>
      </c>
      <c r="AA238" t="s">
        <v>114</v>
      </c>
      <c r="AB238" t="s">
        <v>201</v>
      </c>
      <c r="AC238">
        <v>390</v>
      </c>
      <c r="AD238" s="8" t="b">
        <f>AND(
 H238&gt;=Filters!$B$3,
 H238&lt;=Filters!$B$4,
 I238&gt;=Filters!$B$5,
 OR(Filters!$B$6="All",B238=Filters!$B$6),
 F238&gt;=Filters!$B$7,
 F238&lt;=Filters!$B$8,
 OR(Filters!$B$9="All",G238=Filters!$B$9)
)</f>
        <v>0</v>
      </c>
      <c r="AE238">
        <f t="shared" si="39"/>
        <v>6</v>
      </c>
      <c r="AF238">
        <f t="shared" si="40"/>
        <v>7</v>
      </c>
      <c r="AG238">
        <f t="shared" si="41"/>
        <v>7</v>
      </c>
      <c r="AH238" s="9" t="str">
        <f t="shared" si="42"/>
        <v/>
      </c>
      <c r="AI238" s="9" t="str">
        <f t="shared" si="43"/>
        <v/>
      </c>
      <c r="AJ238" s="9" t="str">
        <f t="shared" si="44"/>
        <v/>
      </c>
      <c r="AK238" s="9" t="str">
        <f t="shared" si="45"/>
        <v/>
      </c>
      <c r="AL238" s="9" t="str">
        <f t="shared" si="46"/>
        <v/>
      </c>
      <c r="AM238" s="9" t="str">
        <f t="shared" si="47"/>
        <v/>
      </c>
      <c r="AN238" s="9" t="str">
        <f t="shared" si="48"/>
        <v/>
      </c>
      <c r="AO238" s="9" t="str">
        <f t="shared" si="49"/>
        <v/>
      </c>
      <c r="AP238" s="9" t="str">
        <f t="shared" si="50"/>
        <v/>
      </c>
      <c r="AQ238" s="10" t="str">
        <f t="shared" si="51"/>
        <v/>
      </c>
    </row>
    <row r="239" spans="1:43">
      <c r="A239">
        <v>238</v>
      </c>
      <c r="B239" t="s">
        <v>21</v>
      </c>
      <c r="C239" t="s">
        <v>506</v>
      </c>
      <c r="D239" t="s">
        <v>507</v>
      </c>
      <c r="E239" t="s">
        <v>97</v>
      </c>
      <c r="G239" t="s">
        <v>18</v>
      </c>
      <c r="H239" s="4">
        <v>15525000</v>
      </c>
      <c r="I239" s="5">
        <v>128</v>
      </c>
      <c r="J239" s="5">
        <v>1024</v>
      </c>
      <c r="K239" s="5">
        <v>4</v>
      </c>
      <c r="L239">
        <v>6</v>
      </c>
      <c r="M239">
        <v>6.5</v>
      </c>
      <c r="N239">
        <v>5.92</v>
      </c>
      <c r="O239" s="6">
        <v>15.6</v>
      </c>
      <c r="P239" s="7">
        <v>2.2000000000000002</v>
      </c>
      <c r="U239" t="s">
        <v>104</v>
      </c>
      <c r="V239" t="s">
        <v>508</v>
      </c>
      <c r="W239">
        <v>2.5</v>
      </c>
      <c r="X239" t="s">
        <v>104</v>
      </c>
      <c r="Y239" t="s">
        <v>134</v>
      </c>
      <c r="Z239" t="s">
        <v>161</v>
      </c>
      <c r="AA239" t="s">
        <v>101</v>
      </c>
      <c r="AB239" t="s">
        <v>115</v>
      </c>
      <c r="AC239">
        <v>575</v>
      </c>
      <c r="AD239" s="8" t="b">
        <f>AND(
 H239&gt;=Filters!$B$3,
 H239&lt;=Filters!$B$4,
 I239&gt;=Filters!$B$5,
 OR(Filters!$B$6="All",B239=Filters!$B$6),
 F239&gt;=Filters!$B$7,
 F239&lt;=Filters!$B$8,
 OR(Filters!$B$9="All",G239=Filters!$B$9)
)</f>
        <v>0</v>
      </c>
      <c r="AE239">
        <f t="shared" si="39"/>
        <v>6</v>
      </c>
      <c r="AF239">
        <f t="shared" si="40"/>
        <v>7</v>
      </c>
      <c r="AG239">
        <f t="shared" si="41"/>
        <v>7</v>
      </c>
      <c r="AH239" s="9" t="str">
        <f t="shared" si="42"/>
        <v/>
      </c>
      <c r="AI239" s="9" t="str">
        <f t="shared" si="43"/>
        <v/>
      </c>
      <c r="AJ239" s="9" t="str">
        <f t="shared" si="44"/>
        <v/>
      </c>
      <c r="AK239" s="9" t="str">
        <f t="shared" si="45"/>
        <v/>
      </c>
      <c r="AL239" s="9" t="str">
        <f t="shared" si="46"/>
        <v/>
      </c>
      <c r="AM239" s="9" t="str">
        <f t="shared" si="47"/>
        <v/>
      </c>
      <c r="AN239" s="9" t="str">
        <f t="shared" si="48"/>
        <v/>
      </c>
      <c r="AO239" s="9" t="str">
        <f t="shared" si="49"/>
        <v/>
      </c>
      <c r="AP239" s="9" t="str">
        <f t="shared" si="50"/>
        <v/>
      </c>
      <c r="AQ239" s="10" t="str">
        <f t="shared" si="51"/>
        <v/>
      </c>
    </row>
    <row r="240" spans="1:43">
      <c r="A240">
        <v>239</v>
      </c>
      <c r="B240" t="s">
        <v>21</v>
      </c>
      <c r="C240" t="s">
        <v>509</v>
      </c>
      <c r="D240" t="s">
        <v>510</v>
      </c>
      <c r="E240" t="s">
        <v>158</v>
      </c>
      <c r="G240" t="s">
        <v>18</v>
      </c>
      <c r="H240" s="4">
        <v>105030000</v>
      </c>
      <c r="I240" s="5">
        <v>512</v>
      </c>
      <c r="J240" s="5">
        <v>1024</v>
      </c>
      <c r="K240" s="5">
        <v>32</v>
      </c>
      <c r="L240">
        <v>9.8000000000000007</v>
      </c>
      <c r="M240">
        <v>9.1999999999999993</v>
      </c>
      <c r="N240">
        <v>5.83</v>
      </c>
      <c r="O240" s="6">
        <v>17.3</v>
      </c>
      <c r="P240" s="7">
        <v>4.7</v>
      </c>
      <c r="U240" t="s">
        <v>84</v>
      </c>
      <c r="V240" t="s">
        <v>455</v>
      </c>
      <c r="W240">
        <v>2.9</v>
      </c>
      <c r="X240" t="s">
        <v>122</v>
      </c>
      <c r="Y240" t="s">
        <v>456</v>
      </c>
      <c r="Z240" t="s">
        <v>428</v>
      </c>
      <c r="AA240" t="s">
        <v>101</v>
      </c>
      <c r="AB240" t="s">
        <v>115</v>
      </c>
      <c r="AC240">
        <v>3890</v>
      </c>
      <c r="AD240" s="8" t="b">
        <f>AND(
 H240&gt;=Filters!$B$3,
 H240&lt;=Filters!$B$4,
 I240&gt;=Filters!$B$5,
 OR(Filters!$B$6="All",B240=Filters!$B$6),
 F240&gt;=Filters!$B$7,
 F240&lt;=Filters!$B$8,
 OR(Filters!$B$9="All",G240=Filters!$B$9)
)</f>
        <v>0</v>
      </c>
      <c r="AE240">
        <f t="shared" si="39"/>
        <v>6</v>
      </c>
      <c r="AF240">
        <f t="shared" si="40"/>
        <v>7</v>
      </c>
      <c r="AG240">
        <f t="shared" si="41"/>
        <v>7</v>
      </c>
      <c r="AH240" s="9" t="str">
        <f t="shared" si="42"/>
        <v/>
      </c>
      <c r="AI240" s="9" t="str">
        <f t="shared" si="43"/>
        <v/>
      </c>
      <c r="AJ240" s="9" t="str">
        <f t="shared" si="44"/>
        <v/>
      </c>
      <c r="AK240" s="9" t="str">
        <f t="shared" si="45"/>
        <v/>
      </c>
      <c r="AL240" s="9" t="str">
        <f t="shared" si="46"/>
        <v/>
      </c>
      <c r="AM240" s="9" t="str">
        <f t="shared" si="47"/>
        <v/>
      </c>
      <c r="AN240" s="9" t="str">
        <f t="shared" si="48"/>
        <v/>
      </c>
      <c r="AO240" s="9" t="str">
        <f t="shared" si="49"/>
        <v/>
      </c>
      <c r="AP240" s="9" t="str">
        <f t="shared" si="50"/>
        <v/>
      </c>
      <c r="AQ240" s="10" t="str">
        <f t="shared" si="51"/>
        <v/>
      </c>
    </row>
    <row r="241" spans="1:43">
      <c r="A241">
        <v>240</v>
      </c>
      <c r="B241" t="s">
        <v>17</v>
      </c>
      <c r="C241" t="s">
        <v>511</v>
      </c>
      <c r="D241" t="s">
        <v>512</v>
      </c>
      <c r="E241" t="s">
        <v>158</v>
      </c>
      <c r="G241" t="s">
        <v>18</v>
      </c>
      <c r="H241" s="4">
        <v>22842000</v>
      </c>
      <c r="I241" s="5">
        <v>256</v>
      </c>
      <c r="J241" s="5">
        <v>0</v>
      </c>
      <c r="K241" s="5">
        <v>8</v>
      </c>
      <c r="L241">
        <v>7</v>
      </c>
      <c r="M241">
        <v>9.1999999999999993</v>
      </c>
      <c r="N241">
        <v>6.32</v>
      </c>
      <c r="O241" s="6">
        <v>15.6</v>
      </c>
      <c r="P241" s="7">
        <v>2.5</v>
      </c>
      <c r="U241" t="s">
        <v>84</v>
      </c>
      <c r="V241" t="s">
        <v>159</v>
      </c>
      <c r="W241">
        <v>2.5</v>
      </c>
      <c r="X241" t="s">
        <v>122</v>
      </c>
      <c r="Y241" t="s">
        <v>160</v>
      </c>
      <c r="Z241" t="s">
        <v>100</v>
      </c>
      <c r="AA241" t="s">
        <v>128</v>
      </c>
      <c r="AB241" t="s">
        <v>115</v>
      </c>
      <c r="AC241">
        <v>846</v>
      </c>
      <c r="AD241" s="8" t="b">
        <f>AND(
 H241&gt;=Filters!$B$3,
 H241&lt;=Filters!$B$4,
 I241&gt;=Filters!$B$5,
 OR(Filters!$B$6="All",B241=Filters!$B$6),
 F241&gt;=Filters!$B$7,
 F241&lt;=Filters!$B$8,
 OR(Filters!$B$9="All",G241=Filters!$B$9)
)</f>
        <v>1</v>
      </c>
      <c r="AE241">
        <f t="shared" si="39"/>
        <v>6</v>
      </c>
      <c r="AF241">
        <f t="shared" si="40"/>
        <v>7</v>
      </c>
      <c r="AG241">
        <f t="shared" si="41"/>
        <v>7</v>
      </c>
      <c r="AH241" s="9">
        <f t="shared" si="42"/>
        <v>0.69047619047619047</v>
      </c>
      <c r="AI241" s="9">
        <f t="shared" si="43"/>
        <v>0.80952380952380942</v>
      </c>
      <c r="AJ241" s="9">
        <f t="shared" si="44"/>
        <v>0.95238095238095222</v>
      </c>
      <c r="AK241" s="9">
        <f t="shared" si="45"/>
        <v>0.60952380952380947</v>
      </c>
      <c r="AL241" s="9">
        <f t="shared" si="46"/>
        <v>0.84523809523809512</v>
      </c>
      <c r="AM241" s="9">
        <f t="shared" si="47"/>
        <v>0.5714285714285714</v>
      </c>
      <c r="AN241" s="9">
        <f t="shared" si="48"/>
        <v>0.69047619047619047</v>
      </c>
      <c r="AO241" s="9">
        <f t="shared" si="49"/>
        <v>0.69047619047619047</v>
      </c>
      <c r="AP241" s="9">
        <f t="shared" si="50"/>
        <v>0.71384816338060264</v>
      </c>
      <c r="AQ241" s="10">
        <f t="shared" si="51"/>
        <v>0.7138484043806026</v>
      </c>
    </row>
    <row r="242" spans="1:43">
      <c r="A242">
        <v>241</v>
      </c>
      <c r="B242" t="s">
        <v>29</v>
      </c>
      <c r="C242" t="s">
        <v>221</v>
      </c>
      <c r="D242" t="s">
        <v>222</v>
      </c>
      <c r="E242" t="s">
        <v>97</v>
      </c>
      <c r="G242" t="s">
        <v>18</v>
      </c>
      <c r="H242" s="4">
        <v>15903000</v>
      </c>
      <c r="I242" s="5">
        <v>128</v>
      </c>
      <c r="J242" s="5">
        <v>0</v>
      </c>
      <c r="K242" s="5">
        <v>8</v>
      </c>
      <c r="L242">
        <v>4</v>
      </c>
      <c r="M242">
        <v>3.5</v>
      </c>
      <c r="N242">
        <v>3.92</v>
      </c>
      <c r="O242" s="6">
        <v>15.6</v>
      </c>
      <c r="P242" s="7">
        <v>2.2000000000000002</v>
      </c>
      <c r="U242" t="s">
        <v>84</v>
      </c>
      <c r="V242" t="s">
        <v>129</v>
      </c>
      <c r="W242">
        <v>2</v>
      </c>
      <c r="X242" t="s">
        <v>84</v>
      </c>
      <c r="Y242" t="s">
        <v>130</v>
      </c>
      <c r="Z242" t="s">
        <v>87</v>
      </c>
      <c r="AA242" t="s">
        <v>114</v>
      </c>
      <c r="AB242" t="s">
        <v>115</v>
      </c>
      <c r="AC242">
        <v>589</v>
      </c>
      <c r="AD242" s="8" t="b">
        <f>AND(
 H242&gt;=Filters!$B$3,
 H242&lt;=Filters!$B$4,
 I242&gt;=Filters!$B$5,
 OR(Filters!$B$6="All",B242=Filters!$B$6),
 F242&gt;=Filters!$B$7,
 F242&lt;=Filters!$B$8,
 OR(Filters!$B$9="All",G242=Filters!$B$9)
)</f>
        <v>0</v>
      </c>
      <c r="AE242">
        <f t="shared" si="39"/>
        <v>6</v>
      </c>
      <c r="AF242">
        <f t="shared" si="40"/>
        <v>7</v>
      </c>
      <c r="AG242">
        <f t="shared" si="41"/>
        <v>7</v>
      </c>
      <c r="AH242" s="9" t="str">
        <f t="shared" si="42"/>
        <v/>
      </c>
      <c r="AI242" s="9" t="str">
        <f t="shared" si="43"/>
        <v/>
      </c>
      <c r="AJ242" s="9" t="str">
        <f t="shared" si="44"/>
        <v/>
      </c>
      <c r="AK242" s="9" t="str">
        <f t="shared" si="45"/>
        <v/>
      </c>
      <c r="AL242" s="9" t="str">
        <f t="shared" si="46"/>
        <v/>
      </c>
      <c r="AM242" s="9" t="str">
        <f t="shared" si="47"/>
        <v/>
      </c>
      <c r="AN242" s="9" t="str">
        <f t="shared" si="48"/>
        <v/>
      </c>
      <c r="AO242" s="9" t="str">
        <f t="shared" si="49"/>
        <v/>
      </c>
      <c r="AP242" s="9" t="str">
        <f t="shared" si="50"/>
        <v/>
      </c>
      <c r="AQ242" s="10" t="str">
        <f t="shared" si="51"/>
        <v/>
      </c>
    </row>
    <row r="243" spans="1:43">
      <c r="A243">
        <v>242</v>
      </c>
      <c r="B243" t="s">
        <v>21</v>
      </c>
      <c r="C243" t="s">
        <v>513</v>
      </c>
      <c r="D243" t="s">
        <v>514</v>
      </c>
      <c r="E243" t="s">
        <v>97</v>
      </c>
      <c r="G243" t="s">
        <v>18</v>
      </c>
      <c r="H243" s="4">
        <v>30915000</v>
      </c>
      <c r="I243" s="5">
        <v>128</v>
      </c>
      <c r="J243" s="5">
        <v>1024</v>
      </c>
      <c r="K243" s="5">
        <v>8</v>
      </c>
      <c r="L243">
        <v>7.6</v>
      </c>
      <c r="M243">
        <v>6.5</v>
      </c>
      <c r="N243">
        <v>5.83</v>
      </c>
      <c r="O243" s="6">
        <v>17.3</v>
      </c>
      <c r="P243" s="7">
        <v>2.1</v>
      </c>
      <c r="U243" t="s">
        <v>84</v>
      </c>
      <c r="V243" t="s">
        <v>121</v>
      </c>
      <c r="W243">
        <v>1.8</v>
      </c>
      <c r="X243" t="s">
        <v>122</v>
      </c>
      <c r="Y243" t="s">
        <v>219</v>
      </c>
      <c r="Z243" t="s">
        <v>161</v>
      </c>
      <c r="AA243" t="s">
        <v>101</v>
      </c>
      <c r="AB243" t="s">
        <v>115</v>
      </c>
      <c r="AC243">
        <v>1145</v>
      </c>
      <c r="AD243" s="8" t="b">
        <f>AND(
 H243&gt;=Filters!$B$3,
 H243&lt;=Filters!$B$4,
 I243&gt;=Filters!$B$5,
 OR(Filters!$B$6="All",B243=Filters!$B$6),
 F243&gt;=Filters!$B$7,
 F243&lt;=Filters!$B$8,
 OR(Filters!$B$9="All",G243=Filters!$B$9)
)</f>
        <v>0</v>
      </c>
      <c r="AE243">
        <f t="shared" si="39"/>
        <v>6</v>
      </c>
      <c r="AF243">
        <f t="shared" si="40"/>
        <v>7</v>
      </c>
      <c r="AG243">
        <f t="shared" si="41"/>
        <v>7</v>
      </c>
      <c r="AH243" s="9" t="str">
        <f t="shared" si="42"/>
        <v/>
      </c>
      <c r="AI243" s="9" t="str">
        <f t="shared" si="43"/>
        <v/>
      </c>
      <c r="AJ243" s="9" t="str">
        <f t="shared" si="44"/>
        <v/>
      </c>
      <c r="AK243" s="9" t="str">
        <f t="shared" si="45"/>
        <v/>
      </c>
      <c r="AL243" s="9" t="str">
        <f t="shared" si="46"/>
        <v/>
      </c>
      <c r="AM243" s="9" t="str">
        <f t="shared" si="47"/>
        <v/>
      </c>
      <c r="AN243" s="9" t="str">
        <f t="shared" si="48"/>
        <v/>
      </c>
      <c r="AO243" s="9" t="str">
        <f t="shared" si="49"/>
        <v/>
      </c>
      <c r="AP243" s="9" t="str">
        <f t="shared" si="50"/>
        <v/>
      </c>
      <c r="AQ243" s="10" t="str">
        <f t="shared" si="51"/>
        <v/>
      </c>
    </row>
    <row r="244" spans="1:43">
      <c r="A244">
        <v>243</v>
      </c>
      <c r="B244" t="s">
        <v>21</v>
      </c>
      <c r="C244" t="s">
        <v>515</v>
      </c>
      <c r="D244" t="s">
        <v>516</v>
      </c>
      <c r="E244" t="s">
        <v>97</v>
      </c>
      <c r="G244" t="s">
        <v>18</v>
      </c>
      <c r="H244" s="4">
        <v>24003000</v>
      </c>
      <c r="I244" s="5">
        <v>128</v>
      </c>
      <c r="J244" s="5">
        <v>1024</v>
      </c>
      <c r="K244" s="5">
        <v>8</v>
      </c>
      <c r="L244">
        <v>9.4</v>
      </c>
      <c r="M244">
        <v>9.1999999999999993</v>
      </c>
      <c r="N244">
        <v>5.83</v>
      </c>
      <c r="O244" s="6">
        <v>17.3</v>
      </c>
      <c r="P244" s="7">
        <v>2.69</v>
      </c>
      <c r="U244" t="s">
        <v>84</v>
      </c>
      <c r="V244" t="s">
        <v>140</v>
      </c>
      <c r="W244">
        <v>2.7</v>
      </c>
      <c r="X244" t="s">
        <v>122</v>
      </c>
      <c r="Y244" t="s">
        <v>492</v>
      </c>
      <c r="Z244" t="s">
        <v>161</v>
      </c>
      <c r="AA244" t="s">
        <v>101</v>
      </c>
      <c r="AB244" t="s">
        <v>102</v>
      </c>
      <c r="AC244">
        <v>889</v>
      </c>
      <c r="AD244" s="8" t="b">
        <f>AND(
 H244&gt;=Filters!$B$3,
 H244&lt;=Filters!$B$4,
 I244&gt;=Filters!$B$5,
 OR(Filters!$B$6="All",B244=Filters!$B$6),
 F244&gt;=Filters!$B$7,
 F244&lt;=Filters!$B$8,
 OR(Filters!$B$9="All",G244=Filters!$B$9)
)</f>
        <v>0</v>
      </c>
      <c r="AE244">
        <f t="shared" si="39"/>
        <v>6</v>
      </c>
      <c r="AF244">
        <f t="shared" si="40"/>
        <v>7</v>
      </c>
      <c r="AG244">
        <f t="shared" si="41"/>
        <v>7</v>
      </c>
      <c r="AH244" s="9" t="str">
        <f t="shared" si="42"/>
        <v/>
      </c>
      <c r="AI244" s="9" t="str">
        <f t="shared" si="43"/>
        <v/>
      </c>
      <c r="AJ244" s="9" t="str">
        <f t="shared" si="44"/>
        <v/>
      </c>
      <c r="AK244" s="9" t="str">
        <f t="shared" si="45"/>
        <v/>
      </c>
      <c r="AL244" s="9" t="str">
        <f t="shared" si="46"/>
        <v/>
      </c>
      <c r="AM244" s="9" t="str">
        <f t="shared" si="47"/>
        <v/>
      </c>
      <c r="AN244" s="9" t="str">
        <f t="shared" si="48"/>
        <v/>
      </c>
      <c r="AO244" s="9" t="str">
        <f t="shared" si="49"/>
        <v/>
      </c>
      <c r="AP244" s="9" t="str">
        <f t="shared" si="50"/>
        <v/>
      </c>
      <c r="AQ244" s="10" t="str">
        <f t="shared" si="51"/>
        <v/>
      </c>
    </row>
    <row r="245" spans="1:43">
      <c r="A245">
        <v>244</v>
      </c>
      <c r="B245" t="s">
        <v>23</v>
      </c>
      <c r="C245" t="s">
        <v>389</v>
      </c>
      <c r="D245" t="s">
        <v>390</v>
      </c>
      <c r="E245" t="s">
        <v>158</v>
      </c>
      <c r="G245" t="s">
        <v>18</v>
      </c>
      <c r="H245" s="4">
        <v>23733000</v>
      </c>
      <c r="I245" s="5">
        <v>256</v>
      </c>
      <c r="J245" s="5">
        <v>0</v>
      </c>
      <c r="K245" s="5">
        <v>8</v>
      </c>
      <c r="L245">
        <v>7</v>
      </c>
      <c r="M245">
        <v>9.1999999999999993</v>
      </c>
      <c r="N245">
        <v>5.92</v>
      </c>
      <c r="O245" s="6">
        <v>15.6</v>
      </c>
      <c r="P245" s="7">
        <v>2.56</v>
      </c>
      <c r="U245" t="s">
        <v>84</v>
      </c>
      <c r="V245" t="s">
        <v>159</v>
      </c>
      <c r="W245">
        <v>2.5</v>
      </c>
      <c r="X245" t="s">
        <v>122</v>
      </c>
      <c r="Y245" t="s">
        <v>160</v>
      </c>
      <c r="Z245" t="s">
        <v>100</v>
      </c>
      <c r="AA245" t="s">
        <v>101</v>
      </c>
      <c r="AB245" t="s">
        <v>115</v>
      </c>
      <c r="AC245">
        <v>879</v>
      </c>
      <c r="AD245" s="8" t="b">
        <f>AND(
 H245&gt;=Filters!$B$3,
 H245&lt;=Filters!$B$4,
 I245&gt;=Filters!$B$5,
 OR(Filters!$B$6="All",B245=Filters!$B$6),
 F245&gt;=Filters!$B$7,
 F245&lt;=Filters!$B$8,
 OR(Filters!$B$9="All",G245=Filters!$B$9)
)</f>
        <v>1</v>
      </c>
      <c r="AE245">
        <f t="shared" si="39"/>
        <v>6</v>
      </c>
      <c r="AF245">
        <f t="shared" si="40"/>
        <v>7</v>
      </c>
      <c r="AG245">
        <f t="shared" si="41"/>
        <v>7</v>
      </c>
      <c r="AH245" s="9">
        <f t="shared" si="42"/>
        <v>0.69047619047619047</v>
      </c>
      <c r="AI245" s="9">
        <f t="shared" si="43"/>
        <v>0.80952380952380942</v>
      </c>
      <c r="AJ245" s="9">
        <f t="shared" si="44"/>
        <v>0.95238095238095222</v>
      </c>
      <c r="AK245" s="9">
        <f t="shared" si="45"/>
        <v>0.56190476190476191</v>
      </c>
      <c r="AL245" s="9">
        <f t="shared" si="46"/>
        <v>0.838095238095238</v>
      </c>
      <c r="AM245" s="9">
        <f t="shared" si="47"/>
        <v>0.5714285714285714</v>
      </c>
      <c r="AN245" s="9">
        <f t="shared" si="48"/>
        <v>0.69047619047619047</v>
      </c>
      <c r="AO245" s="9">
        <f t="shared" si="49"/>
        <v>0.69047619047619047</v>
      </c>
      <c r="AP245" s="9">
        <f t="shared" si="50"/>
        <v>0.70956854365693656</v>
      </c>
      <c r="AQ245" s="10">
        <f t="shared" si="51"/>
        <v>0.70956878865693651</v>
      </c>
    </row>
    <row r="246" spans="1:43">
      <c r="A246">
        <v>245</v>
      </c>
      <c r="B246" t="s">
        <v>29</v>
      </c>
      <c r="C246" t="s">
        <v>517</v>
      </c>
      <c r="D246" t="s">
        <v>518</v>
      </c>
      <c r="E246" t="s">
        <v>168</v>
      </c>
      <c r="G246" t="s">
        <v>18</v>
      </c>
      <c r="H246" s="4">
        <v>29133000</v>
      </c>
      <c r="I246" s="5">
        <v>256</v>
      </c>
      <c r="J246" s="5">
        <v>0</v>
      </c>
      <c r="K246" s="5">
        <v>8</v>
      </c>
      <c r="L246">
        <v>9.4</v>
      </c>
      <c r="M246">
        <v>3.5</v>
      </c>
      <c r="N246">
        <v>6.7</v>
      </c>
      <c r="O246" s="6">
        <v>13.9</v>
      </c>
      <c r="P246" s="7">
        <v>1.38</v>
      </c>
      <c r="U246" t="s">
        <v>84</v>
      </c>
      <c r="V246" t="s">
        <v>140</v>
      </c>
      <c r="W246">
        <v>2.7</v>
      </c>
      <c r="X246" t="s">
        <v>84</v>
      </c>
      <c r="Y246" t="s">
        <v>99</v>
      </c>
      <c r="Z246" t="s">
        <v>100</v>
      </c>
      <c r="AA246" t="s">
        <v>149</v>
      </c>
      <c r="AB246" t="s">
        <v>115</v>
      </c>
      <c r="AC246">
        <v>1079</v>
      </c>
      <c r="AD246" s="8" t="b">
        <f>AND(
 H246&gt;=Filters!$B$3,
 H246&lt;=Filters!$B$4,
 I246&gt;=Filters!$B$5,
 OR(Filters!$B$6="All",B246=Filters!$B$6),
 F246&gt;=Filters!$B$7,
 F246&lt;=Filters!$B$8,
 OR(Filters!$B$9="All",G246=Filters!$B$9)
)</f>
        <v>0</v>
      </c>
      <c r="AE246">
        <f t="shared" si="39"/>
        <v>6</v>
      </c>
      <c r="AF246">
        <f t="shared" si="40"/>
        <v>7</v>
      </c>
      <c r="AG246">
        <f t="shared" si="41"/>
        <v>7</v>
      </c>
      <c r="AH246" s="9" t="str">
        <f t="shared" si="42"/>
        <v/>
      </c>
      <c r="AI246" s="9" t="str">
        <f t="shared" si="43"/>
        <v/>
      </c>
      <c r="AJ246" s="9" t="str">
        <f t="shared" si="44"/>
        <v/>
      </c>
      <c r="AK246" s="9" t="str">
        <f t="shared" si="45"/>
        <v/>
      </c>
      <c r="AL246" s="9" t="str">
        <f t="shared" si="46"/>
        <v/>
      </c>
      <c r="AM246" s="9" t="str">
        <f t="shared" si="47"/>
        <v/>
      </c>
      <c r="AN246" s="9" t="str">
        <f t="shared" si="48"/>
        <v/>
      </c>
      <c r="AO246" s="9" t="str">
        <f t="shared" si="49"/>
        <v/>
      </c>
      <c r="AP246" s="9" t="str">
        <f t="shared" si="50"/>
        <v/>
      </c>
      <c r="AQ246" s="10" t="str">
        <f t="shared" si="51"/>
        <v/>
      </c>
    </row>
    <row r="247" spans="1:43">
      <c r="A247">
        <v>246</v>
      </c>
      <c r="B247" t="s">
        <v>23</v>
      </c>
      <c r="C247" t="s">
        <v>174</v>
      </c>
      <c r="D247" t="s">
        <v>175</v>
      </c>
      <c r="E247" t="s">
        <v>97</v>
      </c>
      <c r="G247" t="s">
        <v>18</v>
      </c>
      <c r="H247" s="4">
        <v>26595000</v>
      </c>
      <c r="I247" s="5">
        <v>128</v>
      </c>
      <c r="J247" s="5">
        <v>2048</v>
      </c>
      <c r="K247" s="5">
        <v>8</v>
      </c>
      <c r="L247">
        <v>7.6</v>
      </c>
      <c r="M247">
        <v>6.5</v>
      </c>
      <c r="N247">
        <v>5.92</v>
      </c>
      <c r="O247" s="6">
        <v>15.6</v>
      </c>
      <c r="P247" s="7">
        <v>2.2000000000000002</v>
      </c>
      <c r="U247" t="s">
        <v>84</v>
      </c>
      <c r="V247" t="s">
        <v>121</v>
      </c>
      <c r="W247">
        <v>1.8</v>
      </c>
      <c r="X247" t="s">
        <v>104</v>
      </c>
      <c r="Y247" t="s">
        <v>176</v>
      </c>
      <c r="Z247" t="s">
        <v>519</v>
      </c>
      <c r="AA247" t="s">
        <v>101</v>
      </c>
      <c r="AB247" t="s">
        <v>115</v>
      </c>
      <c r="AC247">
        <v>985</v>
      </c>
      <c r="AD247" s="8" t="b">
        <f>AND(
 H247&gt;=Filters!$B$3,
 H247&lt;=Filters!$B$4,
 I247&gt;=Filters!$B$5,
 OR(Filters!$B$6="All",B247=Filters!$B$6),
 F247&gt;=Filters!$B$7,
 F247&lt;=Filters!$B$8,
 OR(Filters!$B$9="All",G247=Filters!$B$9)
)</f>
        <v>0</v>
      </c>
      <c r="AE247">
        <f t="shared" si="39"/>
        <v>6</v>
      </c>
      <c r="AF247">
        <f t="shared" si="40"/>
        <v>7</v>
      </c>
      <c r="AG247">
        <f t="shared" si="41"/>
        <v>7</v>
      </c>
      <c r="AH247" s="9" t="str">
        <f t="shared" si="42"/>
        <v/>
      </c>
      <c r="AI247" s="9" t="str">
        <f t="shared" si="43"/>
        <v/>
      </c>
      <c r="AJ247" s="9" t="str">
        <f t="shared" si="44"/>
        <v/>
      </c>
      <c r="AK247" s="9" t="str">
        <f t="shared" si="45"/>
        <v/>
      </c>
      <c r="AL247" s="9" t="str">
        <f t="shared" si="46"/>
        <v/>
      </c>
      <c r="AM247" s="9" t="str">
        <f t="shared" si="47"/>
        <v/>
      </c>
      <c r="AN247" s="9" t="str">
        <f t="shared" si="48"/>
        <v/>
      </c>
      <c r="AO247" s="9" t="str">
        <f t="shared" si="49"/>
        <v/>
      </c>
      <c r="AP247" s="9" t="str">
        <f t="shared" si="50"/>
        <v/>
      </c>
      <c r="AQ247" s="10" t="str">
        <f t="shared" si="51"/>
        <v/>
      </c>
    </row>
    <row r="248" spans="1:43">
      <c r="A248">
        <v>247</v>
      </c>
      <c r="B248" t="s">
        <v>26</v>
      </c>
      <c r="C248" t="s">
        <v>520</v>
      </c>
      <c r="D248" t="s">
        <v>521</v>
      </c>
      <c r="E248" t="s">
        <v>97</v>
      </c>
      <c r="G248" t="s">
        <v>18</v>
      </c>
      <c r="H248" s="4">
        <v>15093000</v>
      </c>
      <c r="I248" s="5">
        <v>0</v>
      </c>
      <c r="J248" s="5">
        <v>1024</v>
      </c>
      <c r="K248" s="5">
        <v>8</v>
      </c>
      <c r="L248">
        <v>7</v>
      </c>
      <c r="M248">
        <v>3.5</v>
      </c>
      <c r="N248">
        <v>4.22</v>
      </c>
      <c r="O248" s="6">
        <v>15.6</v>
      </c>
      <c r="P248" s="7">
        <v>2.04</v>
      </c>
      <c r="U248" t="s">
        <v>84</v>
      </c>
      <c r="V248" t="s">
        <v>98</v>
      </c>
      <c r="W248">
        <v>2.5</v>
      </c>
      <c r="X248" t="s">
        <v>84</v>
      </c>
      <c r="Y248" t="s">
        <v>99</v>
      </c>
      <c r="Z248" t="s">
        <v>146</v>
      </c>
      <c r="AA248" t="s">
        <v>472</v>
      </c>
      <c r="AB248" t="s">
        <v>115</v>
      </c>
      <c r="AC248">
        <v>559</v>
      </c>
      <c r="AD248" s="8" t="b">
        <f>AND(
 H248&gt;=Filters!$B$3,
 H248&lt;=Filters!$B$4,
 I248&gt;=Filters!$B$5,
 OR(Filters!$B$6="All",B248=Filters!$B$6),
 F248&gt;=Filters!$B$7,
 F248&lt;=Filters!$B$8,
 OR(Filters!$B$9="All",G248=Filters!$B$9)
)</f>
        <v>0</v>
      </c>
      <c r="AE248">
        <f t="shared" si="39"/>
        <v>6</v>
      </c>
      <c r="AF248">
        <f t="shared" si="40"/>
        <v>7</v>
      </c>
      <c r="AG248">
        <f t="shared" si="41"/>
        <v>7</v>
      </c>
      <c r="AH248" s="9" t="str">
        <f t="shared" si="42"/>
        <v/>
      </c>
      <c r="AI248" s="9" t="str">
        <f t="shared" si="43"/>
        <v/>
      </c>
      <c r="AJ248" s="9" t="str">
        <f t="shared" si="44"/>
        <v/>
      </c>
      <c r="AK248" s="9" t="str">
        <f t="shared" si="45"/>
        <v/>
      </c>
      <c r="AL248" s="9" t="str">
        <f t="shared" si="46"/>
        <v/>
      </c>
      <c r="AM248" s="9" t="str">
        <f t="shared" si="47"/>
        <v/>
      </c>
      <c r="AN248" s="9" t="str">
        <f t="shared" si="48"/>
        <v/>
      </c>
      <c r="AO248" s="9" t="str">
        <f t="shared" si="49"/>
        <v/>
      </c>
      <c r="AP248" s="9" t="str">
        <f t="shared" si="50"/>
        <v/>
      </c>
      <c r="AQ248" s="10" t="str">
        <f t="shared" si="51"/>
        <v/>
      </c>
    </row>
    <row r="249" spans="1:43">
      <c r="A249">
        <v>248</v>
      </c>
      <c r="B249" t="s">
        <v>21</v>
      </c>
      <c r="C249" t="s">
        <v>522</v>
      </c>
      <c r="D249" t="s">
        <v>523</v>
      </c>
      <c r="E249" t="s">
        <v>158</v>
      </c>
      <c r="G249" t="s">
        <v>18</v>
      </c>
      <c r="H249" s="4">
        <v>80973000</v>
      </c>
      <c r="I249" s="5">
        <v>256</v>
      </c>
      <c r="J249" s="5">
        <v>0</v>
      </c>
      <c r="K249" s="5">
        <v>16</v>
      </c>
      <c r="L249">
        <v>9.8000000000000007</v>
      </c>
      <c r="M249">
        <v>9.1999999999999993</v>
      </c>
      <c r="N249">
        <v>5.83</v>
      </c>
      <c r="O249" s="6">
        <v>17.3</v>
      </c>
      <c r="P249" s="7">
        <v>3.6</v>
      </c>
      <c r="U249" t="s">
        <v>84</v>
      </c>
      <c r="V249" t="s">
        <v>455</v>
      </c>
      <c r="W249">
        <v>2.9</v>
      </c>
      <c r="X249" t="s">
        <v>122</v>
      </c>
      <c r="Y249" t="s">
        <v>456</v>
      </c>
      <c r="Z249" t="s">
        <v>100</v>
      </c>
      <c r="AA249" t="s">
        <v>101</v>
      </c>
      <c r="AB249" t="s">
        <v>115</v>
      </c>
      <c r="AC249">
        <v>2999</v>
      </c>
      <c r="AD249" s="8" t="b">
        <f>AND(
 H249&gt;=Filters!$B$3,
 H249&lt;=Filters!$B$4,
 I249&gt;=Filters!$B$5,
 OR(Filters!$B$6="All",B249=Filters!$B$6),
 F249&gt;=Filters!$B$7,
 F249&lt;=Filters!$B$8,
 OR(Filters!$B$9="All",G249=Filters!$B$9)
)</f>
        <v>0</v>
      </c>
      <c r="AE249">
        <f t="shared" si="39"/>
        <v>6</v>
      </c>
      <c r="AF249">
        <f t="shared" si="40"/>
        <v>7</v>
      </c>
      <c r="AG249">
        <f t="shared" si="41"/>
        <v>7</v>
      </c>
      <c r="AH249" s="9" t="str">
        <f t="shared" si="42"/>
        <v/>
      </c>
      <c r="AI249" s="9" t="str">
        <f t="shared" si="43"/>
        <v/>
      </c>
      <c r="AJ249" s="9" t="str">
        <f t="shared" si="44"/>
        <v/>
      </c>
      <c r="AK249" s="9" t="str">
        <f t="shared" si="45"/>
        <v/>
      </c>
      <c r="AL249" s="9" t="str">
        <f t="shared" si="46"/>
        <v/>
      </c>
      <c r="AM249" s="9" t="str">
        <f t="shared" si="47"/>
        <v/>
      </c>
      <c r="AN249" s="9" t="str">
        <f t="shared" si="48"/>
        <v/>
      </c>
      <c r="AO249" s="9" t="str">
        <f t="shared" si="49"/>
        <v/>
      </c>
      <c r="AP249" s="9" t="str">
        <f t="shared" si="50"/>
        <v/>
      </c>
      <c r="AQ249" s="10" t="str">
        <f t="shared" si="51"/>
        <v/>
      </c>
    </row>
    <row r="250" spans="1:43">
      <c r="A250">
        <v>249</v>
      </c>
      <c r="B250" t="s">
        <v>26</v>
      </c>
      <c r="C250" t="s">
        <v>237</v>
      </c>
      <c r="D250" t="s">
        <v>238</v>
      </c>
      <c r="E250" t="s">
        <v>97</v>
      </c>
      <c r="G250" t="s">
        <v>18</v>
      </c>
      <c r="H250" s="4">
        <v>18225000</v>
      </c>
      <c r="I250" s="5">
        <v>0</v>
      </c>
      <c r="J250" s="5">
        <v>500</v>
      </c>
      <c r="K250" s="5">
        <v>4</v>
      </c>
      <c r="L250">
        <v>5.2</v>
      </c>
      <c r="M250">
        <v>3.8</v>
      </c>
      <c r="N250">
        <v>6.37</v>
      </c>
      <c r="O250" s="6">
        <v>13.3</v>
      </c>
      <c r="P250" s="7">
        <v>1.49</v>
      </c>
      <c r="U250" t="s">
        <v>84</v>
      </c>
      <c r="V250" t="s">
        <v>126</v>
      </c>
      <c r="W250">
        <v>1.6</v>
      </c>
      <c r="X250" t="s">
        <v>84</v>
      </c>
      <c r="Y250" t="s">
        <v>127</v>
      </c>
      <c r="Z250" t="s">
        <v>113</v>
      </c>
      <c r="AA250" t="s">
        <v>128</v>
      </c>
      <c r="AB250" t="s">
        <v>115</v>
      </c>
      <c r="AC250">
        <v>675</v>
      </c>
      <c r="AD250" s="8" t="b">
        <f>AND(
 H250&gt;=Filters!$B$3,
 H250&lt;=Filters!$B$4,
 I250&gt;=Filters!$B$5,
 OR(Filters!$B$6="All",B250=Filters!$B$6),
 F250&gt;=Filters!$B$7,
 F250&lt;=Filters!$B$8,
 OR(Filters!$B$9="All",G250=Filters!$B$9)
)</f>
        <v>0</v>
      </c>
      <c r="AE250">
        <f t="shared" si="39"/>
        <v>6</v>
      </c>
      <c r="AF250">
        <f t="shared" si="40"/>
        <v>7</v>
      </c>
      <c r="AG250">
        <f t="shared" si="41"/>
        <v>7</v>
      </c>
      <c r="AH250" s="9" t="str">
        <f t="shared" si="42"/>
        <v/>
      </c>
      <c r="AI250" s="9" t="str">
        <f t="shared" si="43"/>
        <v/>
      </c>
      <c r="AJ250" s="9" t="str">
        <f t="shared" si="44"/>
        <v/>
      </c>
      <c r="AK250" s="9" t="str">
        <f t="shared" si="45"/>
        <v/>
      </c>
      <c r="AL250" s="9" t="str">
        <f t="shared" si="46"/>
        <v/>
      </c>
      <c r="AM250" s="9" t="str">
        <f t="shared" si="47"/>
        <v/>
      </c>
      <c r="AN250" s="9" t="str">
        <f t="shared" si="48"/>
        <v/>
      </c>
      <c r="AO250" s="9" t="str">
        <f t="shared" si="49"/>
        <v/>
      </c>
      <c r="AP250" s="9" t="str">
        <f t="shared" si="50"/>
        <v/>
      </c>
      <c r="AQ250" s="10" t="str">
        <f t="shared" si="51"/>
        <v/>
      </c>
    </row>
    <row r="251" spans="1:43">
      <c r="A251">
        <v>250</v>
      </c>
      <c r="B251" t="s">
        <v>19</v>
      </c>
      <c r="C251" t="s">
        <v>81</v>
      </c>
      <c r="D251" t="s">
        <v>82</v>
      </c>
      <c r="E251" t="s">
        <v>83</v>
      </c>
      <c r="G251" t="s">
        <v>18</v>
      </c>
      <c r="H251" s="4">
        <v>55080000</v>
      </c>
      <c r="I251" s="5">
        <v>512</v>
      </c>
      <c r="J251" s="5">
        <v>0</v>
      </c>
      <c r="K251" s="5">
        <v>8</v>
      </c>
      <c r="L251">
        <v>8.1999999999999993</v>
      </c>
      <c r="M251">
        <v>4.2</v>
      </c>
      <c r="N251">
        <v>8.76</v>
      </c>
      <c r="O251" s="6">
        <v>13.3</v>
      </c>
      <c r="P251" s="7">
        <v>1.37</v>
      </c>
      <c r="U251" t="s">
        <v>84</v>
      </c>
      <c r="V251" t="s">
        <v>85</v>
      </c>
      <c r="W251">
        <v>3.1</v>
      </c>
      <c r="X251" t="s">
        <v>84</v>
      </c>
      <c r="Y251" t="s">
        <v>108</v>
      </c>
      <c r="Z251" t="s">
        <v>106</v>
      </c>
      <c r="AA251" t="s">
        <v>88</v>
      </c>
      <c r="AB251" t="s">
        <v>89</v>
      </c>
      <c r="AC251">
        <v>2040</v>
      </c>
      <c r="AD251" s="8" t="b">
        <f>AND(
 H251&gt;=Filters!$B$3,
 H251&lt;=Filters!$B$4,
 I251&gt;=Filters!$B$5,
 OR(Filters!$B$6="All",B251=Filters!$B$6),
 F251&gt;=Filters!$B$7,
 F251&lt;=Filters!$B$8,
 OR(Filters!$B$9="All",G251=Filters!$B$9)
)</f>
        <v>0</v>
      </c>
      <c r="AE251">
        <f t="shared" si="39"/>
        <v>6</v>
      </c>
      <c r="AF251">
        <f t="shared" si="40"/>
        <v>7</v>
      </c>
      <c r="AG251">
        <f t="shared" si="41"/>
        <v>7</v>
      </c>
      <c r="AH251" s="9" t="str">
        <f t="shared" si="42"/>
        <v/>
      </c>
      <c r="AI251" s="9" t="str">
        <f t="shared" si="43"/>
        <v/>
      </c>
      <c r="AJ251" s="9" t="str">
        <f t="shared" si="44"/>
        <v/>
      </c>
      <c r="AK251" s="9" t="str">
        <f t="shared" si="45"/>
        <v/>
      </c>
      <c r="AL251" s="9" t="str">
        <f t="shared" si="46"/>
        <v/>
      </c>
      <c r="AM251" s="9" t="str">
        <f t="shared" si="47"/>
        <v/>
      </c>
      <c r="AN251" s="9" t="str">
        <f t="shared" si="48"/>
        <v/>
      </c>
      <c r="AO251" s="9" t="str">
        <f t="shared" si="49"/>
        <v/>
      </c>
      <c r="AP251" s="9" t="str">
        <f t="shared" si="50"/>
        <v/>
      </c>
      <c r="AQ251" s="10" t="str">
        <f t="shared" si="51"/>
        <v/>
      </c>
    </row>
    <row r="252" spans="1:43">
      <c r="A252">
        <v>251</v>
      </c>
      <c r="B252" t="s">
        <v>23</v>
      </c>
      <c r="C252" t="s">
        <v>407</v>
      </c>
      <c r="D252" t="s">
        <v>408</v>
      </c>
      <c r="E252" t="s">
        <v>168</v>
      </c>
      <c r="G252" t="s">
        <v>18</v>
      </c>
      <c r="H252" s="4">
        <v>22113000</v>
      </c>
      <c r="I252" s="5">
        <v>0</v>
      </c>
      <c r="J252" s="5">
        <v>1024</v>
      </c>
      <c r="K252" s="5">
        <v>8</v>
      </c>
      <c r="L252">
        <v>7.6</v>
      </c>
      <c r="M252">
        <v>3.8</v>
      </c>
      <c r="N252">
        <v>6.62</v>
      </c>
      <c r="O252" s="6">
        <v>15.6</v>
      </c>
      <c r="P252" s="7">
        <v>2.08</v>
      </c>
      <c r="U252" t="s">
        <v>84</v>
      </c>
      <c r="V252" t="s">
        <v>121</v>
      </c>
      <c r="W252">
        <v>1.8</v>
      </c>
      <c r="X252" t="s">
        <v>84</v>
      </c>
      <c r="Y252" t="s">
        <v>127</v>
      </c>
      <c r="Z252" t="s">
        <v>146</v>
      </c>
      <c r="AA252" t="s">
        <v>149</v>
      </c>
      <c r="AB252" t="s">
        <v>115</v>
      </c>
      <c r="AC252">
        <v>819</v>
      </c>
      <c r="AD252" s="8" t="b">
        <f>AND(
 H252&gt;=Filters!$B$3,
 H252&lt;=Filters!$B$4,
 I252&gt;=Filters!$B$5,
 OR(Filters!$B$6="All",B252=Filters!$B$6),
 F252&gt;=Filters!$B$7,
 F252&lt;=Filters!$B$8,
 OR(Filters!$B$9="All",G252=Filters!$B$9)
)</f>
        <v>0</v>
      </c>
      <c r="AE252">
        <f t="shared" si="39"/>
        <v>6</v>
      </c>
      <c r="AF252">
        <f t="shared" si="40"/>
        <v>7</v>
      </c>
      <c r="AG252">
        <f t="shared" si="41"/>
        <v>7</v>
      </c>
      <c r="AH252" s="9" t="str">
        <f t="shared" si="42"/>
        <v/>
      </c>
      <c r="AI252" s="9" t="str">
        <f t="shared" si="43"/>
        <v/>
      </c>
      <c r="AJ252" s="9" t="str">
        <f t="shared" si="44"/>
        <v/>
      </c>
      <c r="AK252" s="9" t="str">
        <f t="shared" si="45"/>
        <v/>
      </c>
      <c r="AL252" s="9" t="str">
        <f t="shared" si="46"/>
        <v/>
      </c>
      <c r="AM252" s="9" t="str">
        <f t="shared" si="47"/>
        <v/>
      </c>
      <c r="AN252" s="9" t="str">
        <f t="shared" si="48"/>
        <v/>
      </c>
      <c r="AO252" s="9" t="str">
        <f t="shared" si="49"/>
        <v/>
      </c>
      <c r="AP252" s="9" t="str">
        <f t="shared" si="50"/>
        <v/>
      </c>
      <c r="AQ252" s="10" t="str">
        <f t="shared" si="51"/>
        <v/>
      </c>
    </row>
    <row r="253" spans="1:43">
      <c r="A253">
        <v>252</v>
      </c>
      <c r="B253" t="s">
        <v>21</v>
      </c>
      <c r="C253" t="s">
        <v>524</v>
      </c>
      <c r="D253" t="s">
        <v>525</v>
      </c>
      <c r="E253" t="s">
        <v>158</v>
      </c>
      <c r="G253" t="s">
        <v>18</v>
      </c>
      <c r="H253" s="4">
        <v>48573000</v>
      </c>
      <c r="I253" s="5">
        <v>256</v>
      </c>
      <c r="J253" s="5">
        <v>1024</v>
      </c>
      <c r="K253" s="5">
        <v>16</v>
      </c>
      <c r="L253">
        <v>9.6</v>
      </c>
      <c r="M253">
        <v>9.1999999999999993</v>
      </c>
      <c r="N253">
        <v>5.83</v>
      </c>
      <c r="O253" s="6">
        <v>17.3</v>
      </c>
      <c r="P253" s="7">
        <v>4.3</v>
      </c>
      <c r="U253" t="s">
        <v>84</v>
      </c>
      <c r="V253" t="s">
        <v>210</v>
      </c>
      <c r="W253">
        <v>2.8</v>
      </c>
      <c r="X253" t="s">
        <v>122</v>
      </c>
      <c r="Y253" t="s">
        <v>526</v>
      </c>
      <c r="Z253" t="s">
        <v>212</v>
      </c>
      <c r="AA253" t="s">
        <v>101</v>
      </c>
      <c r="AB253" t="s">
        <v>115</v>
      </c>
      <c r="AC253">
        <v>1799</v>
      </c>
      <c r="AD253" s="8" t="b">
        <f>AND(
 H253&gt;=Filters!$B$3,
 H253&lt;=Filters!$B$4,
 I253&gt;=Filters!$B$5,
 OR(Filters!$B$6="All",B253=Filters!$B$6),
 F253&gt;=Filters!$B$7,
 F253&lt;=Filters!$B$8,
 OR(Filters!$B$9="All",G253=Filters!$B$9)
)</f>
        <v>0</v>
      </c>
      <c r="AE253">
        <f t="shared" si="39"/>
        <v>6</v>
      </c>
      <c r="AF253">
        <f t="shared" si="40"/>
        <v>7</v>
      </c>
      <c r="AG253">
        <f t="shared" si="41"/>
        <v>7</v>
      </c>
      <c r="AH253" s="9" t="str">
        <f t="shared" si="42"/>
        <v/>
      </c>
      <c r="AI253" s="9" t="str">
        <f t="shared" si="43"/>
        <v/>
      </c>
      <c r="AJ253" s="9" t="str">
        <f t="shared" si="44"/>
        <v/>
      </c>
      <c r="AK253" s="9" t="str">
        <f t="shared" si="45"/>
        <v/>
      </c>
      <c r="AL253" s="9" t="str">
        <f t="shared" si="46"/>
        <v/>
      </c>
      <c r="AM253" s="9" t="str">
        <f t="shared" si="47"/>
        <v/>
      </c>
      <c r="AN253" s="9" t="str">
        <f t="shared" si="48"/>
        <v/>
      </c>
      <c r="AO253" s="9" t="str">
        <f t="shared" si="49"/>
        <v/>
      </c>
      <c r="AP253" s="9" t="str">
        <f t="shared" si="50"/>
        <v/>
      </c>
      <c r="AQ253" s="10" t="str">
        <f t="shared" si="51"/>
        <v/>
      </c>
    </row>
    <row r="254" spans="1:43">
      <c r="A254">
        <v>253</v>
      </c>
      <c r="B254" t="s">
        <v>21</v>
      </c>
      <c r="C254" t="s">
        <v>527</v>
      </c>
      <c r="D254" t="s">
        <v>528</v>
      </c>
      <c r="E254" t="s">
        <v>97</v>
      </c>
      <c r="G254" t="s">
        <v>18</v>
      </c>
      <c r="H254" s="4">
        <v>12663000</v>
      </c>
      <c r="I254" s="5">
        <v>0</v>
      </c>
      <c r="J254" s="5">
        <v>1024</v>
      </c>
      <c r="K254" s="5">
        <v>4</v>
      </c>
      <c r="L254">
        <v>7</v>
      </c>
      <c r="M254">
        <v>6.5</v>
      </c>
      <c r="N254">
        <v>3.92</v>
      </c>
      <c r="O254" s="6">
        <v>15.6</v>
      </c>
      <c r="P254" s="7">
        <v>1.68</v>
      </c>
      <c r="U254" t="s">
        <v>104</v>
      </c>
      <c r="V254" t="s">
        <v>111</v>
      </c>
      <c r="W254">
        <v>3</v>
      </c>
      <c r="X254" t="s">
        <v>104</v>
      </c>
      <c r="Y254" t="s">
        <v>411</v>
      </c>
      <c r="Z254" t="s">
        <v>146</v>
      </c>
      <c r="AA254" t="s">
        <v>114</v>
      </c>
      <c r="AB254" t="s">
        <v>115</v>
      </c>
      <c r="AC254">
        <v>469</v>
      </c>
      <c r="AD254" s="8" t="b">
        <f>AND(
 H254&gt;=Filters!$B$3,
 H254&lt;=Filters!$B$4,
 I254&gt;=Filters!$B$5,
 OR(Filters!$B$6="All",B254=Filters!$B$6),
 F254&gt;=Filters!$B$7,
 F254&lt;=Filters!$B$8,
 OR(Filters!$B$9="All",G254=Filters!$B$9)
)</f>
        <v>0</v>
      </c>
      <c r="AE254">
        <f t="shared" si="39"/>
        <v>6</v>
      </c>
      <c r="AF254">
        <f t="shared" si="40"/>
        <v>7</v>
      </c>
      <c r="AG254">
        <f t="shared" si="41"/>
        <v>7</v>
      </c>
      <c r="AH254" s="9" t="str">
        <f t="shared" si="42"/>
        <v/>
      </c>
      <c r="AI254" s="9" t="str">
        <f t="shared" si="43"/>
        <v/>
      </c>
      <c r="AJ254" s="9" t="str">
        <f t="shared" si="44"/>
        <v/>
      </c>
      <c r="AK254" s="9" t="str">
        <f t="shared" si="45"/>
        <v/>
      </c>
      <c r="AL254" s="9" t="str">
        <f t="shared" si="46"/>
        <v/>
      </c>
      <c r="AM254" s="9" t="str">
        <f t="shared" si="47"/>
        <v/>
      </c>
      <c r="AN254" s="9" t="str">
        <f t="shared" si="48"/>
        <v/>
      </c>
      <c r="AO254" s="9" t="str">
        <f t="shared" si="49"/>
        <v/>
      </c>
      <c r="AP254" s="9" t="str">
        <f t="shared" si="50"/>
        <v/>
      </c>
      <c r="AQ254" s="10" t="str">
        <f t="shared" si="51"/>
        <v/>
      </c>
    </row>
    <row r="255" spans="1:43">
      <c r="A255">
        <v>254</v>
      </c>
      <c r="B255" t="s">
        <v>29</v>
      </c>
      <c r="C255" t="s">
        <v>432</v>
      </c>
      <c r="D255" t="s">
        <v>433</v>
      </c>
      <c r="E255" t="s">
        <v>168</v>
      </c>
      <c r="G255" t="s">
        <v>18</v>
      </c>
      <c r="H255" s="4">
        <v>49923000</v>
      </c>
      <c r="I255" s="5">
        <v>512</v>
      </c>
      <c r="J255" s="5">
        <v>0</v>
      </c>
      <c r="K255" s="5">
        <v>8</v>
      </c>
      <c r="L255">
        <v>7.6</v>
      </c>
      <c r="M255">
        <v>3.8</v>
      </c>
      <c r="N255">
        <v>6.7</v>
      </c>
      <c r="O255" s="6">
        <v>13.9</v>
      </c>
      <c r="P255" s="7">
        <v>1.37</v>
      </c>
      <c r="U255" t="s">
        <v>84</v>
      </c>
      <c r="V255" t="s">
        <v>121</v>
      </c>
      <c r="W255">
        <v>1.8</v>
      </c>
      <c r="X255" t="s">
        <v>84</v>
      </c>
      <c r="Y255" t="s">
        <v>127</v>
      </c>
      <c r="Z255" t="s">
        <v>106</v>
      </c>
      <c r="AA255" t="s">
        <v>149</v>
      </c>
      <c r="AB255" t="s">
        <v>115</v>
      </c>
      <c r="AC255">
        <v>1849</v>
      </c>
      <c r="AD255" s="8" t="b">
        <f>AND(
 H255&gt;=Filters!$B$3,
 H255&lt;=Filters!$B$4,
 I255&gt;=Filters!$B$5,
 OR(Filters!$B$6="All",B255=Filters!$B$6),
 F255&gt;=Filters!$B$7,
 F255&lt;=Filters!$B$8,
 OR(Filters!$B$9="All",G255=Filters!$B$9)
)</f>
        <v>0</v>
      </c>
      <c r="AE255">
        <f t="shared" si="39"/>
        <v>6</v>
      </c>
      <c r="AF255">
        <f t="shared" si="40"/>
        <v>7</v>
      </c>
      <c r="AG255">
        <f t="shared" si="41"/>
        <v>7</v>
      </c>
      <c r="AH255" s="9" t="str">
        <f t="shared" si="42"/>
        <v/>
      </c>
      <c r="AI255" s="9" t="str">
        <f t="shared" si="43"/>
        <v/>
      </c>
      <c r="AJ255" s="9" t="str">
        <f t="shared" si="44"/>
        <v/>
      </c>
      <c r="AK255" s="9" t="str">
        <f t="shared" si="45"/>
        <v/>
      </c>
      <c r="AL255" s="9" t="str">
        <f t="shared" si="46"/>
        <v/>
      </c>
      <c r="AM255" s="9" t="str">
        <f t="shared" si="47"/>
        <v/>
      </c>
      <c r="AN255" s="9" t="str">
        <f t="shared" si="48"/>
        <v/>
      </c>
      <c r="AO255" s="9" t="str">
        <f t="shared" si="49"/>
        <v/>
      </c>
      <c r="AP255" s="9" t="str">
        <f t="shared" si="50"/>
        <v/>
      </c>
      <c r="AQ255" s="10" t="str">
        <f t="shared" si="51"/>
        <v/>
      </c>
    </row>
    <row r="256" spans="1:43">
      <c r="A256">
        <v>255</v>
      </c>
      <c r="B256" t="s">
        <v>17</v>
      </c>
      <c r="C256" t="s">
        <v>301</v>
      </c>
      <c r="D256" t="s">
        <v>302</v>
      </c>
      <c r="E256" t="s">
        <v>97</v>
      </c>
      <c r="G256" t="s">
        <v>18</v>
      </c>
      <c r="H256" s="4">
        <v>18954000</v>
      </c>
      <c r="I256" s="5">
        <v>256</v>
      </c>
      <c r="J256" s="5">
        <v>0</v>
      </c>
      <c r="K256" s="5">
        <v>4</v>
      </c>
      <c r="L256">
        <v>5.4</v>
      </c>
      <c r="M256">
        <v>6.5</v>
      </c>
      <c r="N256">
        <v>6.24</v>
      </c>
      <c r="O256" s="6">
        <v>17.3</v>
      </c>
      <c r="P256" s="7">
        <v>3</v>
      </c>
      <c r="U256" t="s">
        <v>84</v>
      </c>
      <c r="V256" t="s">
        <v>200</v>
      </c>
      <c r="W256">
        <v>2.7</v>
      </c>
      <c r="X256" t="s">
        <v>122</v>
      </c>
      <c r="Y256" t="s">
        <v>286</v>
      </c>
      <c r="Z256" t="s">
        <v>100</v>
      </c>
      <c r="AA256" t="s">
        <v>128</v>
      </c>
      <c r="AB256" t="s">
        <v>115</v>
      </c>
      <c r="AC256">
        <v>702</v>
      </c>
      <c r="AD256" s="8" t="b">
        <f>AND(
 H256&gt;=Filters!$B$3,
 H256&lt;=Filters!$B$4,
 I256&gt;=Filters!$B$5,
 OR(Filters!$B$6="All",B256=Filters!$B$6),
 F256&gt;=Filters!$B$7,
 F256&lt;=Filters!$B$8,
 OR(Filters!$B$9="All",G256=Filters!$B$9)
)</f>
        <v>1</v>
      </c>
      <c r="AE256">
        <f t="shared" si="39"/>
        <v>6</v>
      </c>
      <c r="AF256">
        <f t="shared" si="40"/>
        <v>7</v>
      </c>
      <c r="AG256">
        <f t="shared" si="41"/>
        <v>7</v>
      </c>
      <c r="AH256" s="9">
        <f t="shared" si="42"/>
        <v>0.5</v>
      </c>
      <c r="AI256" s="9">
        <f t="shared" si="43"/>
        <v>0.33333333333333331</v>
      </c>
      <c r="AJ256" s="9">
        <f t="shared" si="44"/>
        <v>0.63095238095238093</v>
      </c>
      <c r="AK256" s="9">
        <f t="shared" si="45"/>
        <v>0.6</v>
      </c>
      <c r="AL256" s="9">
        <f t="shared" si="46"/>
        <v>0.78571428571428559</v>
      </c>
      <c r="AM256" s="9">
        <f t="shared" si="47"/>
        <v>0.5714285714285714</v>
      </c>
      <c r="AN256" s="9">
        <f t="shared" si="48"/>
        <v>0.69047619047619047</v>
      </c>
      <c r="AO256" s="9">
        <f t="shared" si="49"/>
        <v>0.69047619047619047</v>
      </c>
      <c r="AP256" s="9">
        <f t="shared" si="50"/>
        <v>0.5624146385827421</v>
      </c>
      <c r="AQ256" s="10">
        <f t="shared" si="51"/>
        <v>0.56241489458274208</v>
      </c>
    </row>
    <row r="257" spans="1:43">
      <c r="A257">
        <v>256</v>
      </c>
      <c r="B257" t="s">
        <v>23</v>
      </c>
      <c r="C257" t="s">
        <v>529</v>
      </c>
      <c r="D257" t="s">
        <v>530</v>
      </c>
      <c r="E257" t="s">
        <v>83</v>
      </c>
      <c r="G257" t="s">
        <v>18</v>
      </c>
      <c r="H257" s="4">
        <v>25623000</v>
      </c>
      <c r="I257" s="5">
        <v>256</v>
      </c>
      <c r="J257" s="5">
        <v>0</v>
      </c>
      <c r="K257" s="5">
        <v>8</v>
      </c>
      <c r="L257">
        <v>5.2</v>
      </c>
      <c r="M257">
        <v>3.8</v>
      </c>
      <c r="N257">
        <v>5.96</v>
      </c>
      <c r="O257" s="6">
        <v>13.3</v>
      </c>
      <c r="P257" s="7">
        <v>1.41</v>
      </c>
      <c r="U257" t="s">
        <v>84</v>
      </c>
      <c r="V257" t="s">
        <v>126</v>
      </c>
      <c r="W257">
        <v>1.6</v>
      </c>
      <c r="X257" t="s">
        <v>84</v>
      </c>
      <c r="Y257" t="s">
        <v>127</v>
      </c>
      <c r="Z257" t="s">
        <v>100</v>
      </c>
      <c r="AA257" t="s">
        <v>101</v>
      </c>
      <c r="AB257" t="s">
        <v>115</v>
      </c>
      <c r="AC257">
        <v>949</v>
      </c>
      <c r="AD257" s="8" t="b">
        <f>AND(
 H257&gt;=Filters!$B$3,
 H257&lt;=Filters!$B$4,
 I257&gt;=Filters!$B$5,
 OR(Filters!$B$6="All",B257=Filters!$B$6),
 F257&gt;=Filters!$B$7,
 F257&lt;=Filters!$B$8,
 OR(Filters!$B$9="All",G257=Filters!$B$9)
)</f>
        <v>0</v>
      </c>
      <c r="AE257">
        <f t="shared" si="39"/>
        <v>6</v>
      </c>
      <c r="AF257">
        <f t="shared" si="40"/>
        <v>7</v>
      </c>
      <c r="AG257">
        <f t="shared" si="41"/>
        <v>7</v>
      </c>
      <c r="AH257" s="9" t="str">
        <f t="shared" si="42"/>
        <v/>
      </c>
      <c r="AI257" s="9" t="str">
        <f t="shared" si="43"/>
        <v/>
      </c>
      <c r="AJ257" s="9" t="str">
        <f t="shared" si="44"/>
        <v/>
      </c>
      <c r="AK257" s="9" t="str">
        <f t="shared" si="45"/>
        <v/>
      </c>
      <c r="AL257" s="9" t="str">
        <f t="shared" si="46"/>
        <v/>
      </c>
      <c r="AM257" s="9" t="str">
        <f t="shared" si="47"/>
        <v/>
      </c>
      <c r="AN257" s="9" t="str">
        <f t="shared" si="48"/>
        <v/>
      </c>
      <c r="AO257" s="9" t="str">
        <f t="shared" si="49"/>
        <v/>
      </c>
      <c r="AP257" s="9" t="str">
        <f t="shared" si="50"/>
        <v/>
      </c>
      <c r="AQ257" s="10" t="str">
        <f t="shared" si="51"/>
        <v/>
      </c>
    </row>
    <row r="258" spans="1:43">
      <c r="A258">
        <v>257</v>
      </c>
      <c r="B258" t="s">
        <v>26</v>
      </c>
      <c r="C258" t="s">
        <v>531</v>
      </c>
      <c r="D258" t="s">
        <v>532</v>
      </c>
      <c r="E258" t="s">
        <v>97</v>
      </c>
      <c r="G258" t="s">
        <v>18</v>
      </c>
      <c r="H258" s="4">
        <v>12039300</v>
      </c>
      <c r="I258" s="5">
        <v>128</v>
      </c>
      <c r="J258" s="5">
        <v>0</v>
      </c>
      <c r="K258" s="5">
        <v>8</v>
      </c>
      <c r="L258">
        <v>6</v>
      </c>
      <c r="M258">
        <v>6.5</v>
      </c>
      <c r="N258">
        <v>3.92</v>
      </c>
      <c r="O258" s="6">
        <v>15.6</v>
      </c>
      <c r="P258" s="7">
        <v>1.91</v>
      </c>
      <c r="U258" t="s">
        <v>104</v>
      </c>
      <c r="V258" t="s">
        <v>533</v>
      </c>
      <c r="W258">
        <v>2.5</v>
      </c>
      <c r="X258" t="s">
        <v>104</v>
      </c>
      <c r="Y258" t="s">
        <v>236</v>
      </c>
      <c r="Z258" t="s">
        <v>87</v>
      </c>
      <c r="AA258" t="s">
        <v>114</v>
      </c>
      <c r="AB258" t="s">
        <v>115</v>
      </c>
      <c r="AC258">
        <v>445.9</v>
      </c>
      <c r="AD258" s="8" t="b">
        <f>AND(
 H258&gt;=Filters!$B$3,
 H258&lt;=Filters!$B$4,
 I258&gt;=Filters!$B$5,
 OR(Filters!$B$6="All",B258=Filters!$B$6),
 F258&gt;=Filters!$B$7,
 F258&lt;=Filters!$B$8,
 OR(Filters!$B$9="All",G258=Filters!$B$9)
)</f>
        <v>0</v>
      </c>
      <c r="AE258">
        <f t="shared" ref="AE258:AE321" si="52">IF(Q258="",6,Q258)</f>
        <v>6</v>
      </c>
      <c r="AF258">
        <f t="shared" ref="AF258:AF321" si="53">IF(R258="",7,R258)</f>
        <v>7</v>
      </c>
      <c r="AG258">
        <f t="shared" ref="AG258:AG321" si="54">IF(S258="",7,S258)</f>
        <v>7</v>
      </c>
      <c r="AH258" s="9" t="str">
        <f t="shared" ref="AH258:AH321" si="55">IF(AD258,IF(CPU_MAX=CPU_MIN,1,(L258-CPU_MIN)/(CPU_MAX-CPU_MIN)),"")</f>
        <v/>
      </c>
      <c r="AI258" s="9" t="str">
        <f t="shared" ref="AI258:AI321" si="56">IF(AD258,IF(RAM_MAX=RAM_MIN,1,(K258-RAM_MIN)/(RAM_MAX-RAM_MIN)),"")</f>
        <v/>
      </c>
      <c r="AJ258" s="9" t="str">
        <f t="shared" ref="AJ258:AJ321" si="57">IF(AD258,IF(GPU_MAX=GPU_MIN,1,(M258-GPU_MIN)/(GPU_MAX-GPU_MIN)),"")</f>
        <v/>
      </c>
      <c r="AK258" s="9" t="str">
        <f t="shared" ref="AK258:AK321" si="58">IF(AD258,IF(SCREEN_MAX=SCREEN_MIN,1,(N258-SCREEN_MIN)/(SCREEN_MAX-SCREEN_MIN)),"")</f>
        <v/>
      </c>
      <c r="AL258" s="9" t="str">
        <f t="shared" ref="AL258:AL321" si="59">IF(AD258,IF(WEIGHT_MAX=WEIGHT_MIN,1,(WEIGHT_MAX-P258)/(WEIGHT_MAX-WEIGHT_MIN)),"")</f>
        <v/>
      </c>
      <c r="AM258" s="9" t="str">
        <f t="shared" ref="AM258:AM321" si="60">IF(AD258,IF(BATTERY_MAX=BATTERY_MIN,1,(AE258-BATTERY_MIN)/(BATTERY_MAX-BATTERY_MIN)),"")</f>
        <v/>
      </c>
      <c r="AN258" s="9" t="str">
        <f t="shared" ref="AN258:AN321" si="61">IF(AD258,IF(DURABILITY_MAX=DURABILITY_MIN,1,(AF258-DURABILITY_MIN)/(DURABILITY_MAX-DURABILITY_MIN)),"")</f>
        <v/>
      </c>
      <c r="AO258" s="9" t="str">
        <f t="shared" ref="AO258:AO321" si="62">IF(AD258,IF(UPGRADE_MAX=UPGRADE_MIN,1,(AG258-UPGRADE_MIN)/(UPGRADE_MAX-UPGRADE_MIN)),"")</f>
        <v/>
      </c>
      <c r="AP258" s="9" t="str">
        <f t="shared" ref="AP258:AP321" si="63">IF(AD258,W_CPU*AH258+W_RAM*AI258+W_GPU*AJ258+W_SCREEN*AK258+W_WEIGHT*AL258+W_BATTERY*AM258+W_DURABILITY*AN258+W_UPGRADE*AO258,"" )</f>
        <v/>
      </c>
      <c r="AQ258" s="10" t="str">
        <f t="shared" ref="AQ258:AQ321" si="64">IF(AP258="","",AP258+ROW()*0.000000001)</f>
        <v/>
      </c>
    </row>
    <row r="259" spans="1:43">
      <c r="A259">
        <v>258</v>
      </c>
      <c r="B259" t="s">
        <v>26</v>
      </c>
      <c r="C259" t="s">
        <v>534</v>
      </c>
      <c r="D259" t="s">
        <v>535</v>
      </c>
      <c r="E259" t="s">
        <v>97</v>
      </c>
      <c r="G259" t="s">
        <v>18</v>
      </c>
      <c r="H259" s="4">
        <v>28593000</v>
      </c>
      <c r="I259" s="5">
        <v>0</v>
      </c>
      <c r="J259" s="5">
        <v>1024</v>
      </c>
      <c r="K259" s="5">
        <v>16</v>
      </c>
      <c r="L259">
        <v>7.6</v>
      </c>
      <c r="M259">
        <v>6.5</v>
      </c>
      <c r="N259">
        <v>6.24</v>
      </c>
      <c r="O259" s="6">
        <v>17.3</v>
      </c>
      <c r="P259" s="7">
        <v>2.9</v>
      </c>
      <c r="U259" t="s">
        <v>84</v>
      </c>
      <c r="V259" t="s">
        <v>121</v>
      </c>
      <c r="W259">
        <v>1.8</v>
      </c>
      <c r="X259" t="s">
        <v>122</v>
      </c>
      <c r="Y259" t="s">
        <v>123</v>
      </c>
      <c r="Z259" t="s">
        <v>146</v>
      </c>
      <c r="AA259" t="s">
        <v>128</v>
      </c>
      <c r="AB259" t="s">
        <v>115</v>
      </c>
      <c r="AC259">
        <v>1059</v>
      </c>
      <c r="AD259" s="8" t="b">
        <f>AND(
 H259&gt;=Filters!$B$3,
 H259&lt;=Filters!$B$4,
 I259&gt;=Filters!$B$5,
 OR(Filters!$B$6="All",B259=Filters!$B$6),
 F259&gt;=Filters!$B$7,
 F259&lt;=Filters!$B$8,
 OR(Filters!$B$9="All",G259=Filters!$B$9)
)</f>
        <v>0</v>
      </c>
      <c r="AE259">
        <f t="shared" si="52"/>
        <v>6</v>
      </c>
      <c r="AF259">
        <f t="shared" si="53"/>
        <v>7</v>
      </c>
      <c r="AG259">
        <f t="shared" si="54"/>
        <v>7</v>
      </c>
      <c r="AH259" s="9" t="str">
        <f t="shared" si="55"/>
        <v/>
      </c>
      <c r="AI259" s="9" t="str">
        <f t="shared" si="56"/>
        <v/>
      </c>
      <c r="AJ259" s="9" t="str">
        <f t="shared" si="57"/>
        <v/>
      </c>
      <c r="AK259" s="9" t="str">
        <f t="shared" si="58"/>
        <v/>
      </c>
      <c r="AL259" s="9" t="str">
        <f t="shared" si="59"/>
        <v/>
      </c>
      <c r="AM259" s="9" t="str">
        <f t="shared" si="60"/>
        <v/>
      </c>
      <c r="AN259" s="9" t="str">
        <f t="shared" si="61"/>
        <v/>
      </c>
      <c r="AO259" s="9" t="str">
        <f t="shared" si="62"/>
        <v/>
      </c>
      <c r="AP259" s="9" t="str">
        <f t="shared" si="63"/>
        <v/>
      </c>
      <c r="AQ259" s="10" t="str">
        <f t="shared" si="64"/>
        <v/>
      </c>
    </row>
    <row r="260" spans="1:43">
      <c r="A260">
        <v>259</v>
      </c>
      <c r="B260" t="s">
        <v>30</v>
      </c>
      <c r="C260" t="s">
        <v>536</v>
      </c>
      <c r="D260" t="s">
        <v>537</v>
      </c>
      <c r="E260" t="s">
        <v>158</v>
      </c>
      <c r="G260" t="s">
        <v>18</v>
      </c>
      <c r="H260" s="4">
        <v>67473000</v>
      </c>
      <c r="I260" s="5">
        <v>512</v>
      </c>
      <c r="J260" s="5">
        <v>1024</v>
      </c>
      <c r="K260" s="5">
        <v>16</v>
      </c>
      <c r="L260">
        <v>9.6</v>
      </c>
      <c r="M260">
        <v>9.1999999999999993</v>
      </c>
      <c r="N260">
        <v>5.83</v>
      </c>
      <c r="O260" s="6">
        <v>17.3</v>
      </c>
      <c r="P260" s="7">
        <v>4.1399999999999997</v>
      </c>
      <c r="U260" t="s">
        <v>84</v>
      </c>
      <c r="V260" t="s">
        <v>210</v>
      </c>
      <c r="W260">
        <v>2.8</v>
      </c>
      <c r="X260" t="s">
        <v>122</v>
      </c>
      <c r="Y260" t="s">
        <v>248</v>
      </c>
      <c r="Z260" t="s">
        <v>428</v>
      </c>
      <c r="AA260" t="s">
        <v>101</v>
      </c>
      <c r="AB260" t="s">
        <v>115</v>
      </c>
      <c r="AC260">
        <v>2499</v>
      </c>
      <c r="AD260" s="8" t="b">
        <f>AND(
 H260&gt;=Filters!$B$3,
 H260&lt;=Filters!$B$4,
 I260&gt;=Filters!$B$5,
 OR(Filters!$B$6="All",B260=Filters!$B$6),
 F260&gt;=Filters!$B$7,
 F260&lt;=Filters!$B$8,
 OR(Filters!$B$9="All",G260=Filters!$B$9)
)</f>
        <v>0</v>
      </c>
      <c r="AE260">
        <f t="shared" si="52"/>
        <v>6</v>
      </c>
      <c r="AF260">
        <f t="shared" si="53"/>
        <v>7</v>
      </c>
      <c r="AG260">
        <f t="shared" si="54"/>
        <v>7</v>
      </c>
      <c r="AH260" s="9" t="str">
        <f t="shared" si="55"/>
        <v/>
      </c>
      <c r="AI260" s="9" t="str">
        <f t="shared" si="56"/>
        <v/>
      </c>
      <c r="AJ260" s="9" t="str">
        <f t="shared" si="57"/>
        <v/>
      </c>
      <c r="AK260" s="9" t="str">
        <f t="shared" si="58"/>
        <v/>
      </c>
      <c r="AL260" s="9" t="str">
        <f t="shared" si="59"/>
        <v/>
      </c>
      <c r="AM260" s="9" t="str">
        <f t="shared" si="60"/>
        <v/>
      </c>
      <c r="AN260" s="9" t="str">
        <f t="shared" si="61"/>
        <v/>
      </c>
      <c r="AO260" s="9" t="str">
        <f t="shared" si="62"/>
        <v/>
      </c>
      <c r="AP260" s="9" t="str">
        <f t="shared" si="63"/>
        <v/>
      </c>
      <c r="AQ260" s="10" t="str">
        <f t="shared" si="64"/>
        <v/>
      </c>
    </row>
    <row r="261" spans="1:43">
      <c r="A261">
        <v>260</v>
      </c>
      <c r="B261" t="s">
        <v>29</v>
      </c>
      <c r="C261" t="s">
        <v>538</v>
      </c>
      <c r="D261" t="s">
        <v>539</v>
      </c>
      <c r="E261" t="s">
        <v>168</v>
      </c>
      <c r="G261" t="s">
        <v>18</v>
      </c>
      <c r="H261" s="4">
        <v>45873000</v>
      </c>
      <c r="I261" s="5">
        <v>512</v>
      </c>
      <c r="J261" s="5">
        <v>0</v>
      </c>
      <c r="K261" s="5">
        <v>8</v>
      </c>
      <c r="L261">
        <v>9.6</v>
      </c>
      <c r="M261">
        <v>9.1999999999999993</v>
      </c>
      <c r="N261">
        <v>6.62</v>
      </c>
      <c r="O261" s="6">
        <v>15.6</v>
      </c>
      <c r="P261" s="7">
        <v>2</v>
      </c>
      <c r="U261" t="s">
        <v>84</v>
      </c>
      <c r="V261" t="s">
        <v>210</v>
      </c>
      <c r="W261">
        <v>2.8</v>
      </c>
      <c r="X261" t="s">
        <v>122</v>
      </c>
      <c r="Y261" t="s">
        <v>372</v>
      </c>
      <c r="Z261" t="s">
        <v>106</v>
      </c>
      <c r="AA261" t="s">
        <v>149</v>
      </c>
      <c r="AB261" t="s">
        <v>115</v>
      </c>
      <c r="AC261">
        <v>1699</v>
      </c>
      <c r="AD261" s="8" t="b">
        <f>AND(
 H261&gt;=Filters!$B$3,
 H261&lt;=Filters!$B$4,
 I261&gt;=Filters!$B$5,
 OR(Filters!$B$6="All",B261=Filters!$B$6),
 F261&gt;=Filters!$B$7,
 F261&lt;=Filters!$B$8,
 OR(Filters!$B$9="All",G261=Filters!$B$9)
)</f>
        <v>0</v>
      </c>
      <c r="AE261">
        <f t="shared" si="52"/>
        <v>6</v>
      </c>
      <c r="AF261">
        <f t="shared" si="53"/>
        <v>7</v>
      </c>
      <c r="AG261">
        <f t="shared" si="54"/>
        <v>7</v>
      </c>
      <c r="AH261" s="9" t="str">
        <f t="shared" si="55"/>
        <v/>
      </c>
      <c r="AI261" s="9" t="str">
        <f t="shared" si="56"/>
        <v/>
      </c>
      <c r="AJ261" s="9" t="str">
        <f t="shared" si="57"/>
        <v/>
      </c>
      <c r="AK261" s="9" t="str">
        <f t="shared" si="58"/>
        <v/>
      </c>
      <c r="AL261" s="9" t="str">
        <f t="shared" si="59"/>
        <v/>
      </c>
      <c r="AM261" s="9" t="str">
        <f t="shared" si="60"/>
        <v/>
      </c>
      <c r="AN261" s="9" t="str">
        <f t="shared" si="61"/>
        <v/>
      </c>
      <c r="AO261" s="9" t="str">
        <f t="shared" si="62"/>
        <v/>
      </c>
      <c r="AP261" s="9" t="str">
        <f t="shared" si="63"/>
        <v/>
      </c>
      <c r="AQ261" s="10" t="str">
        <f t="shared" si="64"/>
        <v/>
      </c>
    </row>
    <row r="262" spans="1:43">
      <c r="A262">
        <v>261</v>
      </c>
      <c r="B262" t="s">
        <v>23</v>
      </c>
      <c r="C262" t="s">
        <v>202</v>
      </c>
      <c r="D262" t="s">
        <v>203</v>
      </c>
      <c r="E262" t="s">
        <v>97</v>
      </c>
      <c r="G262" t="s">
        <v>18</v>
      </c>
      <c r="H262" s="4">
        <v>30834000</v>
      </c>
      <c r="I262" s="5">
        <v>128</v>
      </c>
      <c r="J262" s="5">
        <v>1024</v>
      </c>
      <c r="K262" s="5">
        <v>8</v>
      </c>
      <c r="L262">
        <v>7.6</v>
      </c>
      <c r="M262">
        <v>6.5</v>
      </c>
      <c r="N262">
        <v>5.83</v>
      </c>
      <c r="O262" s="6">
        <v>17.3</v>
      </c>
      <c r="P262" s="7">
        <v>2.8</v>
      </c>
      <c r="U262" t="s">
        <v>84</v>
      </c>
      <c r="V262" t="s">
        <v>121</v>
      </c>
      <c r="W262">
        <v>1.8</v>
      </c>
      <c r="X262" t="s">
        <v>104</v>
      </c>
      <c r="Y262" t="s">
        <v>176</v>
      </c>
      <c r="Z262" t="s">
        <v>161</v>
      </c>
      <c r="AA262" t="s">
        <v>101</v>
      </c>
      <c r="AB262" t="s">
        <v>115</v>
      </c>
      <c r="AC262">
        <v>1142</v>
      </c>
      <c r="AD262" s="8" t="b">
        <f>AND(
 H262&gt;=Filters!$B$3,
 H262&lt;=Filters!$B$4,
 I262&gt;=Filters!$B$5,
 OR(Filters!$B$6="All",B262=Filters!$B$6),
 F262&gt;=Filters!$B$7,
 F262&lt;=Filters!$B$8,
 OR(Filters!$B$9="All",G262=Filters!$B$9)
)</f>
        <v>0</v>
      </c>
      <c r="AE262">
        <f t="shared" si="52"/>
        <v>6</v>
      </c>
      <c r="AF262">
        <f t="shared" si="53"/>
        <v>7</v>
      </c>
      <c r="AG262">
        <f t="shared" si="54"/>
        <v>7</v>
      </c>
      <c r="AH262" s="9" t="str">
        <f t="shared" si="55"/>
        <v/>
      </c>
      <c r="AI262" s="9" t="str">
        <f t="shared" si="56"/>
        <v/>
      </c>
      <c r="AJ262" s="9" t="str">
        <f t="shared" si="57"/>
        <v/>
      </c>
      <c r="AK262" s="9" t="str">
        <f t="shared" si="58"/>
        <v/>
      </c>
      <c r="AL262" s="9" t="str">
        <f t="shared" si="59"/>
        <v/>
      </c>
      <c r="AM262" s="9" t="str">
        <f t="shared" si="60"/>
        <v/>
      </c>
      <c r="AN262" s="9" t="str">
        <f t="shared" si="61"/>
        <v/>
      </c>
      <c r="AO262" s="9" t="str">
        <f t="shared" si="62"/>
        <v/>
      </c>
      <c r="AP262" s="9" t="str">
        <f t="shared" si="63"/>
        <v/>
      </c>
      <c r="AQ262" s="10" t="str">
        <f t="shared" si="64"/>
        <v/>
      </c>
    </row>
    <row r="263" spans="1:43">
      <c r="A263">
        <v>262</v>
      </c>
      <c r="B263" t="s">
        <v>29</v>
      </c>
      <c r="C263" t="s">
        <v>221</v>
      </c>
      <c r="D263" t="s">
        <v>222</v>
      </c>
      <c r="E263" t="s">
        <v>97</v>
      </c>
      <c r="G263" t="s">
        <v>18</v>
      </c>
      <c r="H263" s="4">
        <v>11988000</v>
      </c>
      <c r="I263" s="5">
        <v>256</v>
      </c>
      <c r="J263" s="5">
        <v>0</v>
      </c>
      <c r="K263" s="5">
        <v>4</v>
      </c>
      <c r="L263">
        <v>4</v>
      </c>
      <c r="M263">
        <v>3.5</v>
      </c>
      <c r="N263">
        <v>5.92</v>
      </c>
      <c r="O263" s="6">
        <v>15.6</v>
      </c>
      <c r="P263" s="7">
        <v>2.2000000000000002</v>
      </c>
      <c r="U263" t="s">
        <v>84</v>
      </c>
      <c r="V263" t="s">
        <v>129</v>
      </c>
      <c r="W263">
        <v>2</v>
      </c>
      <c r="X263" t="s">
        <v>84</v>
      </c>
      <c r="Y263" t="s">
        <v>130</v>
      </c>
      <c r="Z263" t="s">
        <v>100</v>
      </c>
      <c r="AA263" t="s">
        <v>101</v>
      </c>
      <c r="AB263" t="s">
        <v>102</v>
      </c>
      <c r="AC263">
        <v>444</v>
      </c>
      <c r="AD263" s="8" t="b">
        <f>AND(
 H263&gt;=Filters!$B$3,
 H263&lt;=Filters!$B$4,
 I263&gt;=Filters!$B$5,
 OR(Filters!$B$6="All",B263=Filters!$B$6),
 F263&gt;=Filters!$B$7,
 F263&lt;=Filters!$B$8,
 OR(Filters!$B$9="All",G263=Filters!$B$9)
)</f>
        <v>1</v>
      </c>
      <c r="AE263">
        <f t="shared" si="52"/>
        <v>6</v>
      </c>
      <c r="AF263">
        <f t="shared" si="53"/>
        <v>7</v>
      </c>
      <c r="AG263">
        <f t="shared" si="54"/>
        <v>7</v>
      </c>
      <c r="AH263" s="9">
        <f t="shared" si="55"/>
        <v>0.33333333333333331</v>
      </c>
      <c r="AI263" s="9">
        <f t="shared" si="56"/>
        <v>0.33333333333333331</v>
      </c>
      <c r="AJ263" s="9">
        <f t="shared" si="57"/>
        <v>0.27380952380952378</v>
      </c>
      <c r="AK263" s="9">
        <f t="shared" si="58"/>
        <v>0.56190476190476191</v>
      </c>
      <c r="AL263" s="9">
        <f t="shared" si="59"/>
        <v>0.88095238095238082</v>
      </c>
      <c r="AM263" s="9">
        <f t="shared" si="60"/>
        <v>0.5714285714285714</v>
      </c>
      <c r="AN263" s="9">
        <f t="shared" si="61"/>
        <v>0.69047619047619047</v>
      </c>
      <c r="AO263" s="9">
        <f t="shared" si="62"/>
        <v>0.69047619047619047</v>
      </c>
      <c r="AP263" s="9">
        <f t="shared" si="63"/>
        <v>0.50581008590630372</v>
      </c>
      <c r="AQ263" s="10">
        <f t="shared" si="64"/>
        <v>0.50581034890630372</v>
      </c>
    </row>
    <row r="264" spans="1:43">
      <c r="A264">
        <v>263</v>
      </c>
      <c r="B264" t="s">
        <v>26</v>
      </c>
      <c r="C264" t="s">
        <v>204</v>
      </c>
      <c r="D264" t="s">
        <v>205</v>
      </c>
      <c r="E264" t="s">
        <v>97</v>
      </c>
      <c r="G264" t="s">
        <v>18</v>
      </c>
      <c r="H264" s="4">
        <v>19494000</v>
      </c>
      <c r="I264" s="5">
        <v>0</v>
      </c>
      <c r="J264" s="5">
        <v>500</v>
      </c>
      <c r="K264" s="5">
        <v>4</v>
      </c>
      <c r="L264">
        <v>5.2</v>
      </c>
      <c r="M264">
        <v>3.5</v>
      </c>
      <c r="N264">
        <v>6.32</v>
      </c>
      <c r="O264" s="6">
        <v>15.6</v>
      </c>
      <c r="P264" s="7">
        <v>2.1</v>
      </c>
      <c r="U264" t="s">
        <v>84</v>
      </c>
      <c r="V264" t="s">
        <v>126</v>
      </c>
      <c r="W264">
        <v>1.6</v>
      </c>
      <c r="X264" t="s">
        <v>84</v>
      </c>
      <c r="Y264" t="s">
        <v>99</v>
      </c>
      <c r="Z264" t="s">
        <v>113</v>
      </c>
      <c r="AA264" t="s">
        <v>128</v>
      </c>
      <c r="AB264" t="s">
        <v>115</v>
      </c>
      <c r="AC264">
        <v>722</v>
      </c>
      <c r="AD264" s="8" t="b">
        <f>AND(
 H264&gt;=Filters!$B$3,
 H264&lt;=Filters!$B$4,
 I264&gt;=Filters!$B$5,
 OR(Filters!$B$6="All",B264=Filters!$B$6),
 F264&gt;=Filters!$B$7,
 F264&lt;=Filters!$B$8,
 OR(Filters!$B$9="All",G264=Filters!$B$9)
)</f>
        <v>0</v>
      </c>
      <c r="AE264">
        <f t="shared" si="52"/>
        <v>6</v>
      </c>
      <c r="AF264">
        <f t="shared" si="53"/>
        <v>7</v>
      </c>
      <c r="AG264">
        <f t="shared" si="54"/>
        <v>7</v>
      </c>
      <c r="AH264" s="9" t="str">
        <f t="shared" si="55"/>
        <v/>
      </c>
      <c r="AI264" s="9" t="str">
        <f t="shared" si="56"/>
        <v/>
      </c>
      <c r="AJ264" s="9" t="str">
        <f t="shared" si="57"/>
        <v/>
      </c>
      <c r="AK264" s="9" t="str">
        <f t="shared" si="58"/>
        <v/>
      </c>
      <c r="AL264" s="9" t="str">
        <f t="shared" si="59"/>
        <v/>
      </c>
      <c r="AM264" s="9" t="str">
        <f t="shared" si="60"/>
        <v/>
      </c>
      <c r="AN264" s="9" t="str">
        <f t="shared" si="61"/>
        <v/>
      </c>
      <c r="AO264" s="9" t="str">
        <f t="shared" si="62"/>
        <v/>
      </c>
      <c r="AP264" s="9" t="str">
        <f t="shared" si="63"/>
        <v/>
      </c>
      <c r="AQ264" s="10" t="str">
        <f t="shared" si="64"/>
        <v/>
      </c>
    </row>
    <row r="265" spans="1:43">
      <c r="A265">
        <v>264</v>
      </c>
      <c r="B265" t="s">
        <v>23</v>
      </c>
      <c r="C265" t="s">
        <v>540</v>
      </c>
      <c r="D265" t="s">
        <v>541</v>
      </c>
      <c r="E265" t="s">
        <v>97</v>
      </c>
      <c r="G265" t="s">
        <v>18</v>
      </c>
      <c r="H265" s="4">
        <v>17739000</v>
      </c>
      <c r="I265" s="5">
        <v>0</v>
      </c>
      <c r="J265" s="5">
        <v>1024</v>
      </c>
      <c r="K265" s="5">
        <v>4</v>
      </c>
      <c r="L265">
        <v>7</v>
      </c>
      <c r="M265">
        <v>3.5</v>
      </c>
      <c r="N265">
        <v>5.92</v>
      </c>
      <c r="O265" s="6">
        <v>15.6</v>
      </c>
      <c r="P265" s="7">
        <v>2.1800000000000002</v>
      </c>
      <c r="U265" t="s">
        <v>84</v>
      </c>
      <c r="V265" t="s">
        <v>98</v>
      </c>
      <c r="W265">
        <v>2.5</v>
      </c>
      <c r="X265" t="s">
        <v>84</v>
      </c>
      <c r="Y265" t="s">
        <v>99</v>
      </c>
      <c r="Z265" t="s">
        <v>146</v>
      </c>
      <c r="AA265" t="s">
        <v>101</v>
      </c>
      <c r="AB265" t="s">
        <v>115</v>
      </c>
      <c r="AC265">
        <v>657</v>
      </c>
      <c r="AD265" s="8" t="b">
        <f>AND(
 H265&gt;=Filters!$B$3,
 H265&lt;=Filters!$B$4,
 I265&gt;=Filters!$B$5,
 OR(Filters!$B$6="All",B265=Filters!$B$6),
 F265&gt;=Filters!$B$7,
 F265&lt;=Filters!$B$8,
 OR(Filters!$B$9="All",G265=Filters!$B$9)
)</f>
        <v>0</v>
      </c>
      <c r="AE265">
        <f t="shared" si="52"/>
        <v>6</v>
      </c>
      <c r="AF265">
        <f t="shared" si="53"/>
        <v>7</v>
      </c>
      <c r="AG265">
        <f t="shared" si="54"/>
        <v>7</v>
      </c>
      <c r="AH265" s="9" t="str">
        <f t="shared" si="55"/>
        <v/>
      </c>
      <c r="AI265" s="9" t="str">
        <f t="shared" si="56"/>
        <v/>
      </c>
      <c r="AJ265" s="9" t="str">
        <f t="shared" si="57"/>
        <v/>
      </c>
      <c r="AK265" s="9" t="str">
        <f t="shared" si="58"/>
        <v/>
      </c>
      <c r="AL265" s="9" t="str">
        <f t="shared" si="59"/>
        <v/>
      </c>
      <c r="AM265" s="9" t="str">
        <f t="shared" si="60"/>
        <v/>
      </c>
      <c r="AN265" s="9" t="str">
        <f t="shared" si="61"/>
        <v/>
      </c>
      <c r="AO265" s="9" t="str">
        <f t="shared" si="62"/>
        <v/>
      </c>
      <c r="AP265" s="9" t="str">
        <f t="shared" si="63"/>
        <v/>
      </c>
      <c r="AQ265" s="10" t="str">
        <f t="shared" si="64"/>
        <v/>
      </c>
    </row>
    <row r="266" spans="1:43">
      <c r="A266">
        <v>265</v>
      </c>
      <c r="B266" t="s">
        <v>23</v>
      </c>
      <c r="C266" t="s">
        <v>132</v>
      </c>
      <c r="D266" t="s">
        <v>133</v>
      </c>
      <c r="E266" t="s">
        <v>97</v>
      </c>
      <c r="G266" t="s">
        <v>18</v>
      </c>
      <c r="H266" s="4">
        <v>15255000</v>
      </c>
      <c r="I266" s="5">
        <v>0</v>
      </c>
      <c r="J266" s="5">
        <v>1024</v>
      </c>
      <c r="K266" s="5">
        <v>8</v>
      </c>
      <c r="L266">
        <v>7</v>
      </c>
      <c r="M266">
        <v>6.5</v>
      </c>
      <c r="N266">
        <v>5.92</v>
      </c>
      <c r="O266" s="6">
        <v>15.6</v>
      </c>
      <c r="P266" s="7">
        <v>2.2400000000000002</v>
      </c>
      <c r="U266" t="s">
        <v>84</v>
      </c>
      <c r="V266" t="s">
        <v>98</v>
      </c>
      <c r="W266">
        <v>2.5</v>
      </c>
      <c r="X266" t="s">
        <v>104</v>
      </c>
      <c r="Y266" t="s">
        <v>134</v>
      </c>
      <c r="Z266" t="s">
        <v>146</v>
      </c>
      <c r="AA266" t="s">
        <v>101</v>
      </c>
      <c r="AB266" t="s">
        <v>115</v>
      </c>
      <c r="AC266">
        <v>565</v>
      </c>
      <c r="AD266" s="8" t="b">
        <f>AND(
 H266&gt;=Filters!$B$3,
 H266&lt;=Filters!$B$4,
 I266&gt;=Filters!$B$5,
 OR(Filters!$B$6="All",B266=Filters!$B$6),
 F266&gt;=Filters!$B$7,
 F266&lt;=Filters!$B$8,
 OR(Filters!$B$9="All",G266=Filters!$B$9)
)</f>
        <v>0</v>
      </c>
      <c r="AE266">
        <f t="shared" si="52"/>
        <v>6</v>
      </c>
      <c r="AF266">
        <f t="shared" si="53"/>
        <v>7</v>
      </c>
      <c r="AG266">
        <f t="shared" si="54"/>
        <v>7</v>
      </c>
      <c r="AH266" s="9" t="str">
        <f t="shared" si="55"/>
        <v/>
      </c>
      <c r="AI266" s="9" t="str">
        <f t="shared" si="56"/>
        <v/>
      </c>
      <c r="AJ266" s="9" t="str">
        <f t="shared" si="57"/>
        <v/>
      </c>
      <c r="AK266" s="9" t="str">
        <f t="shared" si="58"/>
        <v/>
      </c>
      <c r="AL266" s="9" t="str">
        <f t="shared" si="59"/>
        <v/>
      </c>
      <c r="AM266" s="9" t="str">
        <f t="shared" si="60"/>
        <v/>
      </c>
      <c r="AN266" s="9" t="str">
        <f t="shared" si="61"/>
        <v/>
      </c>
      <c r="AO266" s="9" t="str">
        <f t="shared" si="62"/>
        <v/>
      </c>
      <c r="AP266" s="9" t="str">
        <f t="shared" si="63"/>
        <v/>
      </c>
      <c r="AQ266" s="10" t="str">
        <f t="shared" si="64"/>
        <v/>
      </c>
    </row>
    <row r="267" spans="1:43">
      <c r="A267">
        <v>266</v>
      </c>
      <c r="B267" t="s">
        <v>23</v>
      </c>
      <c r="C267" t="s">
        <v>407</v>
      </c>
      <c r="D267" t="s">
        <v>408</v>
      </c>
      <c r="E267" t="s">
        <v>168</v>
      </c>
      <c r="G267" t="s">
        <v>18</v>
      </c>
      <c r="H267" s="4">
        <v>21573000</v>
      </c>
      <c r="I267" s="5">
        <v>256</v>
      </c>
      <c r="J267" s="5">
        <v>0</v>
      </c>
      <c r="K267" s="5">
        <v>8</v>
      </c>
      <c r="L267">
        <v>5.2</v>
      </c>
      <c r="M267">
        <v>3.8</v>
      </c>
      <c r="N267">
        <v>6.22</v>
      </c>
      <c r="O267" s="6">
        <v>15.6</v>
      </c>
      <c r="P267" s="7">
        <v>2.67</v>
      </c>
      <c r="U267" t="s">
        <v>84</v>
      </c>
      <c r="V267" t="s">
        <v>126</v>
      </c>
      <c r="W267">
        <v>1.6</v>
      </c>
      <c r="X267" t="s">
        <v>84</v>
      </c>
      <c r="Y267" t="s">
        <v>127</v>
      </c>
      <c r="Z267" t="s">
        <v>100</v>
      </c>
      <c r="AA267" t="s">
        <v>169</v>
      </c>
      <c r="AB267" t="s">
        <v>115</v>
      </c>
      <c r="AC267">
        <v>799</v>
      </c>
      <c r="AD267" s="8" t="b">
        <f>AND(
 H267&gt;=Filters!$B$3,
 H267&lt;=Filters!$B$4,
 I267&gt;=Filters!$B$5,
 OR(Filters!$B$6="All",B267=Filters!$B$6),
 F267&gt;=Filters!$B$7,
 F267&lt;=Filters!$B$8,
 OR(Filters!$B$9="All",G267=Filters!$B$9)
)</f>
        <v>1</v>
      </c>
      <c r="AE267">
        <f t="shared" si="52"/>
        <v>6</v>
      </c>
      <c r="AF267">
        <f t="shared" si="53"/>
        <v>7</v>
      </c>
      <c r="AG267">
        <f t="shared" si="54"/>
        <v>7</v>
      </c>
      <c r="AH267" s="9">
        <f t="shared" si="55"/>
        <v>0.47619047619047616</v>
      </c>
      <c r="AI267" s="9">
        <f t="shared" si="56"/>
        <v>0.80952380952380942</v>
      </c>
      <c r="AJ267" s="9">
        <f t="shared" si="57"/>
        <v>0.30952380952380948</v>
      </c>
      <c r="AK267" s="9">
        <f t="shared" si="58"/>
        <v>0.59761904761904749</v>
      </c>
      <c r="AL267" s="9">
        <f t="shared" si="59"/>
        <v>0.82499999999999996</v>
      </c>
      <c r="AM267" s="9">
        <f t="shared" si="60"/>
        <v>0.5714285714285714</v>
      </c>
      <c r="AN267" s="9">
        <f t="shared" si="61"/>
        <v>0.69047619047619047</v>
      </c>
      <c r="AO267" s="9">
        <f t="shared" si="62"/>
        <v>0.69047619047619047</v>
      </c>
      <c r="AP267" s="9">
        <f t="shared" si="63"/>
        <v>0.62480760852867911</v>
      </c>
      <c r="AQ267" s="10">
        <f t="shared" si="64"/>
        <v>0.62480787552867911</v>
      </c>
    </row>
    <row r="268" spans="1:43">
      <c r="A268">
        <v>267</v>
      </c>
      <c r="B268" t="s">
        <v>21</v>
      </c>
      <c r="C268" t="s">
        <v>405</v>
      </c>
      <c r="D268" t="s">
        <v>406</v>
      </c>
      <c r="E268" t="s">
        <v>168</v>
      </c>
      <c r="G268" t="s">
        <v>18</v>
      </c>
      <c r="H268" s="4">
        <v>40473000</v>
      </c>
      <c r="I268" s="5">
        <v>1024</v>
      </c>
      <c r="J268" s="5">
        <v>0</v>
      </c>
      <c r="K268" s="5">
        <v>8</v>
      </c>
      <c r="L268">
        <v>7.6</v>
      </c>
      <c r="M268">
        <v>3.8</v>
      </c>
      <c r="N268">
        <v>6.26</v>
      </c>
      <c r="O268" s="6">
        <v>13.3</v>
      </c>
      <c r="P268" s="7">
        <v>1.1000000000000001</v>
      </c>
      <c r="U268" t="s">
        <v>84</v>
      </c>
      <c r="V268" t="s">
        <v>121</v>
      </c>
      <c r="W268">
        <v>1.8</v>
      </c>
      <c r="X268" t="s">
        <v>84</v>
      </c>
      <c r="Y268" t="s">
        <v>127</v>
      </c>
      <c r="Z268" t="s">
        <v>542</v>
      </c>
      <c r="AA268" t="s">
        <v>169</v>
      </c>
      <c r="AB268" t="s">
        <v>115</v>
      </c>
      <c r="AC268">
        <v>1499</v>
      </c>
      <c r="AD268" s="8" t="b">
        <f>AND(
 H268&gt;=Filters!$B$3,
 H268&lt;=Filters!$B$4,
 I268&gt;=Filters!$B$5,
 OR(Filters!$B$6="All",B268=Filters!$B$6),
 F268&gt;=Filters!$B$7,
 F268&lt;=Filters!$B$8,
 OR(Filters!$B$9="All",G268=Filters!$B$9)
)</f>
        <v>0</v>
      </c>
      <c r="AE268">
        <f t="shared" si="52"/>
        <v>6</v>
      </c>
      <c r="AF268">
        <f t="shared" si="53"/>
        <v>7</v>
      </c>
      <c r="AG268">
        <f t="shared" si="54"/>
        <v>7</v>
      </c>
      <c r="AH268" s="9" t="str">
        <f t="shared" si="55"/>
        <v/>
      </c>
      <c r="AI268" s="9" t="str">
        <f t="shared" si="56"/>
        <v/>
      </c>
      <c r="AJ268" s="9" t="str">
        <f t="shared" si="57"/>
        <v/>
      </c>
      <c r="AK268" s="9" t="str">
        <f t="shared" si="58"/>
        <v/>
      </c>
      <c r="AL268" s="9" t="str">
        <f t="shared" si="59"/>
        <v/>
      </c>
      <c r="AM268" s="9" t="str">
        <f t="shared" si="60"/>
        <v/>
      </c>
      <c r="AN268" s="9" t="str">
        <f t="shared" si="61"/>
        <v/>
      </c>
      <c r="AO268" s="9" t="str">
        <f t="shared" si="62"/>
        <v/>
      </c>
      <c r="AP268" s="9" t="str">
        <f t="shared" si="63"/>
        <v/>
      </c>
      <c r="AQ268" s="10" t="str">
        <f t="shared" si="64"/>
        <v/>
      </c>
    </row>
    <row r="269" spans="1:43">
      <c r="A269">
        <v>268</v>
      </c>
      <c r="B269" t="s">
        <v>29</v>
      </c>
      <c r="C269" t="s">
        <v>281</v>
      </c>
      <c r="D269" t="s">
        <v>282</v>
      </c>
      <c r="E269" t="s">
        <v>97</v>
      </c>
      <c r="G269" t="s">
        <v>18</v>
      </c>
      <c r="H269" s="4">
        <v>12609000</v>
      </c>
      <c r="I269" s="5">
        <v>0</v>
      </c>
      <c r="J269" s="5">
        <v>1024</v>
      </c>
      <c r="K269" s="5">
        <v>4</v>
      </c>
      <c r="L269">
        <v>7</v>
      </c>
      <c r="M269">
        <v>3.5</v>
      </c>
      <c r="N269">
        <v>5.92</v>
      </c>
      <c r="O269" s="6">
        <v>15.6</v>
      </c>
      <c r="P269" s="7">
        <v>2.2000000000000002</v>
      </c>
      <c r="U269" t="s">
        <v>84</v>
      </c>
      <c r="V269" t="s">
        <v>98</v>
      </c>
      <c r="W269">
        <v>2.5</v>
      </c>
      <c r="X269" t="s">
        <v>84</v>
      </c>
      <c r="Y269" t="s">
        <v>99</v>
      </c>
      <c r="Z269" t="s">
        <v>146</v>
      </c>
      <c r="AA269" t="s">
        <v>101</v>
      </c>
      <c r="AB269" t="s">
        <v>102</v>
      </c>
      <c r="AC269">
        <v>467</v>
      </c>
      <c r="AD269" s="8" t="b">
        <f>AND(
 H269&gt;=Filters!$B$3,
 H269&lt;=Filters!$B$4,
 I269&gt;=Filters!$B$5,
 OR(Filters!$B$6="All",B269=Filters!$B$6),
 F269&gt;=Filters!$B$7,
 F269&lt;=Filters!$B$8,
 OR(Filters!$B$9="All",G269=Filters!$B$9)
)</f>
        <v>0</v>
      </c>
      <c r="AE269">
        <f t="shared" si="52"/>
        <v>6</v>
      </c>
      <c r="AF269">
        <f t="shared" si="53"/>
        <v>7</v>
      </c>
      <c r="AG269">
        <f t="shared" si="54"/>
        <v>7</v>
      </c>
      <c r="AH269" s="9" t="str">
        <f t="shared" si="55"/>
        <v/>
      </c>
      <c r="AI269" s="9" t="str">
        <f t="shared" si="56"/>
        <v/>
      </c>
      <c r="AJ269" s="9" t="str">
        <f t="shared" si="57"/>
        <v/>
      </c>
      <c r="AK269" s="9" t="str">
        <f t="shared" si="58"/>
        <v/>
      </c>
      <c r="AL269" s="9" t="str">
        <f t="shared" si="59"/>
        <v/>
      </c>
      <c r="AM269" s="9" t="str">
        <f t="shared" si="60"/>
        <v/>
      </c>
      <c r="AN269" s="9" t="str">
        <f t="shared" si="61"/>
        <v/>
      </c>
      <c r="AO269" s="9" t="str">
        <f t="shared" si="62"/>
        <v/>
      </c>
      <c r="AP269" s="9" t="str">
        <f t="shared" si="63"/>
        <v/>
      </c>
      <c r="AQ269" s="10" t="str">
        <f t="shared" si="64"/>
        <v/>
      </c>
    </row>
    <row r="270" spans="1:43">
      <c r="A270">
        <v>269</v>
      </c>
      <c r="B270" t="s">
        <v>26</v>
      </c>
      <c r="C270" t="s">
        <v>350</v>
      </c>
      <c r="D270" t="s">
        <v>351</v>
      </c>
      <c r="E270" t="s">
        <v>97</v>
      </c>
      <c r="G270" t="s">
        <v>18</v>
      </c>
      <c r="H270" s="4">
        <v>27486000</v>
      </c>
      <c r="I270" s="5">
        <v>0</v>
      </c>
      <c r="J270" s="5">
        <v>1024</v>
      </c>
      <c r="K270" s="5">
        <v>8</v>
      </c>
      <c r="L270">
        <v>7.6</v>
      </c>
      <c r="M270">
        <v>6.5</v>
      </c>
      <c r="N270">
        <v>5.83</v>
      </c>
      <c r="O270" s="6">
        <v>17.3</v>
      </c>
      <c r="P270" s="7">
        <v>2.5</v>
      </c>
      <c r="U270" t="s">
        <v>84</v>
      </c>
      <c r="V270" t="s">
        <v>121</v>
      </c>
      <c r="W270">
        <v>1.8</v>
      </c>
      <c r="X270" t="s">
        <v>122</v>
      </c>
      <c r="Y270" t="s">
        <v>183</v>
      </c>
      <c r="Z270" t="s">
        <v>146</v>
      </c>
      <c r="AA270" t="s">
        <v>101</v>
      </c>
      <c r="AB270" t="s">
        <v>115</v>
      </c>
      <c r="AC270">
        <v>1018</v>
      </c>
      <c r="AD270" s="8" t="b">
        <f>AND(
 H270&gt;=Filters!$B$3,
 H270&lt;=Filters!$B$4,
 I270&gt;=Filters!$B$5,
 OR(Filters!$B$6="All",B270=Filters!$B$6),
 F270&gt;=Filters!$B$7,
 F270&lt;=Filters!$B$8,
 OR(Filters!$B$9="All",G270=Filters!$B$9)
)</f>
        <v>0</v>
      </c>
      <c r="AE270">
        <f t="shared" si="52"/>
        <v>6</v>
      </c>
      <c r="AF270">
        <f t="shared" si="53"/>
        <v>7</v>
      </c>
      <c r="AG270">
        <f t="shared" si="54"/>
        <v>7</v>
      </c>
      <c r="AH270" s="9" t="str">
        <f t="shared" si="55"/>
        <v/>
      </c>
      <c r="AI270" s="9" t="str">
        <f t="shared" si="56"/>
        <v/>
      </c>
      <c r="AJ270" s="9" t="str">
        <f t="shared" si="57"/>
        <v/>
      </c>
      <c r="AK270" s="9" t="str">
        <f t="shared" si="58"/>
        <v/>
      </c>
      <c r="AL270" s="9" t="str">
        <f t="shared" si="59"/>
        <v/>
      </c>
      <c r="AM270" s="9" t="str">
        <f t="shared" si="60"/>
        <v/>
      </c>
      <c r="AN270" s="9" t="str">
        <f t="shared" si="61"/>
        <v/>
      </c>
      <c r="AO270" s="9" t="str">
        <f t="shared" si="62"/>
        <v/>
      </c>
      <c r="AP270" s="9" t="str">
        <f t="shared" si="63"/>
        <v/>
      </c>
      <c r="AQ270" s="10" t="str">
        <f t="shared" si="64"/>
        <v/>
      </c>
    </row>
    <row r="271" spans="1:43">
      <c r="A271">
        <v>270</v>
      </c>
      <c r="B271" t="s">
        <v>29</v>
      </c>
      <c r="C271" t="s">
        <v>543</v>
      </c>
      <c r="D271" t="s">
        <v>544</v>
      </c>
      <c r="E271" t="s">
        <v>97</v>
      </c>
      <c r="G271" t="s">
        <v>18</v>
      </c>
      <c r="H271" s="4">
        <v>23760000</v>
      </c>
      <c r="I271" s="5">
        <v>256</v>
      </c>
      <c r="J271" s="5">
        <v>0</v>
      </c>
      <c r="K271" s="5">
        <v>8</v>
      </c>
      <c r="L271">
        <v>7.6</v>
      </c>
      <c r="M271">
        <v>3.8</v>
      </c>
      <c r="N271">
        <v>5.92</v>
      </c>
      <c r="O271" s="6">
        <v>15.6</v>
      </c>
      <c r="P271" s="7">
        <v>2.0499999999999998</v>
      </c>
      <c r="U271" t="s">
        <v>84</v>
      </c>
      <c r="V271" t="s">
        <v>121</v>
      </c>
      <c r="W271">
        <v>1.8</v>
      </c>
      <c r="X271" t="s">
        <v>84</v>
      </c>
      <c r="Y271" t="s">
        <v>127</v>
      </c>
      <c r="Z271" t="s">
        <v>100</v>
      </c>
      <c r="AA271" t="s">
        <v>101</v>
      </c>
      <c r="AB271" t="s">
        <v>115</v>
      </c>
      <c r="AC271">
        <v>880</v>
      </c>
      <c r="AD271" s="8" t="b">
        <f>AND(
 H271&gt;=Filters!$B$3,
 H271&lt;=Filters!$B$4,
 I271&gt;=Filters!$B$5,
 OR(Filters!$B$6="All",B271=Filters!$B$6),
 F271&gt;=Filters!$B$7,
 F271&lt;=Filters!$B$8,
 OR(Filters!$B$9="All",G271=Filters!$B$9)
)</f>
        <v>1</v>
      </c>
      <c r="AE271">
        <f t="shared" si="52"/>
        <v>6</v>
      </c>
      <c r="AF271">
        <f t="shared" si="53"/>
        <v>7</v>
      </c>
      <c r="AG271">
        <f t="shared" si="54"/>
        <v>7</v>
      </c>
      <c r="AH271" s="9">
        <f t="shared" si="55"/>
        <v>0.76190476190476186</v>
      </c>
      <c r="AI271" s="9">
        <f t="shared" si="56"/>
        <v>0.80952380952380942</v>
      </c>
      <c r="AJ271" s="9">
        <f t="shared" si="57"/>
        <v>0.30952380952380948</v>
      </c>
      <c r="AK271" s="9">
        <f t="shared" si="58"/>
        <v>0.56190476190476191</v>
      </c>
      <c r="AL271" s="9">
        <f t="shared" si="59"/>
        <v>0.89880952380952372</v>
      </c>
      <c r="AM271" s="9">
        <f t="shared" si="60"/>
        <v>0.5714285714285714</v>
      </c>
      <c r="AN271" s="9">
        <f t="shared" si="61"/>
        <v>0.69047619047619047</v>
      </c>
      <c r="AO271" s="9">
        <f t="shared" si="62"/>
        <v>0.69047619047619047</v>
      </c>
      <c r="AP271" s="9">
        <f t="shared" si="63"/>
        <v>0.68529444708022969</v>
      </c>
      <c r="AQ271" s="10">
        <f t="shared" si="64"/>
        <v>0.68529471808022968</v>
      </c>
    </row>
    <row r="272" spans="1:43">
      <c r="A272">
        <v>271</v>
      </c>
      <c r="B272" t="s">
        <v>19</v>
      </c>
      <c r="C272" t="s">
        <v>81</v>
      </c>
      <c r="D272" t="s">
        <v>82</v>
      </c>
      <c r="E272" t="s">
        <v>83</v>
      </c>
      <c r="G272" t="s">
        <v>18</v>
      </c>
      <c r="H272" s="4">
        <v>52890300</v>
      </c>
      <c r="I272" s="5">
        <v>512</v>
      </c>
      <c r="J272" s="5">
        <v>0</v>
      </c>
      <c r="K272" s="5">
        <v>8</v>
      </c>
      <c r="L272">
        <v>7.8</v>
      </c>
      <c r="M272">
        <v>4.2</v>
      </c>
      <c r="N272">
        <v>8.76</v>
      </c>
      <c r="O272" s="6">
        <v>13.3</v>
      </c>
      <c r="P272" s="7">
        <v>1.37</v>
      </c>
      <c r="U272" t="s">
        <v>84</v>
      </c>
      <c r="V272" t="s">
        <v>85</v>
      </c>
      <c r="W272">
        <v>2.9</v>
      </c>
      <c r="X272" t="s">
        <v>84</v>
      </c>
      <c r="Y272" t="s">
        <v>545</v>
      </c>
      <c r="Z272" t="s">
        <v>106</v>
      </c>
      <c r="AA272" t="s">
        <v>88</v>
      </c>
      <c r="AB272" t="s">
        <v>89</v>
      </c>
      <c r="AC272">
        <v>1958.9</v>
      </c>
      <c r="AD272" s="8" t="b">
        <f>AND(
 H272&gt;=Filters!$B$3,
 H272&lt;=Filters!$B$4,
 I272&gt;=Filters!$B$5,
 OR(Filters!$B$6="All",B272=Filters!$B$6),
 F272&gt;=Filters!$B$7,
 F272&lt;=Filters!$B$8,
 OR(Filters!$B$9="All",G272=Filters!$B$9)
)</f>
        <v>0</v>
      </c>
      <c r="AE272">
        <f t="shared" si="52"/>
        <v>6</v>
      </c>
      <c r="AF272">
        <f t="shared" si="53"/>
        <v>7</v>
      </c>
      <c r="AG272">
        <f t="shared" si="54"/>
        <v>7</v>
      </c>
      <c r="AH272" s="9" t="str">
        <f t="shared" si="55"/>
        <v/>
      </c>
      <c r="AI272" s="9" t="str">
        <f t="shared" si="56"/>
        <v/>
      </c>
      <c r="AJ272" s="9" t="str">
        <f t="shared" si="57"/>
        <v/>
      </c>
      <c r="AK272" s="9" t="str">
        <f t="shared" si="58"/>
        <v/>
      </c>
      <c r="AL272" s="9" t="str">
        <f t="shared" si="59"/>
        <v/>
      </c>
      <c r="AM272" s="9" t="str">
        <f t="shared" si="60"/>
        <v/>
      </c>
      <c r="AN272" s="9" t="str">
        <f t="shared" si="61"/>
        <v/>
      </c>
      <c r="AO272" s="9" t="str">
        <f t="shared" si="62"/>
        <v/>
      </c>
      <c r="AP272" s="9" t="str">
        <f t="shared" si="63"/>
        <v/>
      </c>
      <c r="AQ272" s="10" t="str">
        <f t="shared" si="64"/>
        <v/>
      </c>
    </row>
    <row r="273" spans="1:43">
      <c r="A273">
        <v>272</v>
      </c>
      <c r="B273" t="s">
        <v>21</v>
      </c>
      <c r="C273" t="s">
        <v>223</v>
      </c>
      <c r="D273" t="s">
        <v>224</v>
      </c>
      <c r="E273" t="s">
        <v>158</v>
      </c>
      <c r="G273" t="s">
        <v>18</v>
      </c>
      <c r="H273" s="4">
        <v>41823000</v>
      </c>
      <c r="I273" s="5">
        <v>256</v>
      </c>
      <c r="J273" s="5">
        <v>1024</v>
      </c>
      <c r="K273" s="5">
        <v>16</v>
      </c>
      <c r="L273">
        <v>7</v>
      </c>
      <c r="M273">
        <v>8</v>
      </c>
      <c r="N273">
        <v>5.83</v>
      </c>
      <c r="O273" s="6">
        <v>17.3</v>
      </c>
      <c r="P273" s="7">
        <v>3.2</v>
      </c>
      <c r="U273" t="s">
        <v>104</v>
      </c>
      <c r="V273" t="s">
        <v>225</v>
      </c>
      <c r="W273">
        <v>3</v>
      </c>
      <c r="X273" t="s">
        <v>104</v>
      </c>
      <c r="Y273" t="s">
        <v>226</v>
      </c>
      <c r="Z273" t="s">
        <v>212</v>
      </c>
      <c r="AA273" t="s">
        <v>101</v>
      </c>
      <c r="AB273" t="s">
        <v>115</v>
      </c>
      <c r="AC273">
        <v>1549</v>
      </c>
      <c r="AD273" s="8" t="b">
        <f>AND(
 H273&gt;=Filters!$B$3,
 H273&lt;=Filters!$B$4,
 I273&gt;=Filters!$B$5,
 OR(Filters!$B$6="All",B273=Filters!$B$6),
 F273&gt;=Filters!$B$7,
 F273&lt;=Filters!$B$8,
 OR(Filters!$B$9="All",G273=Filters!$B$9)
)</f>
        <v>0</v>
      </c>
      <c r="AE273">
        <f t="shared" si="52"/>
        <v>6</v>
      </c>
      <c r="AF273">
        <f t="shared" si="53"/>
        <v>7</v>
      </c>
      <c r="AG273">
        <f t="shared" si="54"/>
        <v>7</v>
      </c>
      <c r="AH273" s="9" t="str">
        <f t="shared" si="55"/>
        <v/>
      </c>
      <c r="AI273" s="9" t="str">
        <f t="shared" si="56"/>
        <v/>
      </c>
      <c r="AJ273" s="9" t="str">
        <f t="shared" si="57"/>
        <v/>
      </c>
      <c r="AK273" s="9" t="str">
        <f t="shared" si="58"/>
        <v/>
      </c>
      <c r="AL273" s="9" t="str">
        <f t="shared" si="59"/>
        <v/>
      </c>
      <c r="AM273" s="9" t="str">
        <f t="shared" si="60"/>
        <v/>
      </c>
      <c r="AN273" s="9" t="str">
        <f t="shared" si="61"/>
        <v/>
      </c>
      <c r="AO273" s="9" t="str">
        <f t="shared" si="62"/>
        <v/>
      </c>
      <c r="AP273" s="9" t="str">
        <f t="shared" si="63"/>
        <v/>
      </c>
      <c r="AQ273" s="10" t="str">
        <f t="shared" si="64"/>
        <v/>
      </c>
    </row>
    <row r="274" spans="1:43">
      <c r="A274">
        <v>273</v>
      </c>
      <c r="B274" t="s">
        <v>23</v>
      </c>
      <c r="C274" t="s">
        <v>239</v>
      </c>
      <c r="D274" t="s">
        <v>240</v>
      </c>
      <c r="E274" t="s">
        <v>97</v>
      </c>
      <c r="G274" t="s">
        <v>18</v>
      </c>
      <c r="H274" s="4">
        <v>19846890</v>
      </c>
      <c r="I274" s="5">
        <v>256</v>
      </c>
      <c r="J274" s="5">
        <v>0</v>
      </c>
      <c r="K274" s="5">
        <v>8</v>
      </c>
      <c r="L274">
        <v>7.6</v>
      </c>
      <c r="M274">
        <v>6.5</v>
      </c>
      <c r="N274">
        <v>5.92</v>
      </c>
      <c r="O274" s="6">
        <v>15.6</v>
      </c>
      <c r="P274" s="7">
        <v>2.14</v>
      </c>
      <c r="U274" t="s">
        <v>84</v>
      </c>
      <c r="V274" t="s">
        <v>121</v>
      </c>
      <c r="W274">
        <v>1.8</v>
      </c>
      <c r="X274" t="s">
        <v>104</v>
      </c>
      <c r="Y274" t="s">
        <v>241</v>
      </c>
      <c r="Z274" t="s">
        <v>100</v>
      </c>
      <c r="AA274" t="s">
        <v>101</v>
      </c>
      <c r="AB274" t="s">
        <v>201</v>
      </c>
      <c r="AC274">
        <v>735.07</v>
      </c>
      <c r="AD274" s="8" t="b">
        <f>AND(
 H274&gt;=Filters!$B$3,
 H274&lt;=Filters!$B$4,
 I274&gt;=Filters!$B$5,
 OR(Filters!$B$6="All",B274=Filters!$B$6),
 F274&gt;=Filters!$B$7,
 F274&lt;=Filters!$B$8,
 OR(Filters!$B$9="All",G274=Filters!$B$9)
)</f>
        <v>1</v>
      </c>
      <c r="AE274">
        <f t="shared" si="52"/>
        <v>6</v>
      </c>
      <c r="AF274">
        <f t="shared" si="53"/>
        <v>7</v>
      </c>
      <c r="AG274">
        <f t="shared" si="54"/>
        <v>7</v>
      </c>
      <c r="AH274" s="9">
        <f t="shared" si="55"/>
        <v>0.76190476190476186</v>
      </c>
      <c r="AI274" s="9">
        <f t="shared" si="56"/>
        <v>0.80952380952380942</v>
      </c>
      <c r="AJ274" s="9">
        <f t="shared" si="57"/>
        <v>0.63095238095238093</v>
      </c>
      <c r="AK274" s="9">
        <f t="shared" si="58"/>
        <v>0.56190476190476191</v>
      </c>
      <c r="AL274" s="9">
        <f t="shared" si="59"/>
        <v>0.88809523809523794</v>
      </c>
      <c r="AM274" s="9">
        <f t="shared" si="60"/>
        <v>0.5714285714285714</v>
      </c>
      <c r="AN274" s="9">
        <f t="shared" si="61"/>
        <v>0.69047619047619047</v>
      </c>
      <c r="AO274" s="9">
        <f t="shared" si="62"/>
        <v>0.69047619047619047</v>
      </c>
      <c r="AP274" s="9">
        <f t="shared" si="63"/>
        <v>0.70588780387339123</v>
      </c>
      <c r="AQ274" s="10">
        <f t="shared" si="64"/>
        <v>0.70588807787339125</v>
      </c>
    </row>
    <row r="275" spans="1:43">
      <c r="A275">
        <v>274</v>
      </c>
      <c r="B275" t="s">
        <v>29</v>
      </c>
      <c r="C275" t="s">
        <v>546</v>
      </c>
      <c r="D275" t="s">
        <v>547</v>
      </c>
      <c r="E275" t="s">
        <v>168</v>
      </c>
      <c r="G275" t="s">
        <v>18</v>
      </c>
      <c r="H275" s="4">
        <v>67473000</v>
      </c>
      <c r="I275" s="5">
        <v>512</v>
      </c>
      <c r="J275" s="5">
        <v>0</v>
      </c>
      <c r="K275" s="5">
        <v>16</v>
      </c>
      <c r="L275">
        <v>9.1999999999999993</v>
      </c>
      <c r="M275">
        <v>3.5</v>
      </c>
      <c r="N275">
        <v>7.3</v>
      </c>
      <c r="O275" s="6">
        <v>14</v>
      </c>
      <c r="P275" s="7">
        <v>1.36</v>
      </c>
      <c r="U275" t="s">
        <v>84</v>
      </c>
      <c r="V275" t="s">
        <v>548</v>
      </c>
      <c r="W275">
        <v>2.6</v>
      </c>
      <c r="X275" t="s">
        <v>84</v>
      </c>
      <c r="Y275" t="s">
        <v>130</v>
      </c>
      <c r="Z275" t="s">
        <v>106</v>
      </c>
      <c r="AA275" t="s">
        <v>446</v>
      </c>
      <c r="AB275" t="s">
        <v>115</v>
      </c>
      <c r="AC275">
        <v>2499</v>
      </c>
      <c r="AD275" s="8" t="b">
        <f>AND(
 H275&gt;=Filters!$B$3,
 H275&lt;=Filters!$B$4,
 I275&gt;=Filters!$B$5,
 OR(Filters!$B$6="All",B275=Filters!$B$6),
 F275&gt;=Filters!$B$7,
 F275&lt;=Filters!$B$8,
 OR(Filters!$B$9="All",G275=Filters!$B$9)
)</f>
        <v>0</v>
      </c>
      <c r="AE275">
        <f t="shared" si="52"/>
        <v>6</v>
      </c>
      <c r="AF275">
        <f t="shared" si="53"/>
        <v>7</v>
      </c>
      <c r="AG275">
        <f t="shared" si="54"/>
        <v>7</v>
      </c>
      <c r="AH275" s="9" t="str">
        <f t="shared" si="55"/>
        <v/>
      </c>
      <c r="AI275" s="9" t="str">
        <f t="shared" si="56"/>
        <v/>
      </c>
      <c r="AJ275" s="9" t="str">
        <f t="shared" si="57"/>
        <v/>
      </c>
      <c r="AK275" s="9" t="str">
        <f t="shared" si="58"/>
        <v/>
      </c>
      <c r="AL275" s="9" t="str">
        <f t="shared" si="59"/>
        <v/>
      </c>
      <c r="AM275" s="9" t="str">
        <f t="shared" si="60"/>
        <v/>
      </c>
      <c r="AN275" s="9" t="str">
        <f t="shared" si="61"/>
        <v/>
      </c>
      <c r="AO275" s="9" t="str">
        <f t="shared" si="62"/>
        <v/>
      </c>
      <c r="AP275" s="9" t="str">
        <f t="shared" si="63"/>
        <v/>
      </c>
      <c r="AQ275" s="10" t="str">
        <f t="shared" si="64"/>
        <v/>
      </c>
    </row>
    <row r="276" spans="1:43">
      <c r="A276">
        <v>275</v>
      </c>
      <c r="B276" t="s">
        <v>35</v>
      </c>
      <c r="C276" t="s">
        <v>373</v>
      </c>
      <c r="D276" t="s">
        <v>374</v>
      </c>
      <c r="E276" t="s">
        <v>97</v>
      </c>
      <c r="G276" t="s">
        <v>18</v>
      </c>
      <c r="H276" s="4">
        <v>21924000</v>
      </c>
      <c r="I276" s="5">
        <v>0</v>
      </c>
      <c r="J276" s="5">
        <v>500</v>
      </c>
      <c r="K276" s="5">
        <v>8</v>
      </c>
      <c r="L276">
        <v>9</v>
      </c>
      <c r="M276">
        <v>8.5</v>
      </c>
      <c r="N276">
        <v>3.92</v>
      </c>
      <c r="O276" s="6">
        <v>15.6</v>
      </c>
      <c r="P276" s="7">
        <v>2.2000000000000002</v>
      </c>
      <c r="U276" t="s">
        <v>84</v>
      </c>
      <c r="V276" t="s">
        <v>485</v>
      </c>
      <c r="W276">
        <v>2.5</v>
      </c>
      <c r="X276" t="s">
        <v>122</v>
      </c>
      <c r="Y276" t="s">
        <v>549</v>
      </c>
      <c r="Z276" t="s">
        <v>113</v>
      </c>
      <c r="AA276" t="s">
        <v>114</v>
      </c>
      <c r="AB276" t="s">
        <v>115</v>
      </c>
      <c r="AC276">
        <v>812</v>
      </c>
      <c r="AD276" s="8" t="b">
        <f>AND(
 H276&gt;=Filters!$B$3,
 H276&lt;=Filters!$B$4,
 I276&gt;=Filters!$B$5,
 OR(Filters!$B$6="All",B276=Filters!$B$6),
 F276&gt;=Filters!$B$7,
 F276&lt;=Filters!$B$8,
 OR(Filters!$B$9="All",G276=Filters!$B$9)
)</f>
        <v>0</v>
      </c>
      <c r="AE276">
        <f t="shared" si="52"/>
        <v>6</v>
      </c>
      <c r="AF276">
        <f t="shared" si="53"/>
        <v>7</v>
      </c>
      <c r="AG276">
        <f t="shared" si="54"/>
        <v>7</v>
      </c>
      <c r="AH276" s="9" t="str">
        <f t="shared" si="55"/>
        <v/>
      </c>
      <c r="AI276" s="9" t="str">
        <f t="shared" si="56"/>
        <v/>
      </c>
      <c r="AJ276" s="9" t="str">
        <f t="shared" si="57"/>
        <v/>
      </c>
      <c r="AK276" s="9" t="str">
        <f t="shared" si="58"/>
        <v/>
      </c>
      <c r="AL276" s="9" t="str">
        <f t="shared" si="59"/>
        <v/>
      </c>
      <c r="AM276" s="9" t="str">
        <f t="shared" si="60"/>
        <v/>
      </c>
      <c r="AN276" s="9" t="str">
        <f t="shared" si="61"/>
        <v/>
      </c>
      <c r="AO276" s="9" t="str">
        <f t="shared" si="62"/>
        <v/>
      </c>
      <c r="AP276" s="9" t="str">
        <f t="shared" si="63"/>
        <v/>
      </c>
      <c r="AQ276" s="10" t="str">
        <f t="shared" si="64"/>
        <v/>
      </c>
    </row>
    <row r="277" spans="1:43">
      <c r="A277">
        <v>276</v>
      </c>
      <c r="B277" t="s">
        <v>23</v>
      </c>
      <c r="C277" t="s">
        <v>356</v>
      </c>
      <c r="D277" t="s">
        <v>357</v>
      </c>
      <c r="E277" t="s">
        <v>97</v>
      </c>
      <c r="G277" t="s">
        <v>18</v>
      </c>
      <c r="H277" s="4">
        <v>19252890</v>
      </c>
      <c r="I277" s="5">
        <v>0</v>
      </c>
      <c r="J277" s="5">
        <v>1024</v>
      </c>
      <c r="K277" s="5">
        <v>12</v>
      </c>
      <c r="L277">
        <v>9.4</v>
      </c>
      <c r="M277">
        <v>3.5</v>
      </c>
      <c r="N277">
        <v>3.92</v>
      </c>
      <c r="O277" s="6">
        <v>15.6</v>
      </c>
      <c r="P277" s="7">
        <v>2.2999999999999998</v>
      </c>
      <c r="U277" t="s">
        <v>84</v>
      </c>
      <c r="V277" t="s">
        <v>140</v>
      </c>
      <c r="W277">
        <v>2.7</v>
      </c>
      <c r="X277" t="s">
        <v>84</v>
      </c>
      <c r="Y277" t="s">
        <v>99</v>
      </c>
      <c r="Z277" t="s">
        <v>146</v>
      </c>
      <c r="AA277" t="s">
        <v>114</v>
      </c>
      <c r="AB277" t="s">
        <v>115</v>
      </c>
      <c r="AC277">
        <v>713.07</v>
      </c>
      <c r="AD277" s="8" t="b">
        <f>AND(
 H277&gt;=Filters!$B$3,
 H277&lt;=Filters!$B$4,
 I277&gt;=Filters!$B$5,
 OR(Filters!$B$6="All",B277=Filters!$B$6),
 F277&gt;=Filters!$B$7,
 F277&lt;=Filters!$B$8,
 OR(Filters!$B$9="All",G277=Filters!$B$9)
)</f>
        <v>0</v>
      </c>
      <c r="AE277">
        <f t="shared" si="52"/>
        <v>6</v>
      </c>
      <c r="AF277">
        <f t="shared" si="53"/>
        <v>7</v>
      </c>
      <c r="AG277">
        <f t="shared" si="54"/>
        <v>7</v>
      </c>
      <c r="AH277" s="9" t="str">
        <f t="shared" si="55"/>
        <v/>
      </c>
      <c r="AI277" s="9" t="str">
        <f t="shared" si="56"/>
        <v/>
      </c>
      <c r="AJ277" s="9" t="str">
        <f t="shared" si="57"/>
        <v/>
      </c>
      <c r="AK277" s="9" t="str">
        <f t="shared" si="58"/>
        <v/>
      </c>
      <c r="AL277" s="9" t="str">
        <f t="shared" si="59"/>
        <v/>
      </c>
      <c r="AM277" s="9" t="str">
        <f t="shared" si="60"/>
        <v/>
      </c>
      <c r="AN277" s="9" t="str">
        <f t="shared" si="61"/>
        <v/>
      </c>
      <c r="AO277" s="9" t="str">
        <f t="shared" si="62"/>
        <v/>
      </c>
      <c r="AP277" s="9" t="str">
        <f t="shared" si="63"/>
        <v/>
      </c>
      <c r="AQ277" s="10" t="str">
        <f t="shared" si="64"/>
        <v/>
      </c>
    </row>
    <row r="278" spans="1:43">
      <c r="A278">
        <v>277</v>
      </c>
      <c r="B278" t="s">
        <v>23</v>
      </c>
      <c r="C278" t="s">
        <v>202</v>
      </c>
      <c r="D278" t="s">
        <v>203</v>
      </c>
      <c r="E278" t="s">
        <v>97</v>
      </c>
      <c r="G278" t="s">
        <v>18</v>
      </c>
      <c r="H278" s="4">
        <v>29673000</v>
      </c>
      <c r="I278" s="5">
        <v>128</v>
      </c>
      <c r="J278" s="5">
        <v>1024</v>
      </c>
      <c r="K278" s="5">
        <v>8</v>
      </c>
      <c r="L278">
        <v>7.6</v>
      </c>
      <c r="M278">
        <v>6.5</v>
      </c>
      <c r="N278">
        <v>5.83</v>
      </c>
      <c r="O278" s="6">
        <v>17.3</v>
      </c>
      <c r="P278" s="7">
        <v>2.8</v>
      </c>
      <c r="U278" t="s">
        <v>84</v>
      </c>
      <c r="V278" t="s">
        <v>121</v>
      </c>
      <c r="W278">
        <v>1.8</v>
      </c>
      <c r="X278" t="s">
        <v>104</v>
      </c>
      <c r="Y278" t="s">
        <v>176</v>
      </c>
      <c r="Z278" t="s">
        <v>161</v>
      </c>
      <c r="AA278" t="s">
        <v>101</v>
      </c>
      <c r="AB278" t="s">
        <v>201</v>
      </c>
      <c r="AC278">
        <v>1099</v>
      </c>
      <c r="AD278" s="8" t="b">
        <f>AND(
 H278&gt;=Filters!$B$3,
 H278&lt;=Filters!$B$4,
 I278&gt;=Filters!$B$5,
 OR(Filters!$B$6="All",B278=Filters!$B$6),
 F278&gt;=Filters!$B$7,
 F278&lt;=Filters!$B$8,
 OR(Filters!$B$9="All",G278=Filters!$B$9)
)</f>
        <v>0</v>
      </c>
      <c r="AE278">
        <f t="shared" si="52"/>
        <v>6</v>
      </c>
      <c r="AF278">
        <f t="shared" si="53"/>
        <v>7</v>
      </c>
      <c r="AG278">
        <f t="shared" si="54"/>
        <v>7</v>
      </c>
      <c r="AH278" s="9" t="str">
        <f t="shared" si="55"/>
        <v/>
      </c>
      <c r="AI278" s="9" t="str">
        <f t="shared" si="56"/>
        <v/>
      </c>
      <c r="AJ278" s="9" t="str">
        <f t="shared" si="57"/>
        <v/>
      </c>
      <c r="AK278" s="9" t="str">
        <f t="shared" si="58"/>
        <v/>
      </c>
      <c r="AL278" s="9" t="str">
        <f t="shared" si="59"/>
        <v/>
      </c>
      <c r="AM278" s="9" t="str">
        <f t="shared" si="60"/>
        <v/>
      </c>
      <c r="AN278" s="9" t="str">
        <f t="shared" si="61"/>
        <v/>
      </c>
      <c r="AO278" s="9" t="str">
        <f t="shared" si="62"/>
        <v/>
      </c>
      <c r="AP278" s="9" t="str">
        <f t="shared" si="63"/>
        <v/>
      </c>
      <c r="AQ278" s="10" t="str">
        <f t="shared" si="64"/>
        <v/>
      </c>
    </row>
    <row r="279" spans="1:43">
      <c r="A279">
        <v>278</v>
      </c>
      <c r="B279" t="s">
        <v>17</v>
      </c>
      <c r="C279" t="s">
        <v>215</v>
      </c>
      <c r="D279" t="s">
        <v>216</v>
      </c>
      <c r="E279" t="s">
        <v>97</v>
      </c>
      <c r="G279" t="s">
        <v>18</v>
      </c>
      <c r="H279" s="4">
        <v>20115000</v>
      </c>
      <c r="I279" s="5">
        <v>0</v>
      </c>
      <c r="J279" s="5">
        <v>1024</v>
      </c>
      <c r="K279" s="5">
        <v>8</v>
      </c>
      <c r="L279">
        <v>7.6</v>
      </c>
      <c r="M279">
        <v>6.5</v>
      </c>
      <c r="N279">
        <v>6.32</v>
      </c>
      <c r="O279" s="6">
        <v>15.6</v>
      </c>
      <c r="P279" s="7">
        <v>2.2000000000000002</v>
      </c>
      <c r="U279" t="s">
        <v>84</v>
      </c>
      <c r="V279" t="s">
        <v>121</v>
      </c>
      <c r="W279">
        <v>1.8</v>
      </c>
      <c r="X279" t="s">
        <v>122</v>
      </c>
      <c r="Y279" t="s">
        <v>286</v>
      </c>
      <c r="Z279" t="s">
        <v>146</v>
      </c>
      <c r="AA279" t="s">
        <v>128</v>
      </c>
      <c r="AB279" t="s">
        <v>115</v>
      </c>
      <c r="AC279">
        <v>745</v>
      </c>
      <c r="AD279" s="8" t="b">
        <f>AND(
 H279&gt;=Filters!$B$3,
 H279&lt;=Filters!$B$4,
 I279&gt;=Filters!$B$5,
 OR(Filters!$B$6="All",B279=Filters!$B$6),
 F279&gt;=Filters!$B$7,
 F279&lt;=Filters!$B$8,
 OR(Filters!$B$9="All",G279=Filters!$B$9)
)</f>
        <v>0</v>
      </c>
      <c r="AE279">
        <f t="shared" si="52"/>
        <v>6</v>
      </c>
      <c r="AF279">
        <f t="shared" si="53"/>
        <v>7</v>
      </c>
      <c r="AG279">
        <f t="shared" si="54"/>
        <v>7</v>
      </c>
      <c r="AH279" s="9" t="str">
        <f t="shared" si="55"/>
        <v/>
      </c>
      <c r="AI279" s="9" t="str">
        <f t="shared" si="56"/>
        <v/>
      </c>
      <c r="AJ279" s="9" t="str">
        <f t="shared" si="57"/>
        <v/>
      </c>
      <c r="AK279" s="9" t="str">
        <f t="shared" si="58"/>
        <v/>
      </c>
      <c r="AL279" s="9" t="str">
        <f t="shared" si="59"/>
        <v/>
      </c>
      <c r="AM279" s="9" t="str">
        <f t="shared" si="60"/>
        <v/>
      </c>
      <c r="AN279" s="9" t="str">
        <f t="shared" si="61"/>
        <v/>
      </c>
      <c r="AO279" s="9" t="str">
        <f t="shared" si="62"/>
        <v/>
      </c>
      <c r="AP279" s="9" t="str">
        <f t="shared" si="63"/>
        <v/>
      </c>
      <c r="AQ279" s="10" t="str">
        <f t="shared" si="64"/>
        <v/>
      </c>
    </row>
    <row r="280" spans="1:43">
      <c r="A280">
        <v>279</v>
      </c>
      <c r="B280" t="s">
        <v>29</v>
      </c>
      <c r="C280" t="s">
        <v>550</v>
      </c>
      <c r="D280" t="s">
        <v>551</v>
      </c>
      <c r="E280" t="s">
        <v>97</v>
      </c>
      <c r="G280" t="s">
        <v>18</v>
      </c>
      <c r="H280" s="4">
        <v>13203000</v>
      </c>
      <c r="I280" s="5">
        <v>0</v>
      </c>
      <c r="J280" s="5">
        <v>1024</v>
      </c>
      <c r="K280" s="5">
        <v>4</v>
      </c>
      <c r="L280">
        <v>4</v>
      </c>
      <c r="M280">
        <v>3.5</v>
      </c>
      <c r="N280">
        <v>5.83</v>
      </c>
      <c r="O280" s="6">
        <v>17.3</v>
      </c>
      <c r="P280" s="7">
        <v>2.8</v>
      </c>
      <c r="U280" t="s">
        <v>84</v>
      </c>
      <c r="V280" t="s">
        <v>129</v>
      </c>
      <c r="W280">
        <v>2</v>
      </c>
      <c r="X280" t="s">
        <v>84</v>
      </c>
      <c r="Y280" t="s">
        <v>130</v>
      </c>
      <c r="Z280" t="s">
        <v>146</v>
      </c>
      <c r="AA280" t="s">
        <v>452</v>
      </c>
      <c r="AB280" t="s">
        <v>115</v>
      </c>
      <c r="AC280">
        <v>489</v>
      </c>
      <c r="AD280" s="8" t="b">
        <f>AND(
 H280&gt;=Filters!$B$3,
 H280&lt;=Filters!$B$4,
 I280&gt;=Filters!$B$5,
 OR(Filters!$B$6="All",B280=Filters!$B$6),
 F280&gt;=Filters!$B$7,
 F280&lt;=Filters!$B$8,
 OR(Filters!$B$9="All",G280=Filters!$B$9)
)</f>
        <v>0</v>
      </c>
      <c r="AE280">
        <f t="shared" si="52"/>
        <v>6</v>
      </c>
      <c r="AF280">
        <f t="shared" si="53"/>
        <v>7</v>
      </c>
      <c r="AG280">
        <f t="shared" si="54"/>
        <v>7</v>
      </c>
      <c r="AH280" s="9" t="str">
        <f t="shared" si="55"/>
        <v/>
      </c>
      <c r="AI280" s="9" t="str">
        <f t="shared" si="56"/>
        <v/>
      </c>
      <c r="AJ280" s="9" t="str">
        <f t="shared" si="57"/>
        <v/>
      </c>
      <c r="AK280" s="9" t="str">
        <f t="shared" si="58"/>
        <v/>
      </c>
      <c r="AL280" s="9" t="str">
        <f t="shared" si="59"/>
        <v/>
      </c>
      <c r="AM280" s="9" t="str">
        <f t="shared" si="60"/>
        <v/>
      </c>
      <c r="AN280" s="9" t="str">
        <f t="shared" si="61"/>
        <v/>
      </c>
      <c r="AO280" s="9" t="str">
        <f t="shared" si="62"/>
        <v/>
      </c>
      <c r="AP280" s="9" t="str">
        <f t="shared" si="63"/>
        <v/>
      </c>
      <c r="AQ280" s="10" t="str">
        <f t="shared" si="64"/>
        <v/>
      </c>
    </row>
    <row r="281" spans="1:43">
      <c r="A281">
        <v>280</v>
      </c>
      <c r="B281" t="s">
        <v>29</v>
      </c>
      <c r="C281" t="s">
        <v>450</v>
      </c>
      <c r="D281" t="s">
        <v>451</v>
      </c>
      <c r="E281" t="s">
        <v>97</v>
      </c>
      <c r="G281" t="s">
        <v>18</v>
      </c>
      <c r="H281" s="4">
        <v>22923000</v>
      </c>
      <c r="I281" s="5">
        <v>0</v>
      </c>
      <c r="J281" s="5">
        <v>2048</v>
      </c>
      <c r="K281" s="5">
        <v>8</v>
      </c>
      <c r="L281">
        <v>7.6</v>
      </c>
      <c r="M281">
        <v>6.5</v>
      </c>
      <c r="N281">
        <v>5.83</v>
      </c>
      <c r="O281" s="6">
        <v>17.3</v>
      </c>
      <c r="P281" s="7">
        <v>2.8</v>
      </c>
      <c r="U281" t="s">
        <v>84</v>
      </c>
      <c r="V281" t="s">
        <v>121</v>
      </c>
      <c r="W281">
        <v>1.8</v>
      </c>
      <c r="X281" t="s">
        <v>122</v>
      </c>
      <c r="Y281" t="s">
        <v>123</v>
      </c>
      <c r="Z281" t="s">
        <v>283</v>
      </c>
      <c r="AA281" t="s">
        <v>101</v>
      </c>
      <c r="AB281" t="s">
        <v>102</v>
      </c>
      <c r="AC281">
        <v>849</v>
      </c>
      <c r="AD281" s="8" t="b">
        <f>AND(
 H281&gt;=Filters!$B$3,
 H281&lt;=Filters!$B$4,
 I281&gt;=Filters!$B$5,
 OR(Filters!$B$6="All",B281=Filters!$B$6),
 F281&gt;=Filters!$B$7,
 F281&lt;=Filters!$B$8,
 OR(Filters!$B$9="All",G281=Filters!$B$9)
)</f>
        <v>0</v>
      </c>
      <c r="AE281">
        <f t="shared" si="52"/>
        <v>6</v>
      </c>
      <c r="AF281">
        <f t="shared" si="53"/>
        <v>7</v>
      </c>
      <c r="AG281">
        <f t="shared" si="54"/>
        <v>7</v>
      </c>
      <c r="AH281" s="9" t="str">
        <f t="shared" si="55"/>
        <v/>
      </c>
      <c r="AI281" s="9" t="str">
        <f t="shared" si="56"/>
        <v/>
      </c>
      <c r="AJ281" s="9" t="str">
        <f t="shared" si="57"/>
        <v/>
      </c>
      <c r="AK281" s="9" t="str">
        <f t="shared" si="58"/>
        <v/>
      </c>
      <c r="AL281" s="9" t="str">
        <f t="shared" si="59"/>
        <v/>
      </c>
      <c r="AM281" s="9" t="str">
        <f t="shared" si="60"/>
        <v/>
      </c>
      <c r="AN281" s="9" t="str">
        <f t="shared" si="61"/>
        <v/>
      </c>
      <c r="AO281" s="9" t="str">
        <f t="shared" si="62"/>
        <v/>
      </c>
      <c r="AP281" s="9" t="str">
        <f t="shared" si="63"/>
        <v/>
      </c>
      <c r="AQ281" s="10" t="str">
        <f t="shared" si="64"/>
        <v/>
      </c>
    </row>
    <row r="282" spans="1:43">
      <c r="A282">
        <v>281</v>
      </c>
      <c r="B282" t="s">
        <v>29</v>
      </c>
      <c r="C282" t="s">
        <v>479</v>
      </c>
      <c r="D282" t="s">
        <v>480</v>
      </c>
      <c r="E282" t="s">
        <v>97</v>
      </c>
      <c r="G282" t="s">
        <v>18</v>
      </c>
      <c r="H282" s="4">
        <v>23193000</v>
      </c>
      <c r="I282" s="5">
        <v>128</v>
      </c>
      <c r="J282" s="5">
        <v>1024</v>
      </c>
      <c r="K282" s="5">
        <v>6</v>
      </c>
      <c r="L282">
        <v>9.4</v>
      </c>
      <c r="M282">
        <v>6.5</v>
      </c>
      <c r="N282">
        <v>5.83</v>
      </c>
      <c r="O282" s="6">
        <v>17.3</v>
      </c>
      <c r="P282" s="7">
        <v>2.8</v>
      </c>
      <c r="U282" t="s">
        <v>84</v>
      </c>
      <c r="V282" t="s">
        <v>140</v>
      </c>
      <c r="W282">
        <v>2.7</v>
      </c>
      <c r="X282" t="s">
        <v>122</v>
      </c>
      <c r="Y282" t="s">
        <v>145</v>
      </c>
      <c r="Z282" t="s">
        <v>161</v>
      </c>
      <c r="AA282" t="s">
        <v>452</v>
      </c>
      <c r="AB282" t="s">
        <v>115</v>
      </c>
      <c r="AC282">
        <v>859</v>
      </c>
      <c r="AD282" s="8" t="b">
        <f>AND(
 H282&gt;=Filters!$B$3,
 H282&lt;=Filters!$B$4,
 I282&gt;=Filters!$B$5,
 OR(Filters!$B$6="All",B282=Filters!$B$6),
 F282&gt;=Filters!$B$7,
 F282&lt;=Filters!$B$8,
 OR(Filters!$B$9="All",G282=Filters!$B$9)
)</f>
        <v>0</v>
      </c>
      <c r="AE282">
        <f t="shared" si="52"/>
        <v>6</v>
      </c>
      <c r="AF282">
        <f t="shared" si="53"/>
        <v>7</v>
      </c>
      <c r="AG282">
        <f t="shared" si="54"/>
        <v>7</v>
      </c>
      <c r="AH282" s="9" t="str">
        <f t="shared" si="55"/>
        <v/>
      </c>
      <c r="AI282" s="9" t="str">
        <f t="shared" si="56"/>
        <v/>
      </c>
      <c r="AJ282" s="9" t="str">
        <f t="shared" si="57"/>
        <v/>
      </c>
      <c r="AK282" s="9" t="str">
        <f t="shared" si="58"/>
        <v/>
      </c>
      <c r="AL282" s="9" t="str">
        <f t="shared" si="59"/>
        <v/>
      </c>
      <c r="AM282" s="9" t="str">
        <f t="shared" si="60"/>
        <v/>
      </c>
      <c r="AN282" s="9" t="str">
        <f t="shared" si="61"/>
        <v/>
      </c>
      <c r="AO282" s="9" t="str">
        <f t="shared" si="62"/>
        <v/>
      </c>
      <c r="AP282" s="9" t="str">
        <f t="shared" si="63"/>
        <v/>
      </c>
      <c r="AQ282" s="10" t="str">
        <f t="shared" si="64"/>
        <v/>
      </c>
    </row>
    <row r="283" spans="1:43">
      <c r="A283">
        <v>282</v>
      </c>
      <c r="B283" t="s">
        <v>23</v>
      </c>
      <c r="C283" t="s">
        <v>132</v>
      </c>
      <c r="D283" t="s">
        <v>133</v>
      </c>
      <c r="E283" t="s">
        <v>97</v>
      </c>
      <c r="G283" t="s">
        <v>18</v>
      </c>
      <c r="H283" s="4">
        <v>11556000</v>
      </c>
      <c r="I283" s="5">
        <v>0</v>
      </c>
      <c r="J283" s="5">
        <v>1024</v>
      </c>
      <c r="K283" s="5">
        <v>4</v>
      </c>
      <c r="L283">
        <v>4</v>
      </c>
      <c r="M283">
        <v>6.5</v>
      </c>
      <c r="N283">
        <v>5.92</v>
      </c>
      <c r="O283" s="6">
        <v>15.6</v>
      </c>
      <c r="P283" s="7">
        <v>2.25</v>
      </c>
      <c r="U283" t="s">
        <v>84</v>
      </c>
      <c r="V283" t="s">
        <v>129</v>
      </c>
      <c r="W283">
        <v>2</v>
      </c>
      <c r="X283" t="s">
        <v>104</v>
      </c>
      <c r="Y283" t="s">
        <v>134</v>
      </c>
      <c r="Z283" t="s">
        <v>146</v>
      </c>
      <c r="AA283" t="s">
        <v>101</v>
      </c>
      <c r="AB283" t="s">
        <v>201</v>
      </c>
      <c r="AC283">
        <v>428</v>
      </c>
      <c r="AD283" s="8" t="b">
        <f>AND(
 H283&gt;=Filters!$B$3,
 H283&lt;=Filters!$B$4,
 I283&gt;=Filters!$B$5,
 OR(Filters!$B$6="All",B283=Filters!$B$6),
 F283&gt;=Filters!$B$7,
 F283&lt;=Filters!$B$8,
 OR(Filters!$B$9="All",G283=Filters!$B$9)
)</f>
        <v>0</v>
      </c>
      <c r="AE283">
        <f t="shared" si="52"/>
        <v>6</v>
      </c>
      <c r="AF283">
        <f t="shared" si="53"/>
        <v>7</v>
      </c>
      <c r="AG283">
        <f t="shared" si="54"/>
        <v>7</v>
      </c>
      <c r="AH283" s="9" t="str">
        <f t="shared" si="55"/>
        <v/>
      </c>
      <c r="AI283" s="9" t="str">
        <f t="shared" si="56"/>
        <v/>
      </c>
      <c r="AJ283" s="9" t="str">
        <f t="shared" si="57"/>
        <v/>
      </c>
      <c r="AK283" s="9" t="str">
        <f t="shared" si="58"/>
        <v/>
      </c>
      <c r="AL283" s="9" t="str">
        <f t="shared" si="59"/>
        <v/>
      </c>
      <c r="AM283" s="9" t="str">
        <f t="shared" si="60"/>
        <v/>
      </c>
      <c r="AN283" s="9" t="str">
        <f t="shared" si="61"/>
        <v/>
      </c>
      <c r="AO283" s="9" t="str">
        <f t="shared" si="62"/>
        <v/>
      </c>
      <c r="AP283" s="9" t="str">
        <f t="shared" si="63"/>
        <v/>
      </c>
      <c r="AQ283" s="10" t="str">
        <f t="shared" si="64"/>
        <v/>
      </c>
    </row>
    <row r="284" spans="1:43">
      <c r="A284">
        <v>283</v>
      </c>
      <c r="B284" t="s">
        <v>29</v>
      </c>
      <c r="C284" t="s">
        <v>156</v>
      </c>
      <c r="D284" t="s">
        <v>157</v>
      </c>
      <c r="E284" t="s">
        <v>158</v>
      </c>
      <c r="G284" t="s">
        <v>18</v>
      </c>
      <c r="H284" s="4">
        <v>22383000</v>
      </c>
      <c r="I284" s="5">
        <v>256</v>
      </c>
      <c r="J284" s="5">
        <v>0</v>
      </c>
      <c r="K284" s="5">
        <v>8</v>
      </c>
      <c r="L284">
        <v>7</v>
      </c>
      <c r="M284">
        <v>9.1999999999999993</v>
      </c>
      <c r="N284">
        <v>6.32</v>
      </c>
      <c r="O284" s="6">
        <v>15.6</v>
      </c>
      <c r="P284" s="7">
        <v>2.5</v>
      </c>
      <c r="U284" t="s">
        <v>84</v>
      </c>
      <c r="V284" t="s">
        <v>159</v>
      </c>
      <c r="W284">
        <v>2.5</v>
      </c>
      <c r="X284" t="s">
        <v>122</v>
      </c>
      <c r="Y284" t="s">
        <v>160</v>
      </c>
      <c r="Z284" t="s">
        <v>100</v>
      </c>
      <c r="AA284" t="s">
        <v>128</v>
      </c>
      <c r="AB284" t="s">
        <v>115</v>
      </c>
      <c r="AC284">
        <v>829</v>
      </c>
      <c r="AD284" s="8" t="b">
        <f>AND(
 H284&gt;=Filters!$B$3,
 H284&lt;=Filters!$B$4,
 I284&gt;=Filters!$B$5,
 OR(Filters!$B$6="All",B284=Filters!$B$6),
 F284&gt;=Filters!$B$7,
 F284&lt;=Filters!$B$8,
 OR(Filters!$B$9="All",G284=Filters!$B$9)
)</f>
        <v>1</v>
      </c>
      <c r="AE284">
        <f t="shared" si="52"/>
        <v>6</v>
      </c>
      <c r="AF284">
        <f t="shared" si="53"/>
        <v>7</v>
      </c>
      <c r="AG284">
        <f t="shared" si="54"/>
        <v>7</v>
      </c>
      <c r="AH284" s="9">
        <f t="shared" si="55"/>
        <v>0.69047619047619047</v>
      </c>
      <c r="AI284" s="9">
        <f t="shared" si="56"/>
        <v>0.80952380952380942</v>
      </c>
      <c r="AJ284" s="9">
        <f t="shared" si="57"/>
        <v>0.95238095238095222</v>
      </c>
      <c r="AK284" s="9">
        <f t="shared" si="58"/>
        <v>0.60952380952380947</v>
      </c>
      <c r="AL284" s="9">
        <f t="shared" si="59"/>
        <v>0.84523809523809512</v>
      </c>
      <c r="AM284" s="9">
        <f t="shared" si="60"/>
        <v>0.5714285714285714</v>
      </c>
      <c r="AN284" s="9">
        <f t="shared" si="61"/>
        <v>0.69047619047619047</v>
      </c>
      <c r="AO284" s="9">
        <f t="shared" si="62"/>
        <v>0.69047619047619047</v>
      </c>
      <c r="AP284" s="9">
        <f t="shared" si="63"/>
        <v>0.71384816338060264</v>
      </c>
      <c r="AQ284" s="10">
        <f t="shared" si="64"/>
        <v>0.7138484473806026</v>
      </c>
    </row>
    <row r="285" spans="1:43">
      <c r="A285">
        <v>284</v>
      </c>
      <c r="B285" t="s">
        <v>29</v>
      </c>
      <c r="C285" t="s">
        <v>552</v>
      </c>
      <c r="D285" t="s">
        <v>553</v>
      </c>
      <c r="E285" t="s">
        <v>97</v>
      </c>
      <c r="G285" t="s">
        <v>18</v>
      </c>
      <c r="H285" s="4">
        <v>15633000</v>
      </c>
      <c r="I285" s="5">
        <v>256</v>
      </c>
      <c r="J285" s="5">
        <v>0</v>
      </c>
      <c r="K285" s="5">
        <v>6</v>
      </c>
      <c r="L285">
        <v>7</v>
      </c>
      <c r="M285">
        <v>3.5</v>
      </c>
      <c r="N285">
        <v>5.92</v>
      </c>
      <c r="O285" s="6">
        <v>15.6</v>
      </c>
      <c r="P285" s="7">
        <v>2.2000000000000002</v>
      </c>
      <c r="U285" t="s">
        <v>84</v>
      </c>
      <c r="V285" t="s">
        <v>98</v>
      </c>
      <c r="W285">
        <v>2.5</v>
      </c>
      <c r="X285" t="s">
        <v>84</v>
      </c>
      <c r="Y285" t="s">
        <v>99</v>
      </c>
      <c r="Z285" t="s">
        <v>100</v>
      </c>
      <c r="AA285" t="s">
        <v>101</v>
      </c>
      <c r="AB285" t="s">
        <v>115</v>
      </c>
      <c r="AC285">
        <v>579</v>
      </c>
      <c r="AD285" s="8" t="b">
        <f>AND(
 H285&gt;=Filters!$B$3,
 H285&lt;=Filters!$B$4,
 I285&gt;=Filters!$B$5,
 OR(Filters!$B$6="All",B285=Filters!$B$6),
 F285&gt;=Filters!$B$7,
 F285&lt;=Filters!$B$8,
 OR(Filters!$B$9="All",G285=Filters!$B$9)
)</f>
        <v>1</v>
      </c>
      <c r="AE285">
        <f t="shared" si="52"/>
        <v>6</v>
      </c>
      <c r="AF285">
        <f t="shared" si="53"/>
        <v>7</v>
      </c>
      <c r="AG285">
        <f t="shared" si="54"/>
        <v>7</v>
      </c>
      <c r="AH285" s="9">
        <f t="shared" si="55"/>
        <v>0.69047619047619047</v>
      </c>
      <c r="AI285" s="9">
        <f t="shared" si="56"/>
        <v>0.5714285714285714</v>
      </c>
      <c r="AJ285" s="9">
        <f t="shared" si="57"/>
        <v>0.27380952380952378</v>
      </c>
      <c r="AK285" s="9">
        <f t="shared" si="58"/>
        <v>0.56190476190476191</v>
      </c>
      <c r="AL285" s="9">
        <f t="shared" si="59"/>
        <v>0.88095238095238082</v>
      </c>
      <c r="AM285" s="9">
        <f t="shared" si="60"/>
        <v>0.5714285714285714</v>
      </c>
      <c r="AN285" s="9">
        <f t="shared" si="61"/>
        <v>0.69047619047619047</v>
      </c>
      <c r="AO285" s="9">
        <f t="shared" si="62"/>
        <v>0.69047619047619047</v>
      </c>
      <c r="AP285" s="9">
        <f t="shared" si="63"/>
        <v>0.62376640700734221</v>
      </c>
      <c r="AQ285" s="10">
        <f t="shared" si="64"/>
        <v>0.62376669200734225</v>
      </c>
    </row>
    <row r="286" spans="1:43">
      <c r="A286">
        <v>285</v>
      </c>
      <c r="B286" t="s">
        <v>17</v>
      </c>
      <c r="C286" t="s">
        <v>412</v>
      </c>
      <c r="D286" t="s">
        <v>413</v>
      </c>
      <c r="E286" t="s">
        <v>97</v>
      </c>
      <c r="G286" t="s">
        <v>18</v>
      </c>
      <c r="H286" s="4">
        <v>25677000</v>
      </c>
      <c r="I286" s="5">
        <v>256</v>
      </c>
      <c r="J286" s="5">
        <v>0</v>
      </c>
      <c r="K286" s="5">
        <v>8</v>
      </c>
      <c r="L286">
        <v>7.6</v>
      </c>
      <c r="M286">
        <v>6.5</v>
      </c>
      <c r="N286">
        <v>6.32</v>
      </c>
      <c r="O286" s="6">
        <v>15.6</v>
      </c>
      <c r="P286" s="7">
        <v>3</v>
      </c>
      <c r="U286" t="s">
        <v>84</v>
      </c>
      <c r="V286" t="s">
        <v>121</v>
      </c>
      <c r="W286">
        <v>1.8</v>
      </c>
      <c r="X286" t="s">
        <v>122</v>
      </c>
      <c r="Y286" t="s">
        <v>123</v>
      </c>
      <c r="Z286" t="s">
        <v>100</v>
      </c>
      <c r="AA286" t="s">
        <v>128</v>
      </c>
      <c r="AB286" t="s">
        <v>115</v>
      </c>
      <c r="AC286">
        <v>951</v>
      </c>
      <c r="AD286" s="8" t="b">
        <f>AND(
 H286&gt;=Filters!$B$3,
 H286&lt;=Filters!$B$4,
 I286&gt;=Filters!$B$5,
 OR(Filters!$B$6="All",B286=Filters!$B$6),
 F286&gt;=Filters!$B$7,
 F286&lt;=Filters!$B$8,
 OR(Filters!$B$9="All",G286=Filters!$B$9)
)</f>
        <v>0</v>
      </c>
      <c r="AE286">
        <f t="shared" si="52"/>
        <v>6</v>
      </c>
      <c r="AF286">
        <f t="shared" si="53"/>
        <v>7</v>
      </c>
      <c r="AG286">
        <f t="shared" si="54"/>
        <v>7</v>
      </c>
      <c r="AH286" s="9" t="str">
        <f t="shared" si="55"/>
        <v/>
      </c>
      <c r="AI286" s="9" t="str">
        <f t="shared" si="56"/>
        <v/>
      </c>
      <c r="AJ286" s="9" t="str">
        <f t="shared" si="57"/>
        <v/>
      </c>
      <c r="AK286" s="9" t="str">
        <f t="shared" si="58"/>
        <v/>
      </c>
      <c r="AL286" s="9" t="str">
        <f t="shared" si="59"/>
        <v/>
      </c>
      <c r="AM286" s="9" t="str">
        <f t="shared" si="60"/>
        <v/>
      </c>
      <c r="AN286" s="9" t="str">
        <f t="shared" si="61"/>
        <v/>
      </c>
      <c r="AO286" s="9" t="str">
        <f t="shared" si="62"/>
        <v/>
      </c>
      <c r="AP286" s="9" t="str">
        <f t="shared" si="63"/>
        <v/>
      </c>
      <c r="AQ286" s="10" t="str">
        <f t="shared" si="64"/>
        <v/>
      </c>
    </row>
    <row r="287" spans="1:43">
      <c r="A287">
        <v>286</v>
      </c>
      <c r="B287" t="s">
        <v>17</v>
      </c>
      <c r="C287" t="s">
        <v>554</v>
      </c>
      <c r="D287" t="s">
        <v>555</v>
      </c>
      <c r="E287" t="s">
        <v>97</v>
      </c>
      <c r="G287" t="s">
        <v>18</v>
      </c>
      <c r="H287" s="4">
        <v>17793000</v>
      </c>
      <c r="I287" s="5">
        <v>0</v>
      </c>
      <c r="J287" s="5">
        <v>1024</v>
      </c>
      <c r="K287" s="5">
        <v>12</v>
      </c>
      <c r="L287">
        <v>9.4</v>
      </c>
      <c r="M287">
        <v>3.5</v>
      </c>
      <c r="N287">
        <v>6.62</v>
      </c>
      <c r="O287" s="6">
        <v>15.6</v>
      </c>
      <c r="P287" s="7">
        <v>2.15</v>
      </c>
      <c r="U287" t="s">
        <v>84</v>
      </c>
      <c r="V287" t="s">
        <v>140</v>
      </c>
      <c r="W287">
        <v>2.7</v>
      </c>
      <c r="X287" t="s">
        <v>84</v>
      </c>
      <c r="Y287" t="s">
        <v>99</v>
      </c>
      <c r="Z287" t="s">
        <v>146</v>
      </c>
      <c r="AA287" t="s">
        <v>149</v>
      </c>
      <c r="AB287" t="s">
        <v>115</v>
      </c>
      <c r="AC287">
        <v>659</v>
      </c>
      <c r="AD287" s="8" t="b">
        <f>AND(
 H287&gt;=Filters!$B$3,
 H287&lt;=Filters!$B$4,
 I287&gt;=Filters!$B$5,
 OR(Filters!$B$6="All",B287=Filters!$B$6),
 F287&gt;=Filters!$B$7,
 F287&lt;=Filters!$B$8,
 OR(Filters!$B$9="All",G287=Filters!$B$9)
)</f>
        <v>0</v>
      </c>
      <c r="AE287">
        <f t="shared" si="52"/>
        <v>6</v>
      </c>
      <c r="AF287">
        <f t="shared" si="53"/>
        <v>7</v>
      </c>
      <c r="AG287">
        <f t="shared" si="54"/>
        <v>7</v>
      </c>
      <c r="AH287" s="9" t="str">
        <f t="shared" si="55"/>
        <v/>
      </c>
      <c r="AI287" s="9" t="str">
        <f t="shared" si="56"/>
        <v/>
      </c>
      <c r="AJ287" s="9" t="str">
        <f t="shared" si="57"/>
        <v/>
      </c>
      <c r="AK287" s="9" t="str">
        <f t="shared" si="58"/>
        <v/>
      </c>
      <c r="AL287" s="9" t="str">
        <f t="shared" si="59"/>
        <v/>
      </c>
      <c r="AM287" s="9" t="str">
        <f t="shared" si="60"/>
        <v/>
      </c>
      <c r="AN287" s="9" t="str">
        <f t="shared" si="61"/>
        <v/>
      </c>
      <c r="AO287" s="9" t="str">
        <f t="shared" si="62"/>
        <v/>
      </c>
      <c r="AP287" s="9" t="str">
        <f t="shared" si="63"/>
        <v/>
      </c>
      <c r="AQ287" s="10" t="str">
        <f t="shared" si="64"/>
        <v/>
      </c>
    </row>
    <row r="288" spans="1:43">
      <c r="A288">
        <v>287</v>
      </c>
      <c r="B288" t="s">
        <v>29</v>
      </c>
      <c r="C288" t="s">
        <v>556</v>
      </c>
      <c r="D288" t="s">
        <v>557</v>
      </c>
      <c r="E288" t="s">
        <v>97</v>
      </c>
      <c r="G288" t="s">
        <v>18</v>
      </c>
      <c r="H288" s="4">
        <v>29619000</v>
      </c>
      <c r="I288" s="5">
        <v>256</v>
      </c>
      <c r="J288" s="5">
        <v>0</v>
      </c>
      <c r="K288" s="5">
        <v>8</v>
      </c>
      <c r="L288">
        <v>9.4</v>
      </c>
      <c r="M288">
        <v>3.5</v>
      </c>
      <c r="N288">
        <v>6.32</v>
      </c>
      <c r="O288" s="6">
        <v>15.6</v>
      </c>
      <c r="P288" s="7">
        <v>1.95</v>
      </c>
      <c r="U288" t="s">
        <v>84</v>
      </c>
      <c r="V288" t="s">
        <v>140</v>
      </c>
      <c r="W288">
        <v>2.7</v>
      </c>
      <c r="X288" t="s">
        <v>84</v>
      </c>
      <c r="Y288" t="s">
        <v>558</v>
      </c>
      <c r="Z288" t="s">
        <v>100</v>
      </c>
      <c r="AA288" t="s">
        <v>128</v>
      </c>
      <c r="AB288" t="s">
        <v>115</v>
      </c>
      <c r="AC288">
        <v>1097</v>
      </c>
      <c r="AD288" s="8" t="b">
        <f>AND(
 H288&gt;=Filters!$B$3,
 H288&lt;=Filters!$B$4,
 I288&gt;=Filters!$B$5,
 OR(Filters!$B$6="All",B288=Filters!$B$6),
 F288&gt;=Filters!$B$7,
 F288&lt;=Filters!$B$8,
 OR(Filters!$B$9="All",G288=Filters!$B$9)
)</f>
        <v>0</v>
      </c>
      <c r="AE288">
        <f t="shared" si="52"/>
        <v>6</v>
      </c>
      <c r="AF288">
        <f t="shared" si="53"/>
        <v>7</v>
      </c>
      <c r="AG288">
        <f t="shared" si="54"/>
        <v>7</v>
      </c>
      <c r="AH288" s="9" t="str">
        <f t="shared" si="55"/>
        <v/>
      </c>
      <c r="AI288" s="9" t="str">
        <f t="shared" si="56"/>
        <v/>
      </c>
      <c r="AJ288" s="9" t="str">
        <f t="shared" si="57"/>
        <v/>
      </c>
      <c r="AK288" s="9" t="str">
        <f t="shared" si="58"/>
        <v/>
      </c>
      <c r="AL288" s="9" t="str">
        <f t="shared" si="59"/>
        <v/>
      </c>
      <c r="AM288" s="9" t="str">
        <f t="shared" si="60"/>
        <v/>
      </c>
      <c r="AN288" s="9" t="str">
        <f t="shared" si="61"/>
        <v/>
      </c>
      <c r="AO288" s="9" t="str">
        <f t="shared" si="62"/>
        <v/>
      </c>
      <c r="AP288" s="9" t="str">
        <f t="shared" si="63"/>
        <v/>
      </c>
      <c r="AQ288" s="10" t="str">
        <f t="shared" si="64"/>
        <v/>
      </c>
    </row>
    <row r="289" spans="1:43">
      <c r="A289">
        <v>288</v>
      </c>
      <c r="B289" t="s">
        <v>21</v>
      </c>
      <c r="C289" t="s">
        <v>330</v>
      </c>
      <c r="D289" t="s">
        <v>331</v>
      </c>
      <c r="E289" t="s">
        <v>83</v>
      </c>
      <c r="G289" t="s">
        <v>18</v>
      </c>
      <c r="H289" s="4">
        <v>26379000</v>
      </c>
      <c r="I289" s="5">
        <v>256</v>
      </c>
      <c r="J289" s="5">
        <v>0</v>
      </c>
      <c r="K289" s="5">
        <v>8</v>
      </c>
      <c r="L289">
        <v>7</v>
      </c>
      <c r="M289">
        <v>6.5</v>
      </c>
      <c r="N289">
        <v>5.92</v>
      </c>
      <c r="O289" s="6">
        <v>15.6</v>
      </c>
      <c r="P289" s="7">
        <v>1.7</v>
      </c>
      <c r="U289" t="s">
        <v>84</v>
      </c>
      <c r="V289" t="s">
        <v>98</v>
      </c>
      <c r="W289">
        <v>2.5</v>
      </c>
      <c r="X289" t="s">
        <v>122</v>
      </c>
      <c r="Y289" t="s">
        <v>145</v>
      </c>
      <c r="Z289" t="s">
        <v>100</v>
      </c>
      <c r="AA289" t="s">
        <v>101</v>
      </c>
      <c r="AB289" t="s">
        <v>115</v>
      </c>
      <c r="AC289">
        <v>977</v>
      </c>
      <c r="AD289" s="8" t="b">
        <f>AND(
 H289&gt;=Filters!$B$3,
 H289&lt;=Filters!$B$4,
 I289&gt;=Filters!$B$5,
 OR(Filters!$B$6="All",B289=Filters!$B$6),
 F289&gt;=Filters!$B$7,
 F289&lt;=Filters!$B$8,
 OR(Filters!$B$9="All",G289=Filters!$B$9)
)</f>
        <v>0</v>
      </c>
      <c r="AE289">
        <f t="shared" si="52"/>
        <v>6</v>
      </c>
      <c r="AF289">
        <f t="shared" si="53"/>
        <v>7</v>
      </c>
      <c r="AG289">
        <f t="shared" si="54"/>
        <v>7</v>
      </c>
      <c r="AH289" s="9" t="str">
        <f t="shared" si="55"/>
        <v/>
      </c>
      <c r="AI289" s="9" t="str">
        <f t="shared" si="56"/>
        <v/>
      </c>
      <c r="AJ289" s="9" t="str">
        <f t="shared" si="57"/>
        <v/>
      </c>
      <c r="AK289" s="9" t="str">
        <f t="shared" si="58"/>
        <v/>
      </c>
      <c r="AL289" s="9" t="str">
        <f t="shared" si="59"/>
        <v/>
      </c>
      <c r="AM289" s="9" t="str">
        <f t="shared" si="60"/>
        <v/>
      </c>
      <c r="AN289" s="9" t="str">
        <f t="shared" si="61"/>
        <v/>
      </c>
      <c r="AO289" s="9" t="str">
        <f t="shared" si="62"/>
        <v/>
      </c>
      <c r="AP289" s="9" t="str">
        <f t="shared" si="63"/>
        <v/>
      </c>
      <c r="AQ289" s="10" t="str">
        <f t="shared" si="64"/>
        <v/>
      </c>
    </row>
    <row r="290" spans="1:43">
      <c r="A290">
        <v>289</v>
      </c>
      <c r="B290" t="s">
        <v>29</v>
      </c>
      <c r="C290" t="s">
        <v>156</v>
      </c>
      <c r="D290" t="s">
        <v>157</v>
      </c>
      <c r="E290" t="s">
        <v>158</v>
      </c>
      <c r="G290" t="s">
        <v>18</v>
      </c>
      <c r="H290" s="4">
        <v>31833000</v>
      </c>
      <c r="I290" s="5">
        <v>256</v>
      </c>
      <c r="J290" s="5">
        <v>1024</v>
      </c>
      <c r="K290" s="5">
        <v>16</v>
      </c>
      <c r="L290">
        <v>9.6</v>
      </c>
      <c r="M290">
        <v>9.1999999999999993</v>
      </c>
      <c r="N290">
        <v>6.32</v>
      </c>
      <c r="O290" s="6">
        <v>15.6</v>
      </c>
      <c r="P290" s="7">
        <v>2.5</v>
      </c>
      <c r="U290" t="s">
        <v>84</v>
      </c>
      <c r="V290" t="s">
        <v>210</v>
      </c>
      <c r="W290">
        <v>2.8</v>
      </c>
      <c r="X290" t="s">
        <v>122</v>
      </c>
      <c r="Y290" t="s">
        <v>260</v>
      </c>
      <c r="Z290" t="s">
        <v>212</v>
      </c>
      <c r="AA290" t="s">
        <v>128</v>
      </c>
      <c r="AB290" t="s">
        <v>115</v>
      </c>
      <c r="AC290">
        <v>1179</v>
      </c>
      <c r="AD290" s="8" t="b">
        <f>AND(
 H290&gt;=Filters!$B$3,
 H290&lt;=Filters!$B$4,
 I290&gt;=Filters!$B$5,
 OR(Filters!$B$6="All",B290=Filters!$B$6),
 F290&gt;=Filters!$B$7,
 F290&lt;=Filters!$B$8,
 OR(Filters!$B$9="All",G290=Filters!$B$9)
)</f>
        <v>0</v>
      </c>
      <c r="AE290">
        <f t="shared" si="52"/>
        <v>6</v>
      </c>
      <c r="AF290">
        <f t="shared" si="53"/>
        <v>7</v>
      </c>
      <c r="AG290">
        <f t="shared" si="54"/>
        <v>7</v>
      </c>
      <c r="AH290" s="9" t="str">
        <f t="shared" si="55"/>
        <v/>
      </c>
      <c r="AI290" s="9" t="str">
        <f t="shared" si="56"/>
        <v/>
      </c>
      <c r="AJ290" s="9" t="str">
        <f t="shared" si="57"/>
        <v/>
      </c>
      <c r="AK290" s="9" t="str">
        <f t="shared" si="58"/>
        <v/>
      </c>
      <c r="AL290" s="9" t="str">
        <f t="shared" si="59"/>
        <v/>
      </c>
      <c r="AM290" s="9" t="str">
        <f t="shared" si="60"/>
        <v/>
      </c>
      <c r="AN290" s="9" t="str">
        <f t="shared" si="61"/>
        <v/>
      </c>
      <c r="AO290" s="9" t="str">
        <f t="shared" si="62"/>
        <v/>
      </c>
      <c r="AP290" s="9" t="str">
        <f t="shared" si="63"/>
        <v/>
      </c>
      <c r="AQ290" s="10" t="str">
        <f t="shared" si="64"/>
        <v/>
      </c>
    </row>
    <row r="291" spans="1:43">
      <c r="A291">
        <v>290</v>
      </c>
      <c r="B291" t="s">
        <v>29</v>
      </c>
      <c r="C291" t="s">
        <v>142</v>
      </c>
      <c r="D291" t="s">
        <v>143</v>
      </c>
      <c r="E291" t="s">
        <v>97</v>
      </c>
      <c r="G291" t="s">
        <v>18</v>
      </c>
      <c r="H291" s="4">
        <v>17793270</v>
      </c>
      <c r="I291" s="5">
        <v>0</v>
      </c>
      <c r="J291" s="5">
        <v>1024</v>
      </c>
      <c r="K291" s="5">
        <v>8</v>
      </c>
      <c r="L291">
        <v>9.4</v>
      </c>
      <c r="M291">
        <v>6.5</v>
      </c>
      <c r="N291">
        <v>5.92</v>
      </c>
      <c r="O291" s="6">
        <v>15.6</v>
      </c>
      <c r="P291" s="7">
        <v>2.2000000000000002</v>
      </c>
      <c r="U291" t="s">
        <v>84</v>
      </c>
      <c r="V291" t="s">
        <v>140</v>
      </c>
      <c r="W291">
        <v>2.7</v>
      </c>
      <c r="X291" t="s">
        <v>122</v>
      </c>
      <c r="Y291" t="s">
        <v>145</v>
      </c>
      <c r="Z291" t="s">
        <v>146</v>
      </c>
      <c r="AA291" t="s">
        <v>101</v>
      </c>
      <c r="AB291" t="s">
        <v>102</v>
      </c>
      <c r="AC291">
        <v>659.01</v>
      </c>
      <c r="AD291" s="8" t="b">
        <f>AND(
 H291&gt;=Filters!$B$3,
 H291&lt;=Filters!$B$4,
 I291&gt;=Filters!$B$5,
 OR(Filters!$B$6="All",B291=Filters!$B$6),
 F291&gt;=Filters!$B$7,
 F291&lt;=Filters!$B$8,
 OR(Filters!$B$9="All",G291=Filters!$B$9)
)</f>
        <v>0</v>
      </c>
      <c r="AE291">
        <f t="shared" si="52"/>
        <v>6</v>
      </c>
      <c r="AF291">
        <f t="shared" si="53"/>
        <v>7</v>
      </c>
      <c r="AG291">
        <f t="shared" si="54"/>
        <v>7</v>
      </c>
      <c r="AH291" s="9" t="str">
        <f t="shared" si="55"/>
        <v/>
      </c>
      <c r="AI291" s="9" t="str">
        <f t="shared" si="56"/>
        <v/>
      </c>
      <c r="AJ291" s="9" t="str">
        <f t="shared" si="57"/>
        <v/>
      </c>
      <c r="AK291" s="9" t="str">
        <f t="shared" si="58"/>
        <v/>
      </c>
      <c r="AL291" s="9" t="str">
        <f t="shared" si="59"/>
        <v/>
      </c>
      <c r="AM291" s="9" t="str">
        <f t="shared" si="60"/>
        <v/>
      </c>
      <c r="AN291" s="9" t="str">
        <f t="shared" si="61"/>
        <v/>
      </c>
      <c r="AO291" s="9" t="str">
        <f t="shared" si="62"/>
        <v/>
      </c>
      <c r="AP291" s="9" t="str">
        <f t="shared" si="63"/>
        <v/>
      </c>
      <c r="AQ291" s="10" t="str">
        <f t="shared" si="64"/>
        <v/>
      </c>
    </row>
    <row r="292" spans="1:43">
      <c r="A292">
        <v>291</v>
      </c>
      <c r="B292" t="s">
        <v>17</v>
      </c>
      <c r="C292" t="s">
        <v>559</v>
      </c>
      <c r="D292" t="s">
        <v>560</v>
      </c>
      <c r="E292" t="s">
        <v>97</v>
      </c>
      <c r="G292" t="s">
        <v>18</v>
      </c>
      <c r="H292" s="4">
        <v>5373000</v>
      </c>
      <c r="I292" s="5">
        <v>16</v>
      </c>
      <c r="J292" s="5">
        <v>0</v>
      </c>
      <c r="K292" s="5">
        <v>2</v>
      </c>
      <c r="L292">
        <v>1</v>
      </c>
      <c r="M292">
        <v>3.5</v>
      </c>
      <c r="N292">
        <v>3.92</v>
      </c>
      <c r="O292" s="6">
        <v>15.6</v>
      </c>
      <c r="P292" s="7">
        <v>2.19</v>
      </c>
      <c r="U292" t="s">
        <v>84</v>
      </c>
      <c r="V292" t="s">
        <v>561</v>
      </c>
      <c r="W292">
        <v>1.5</v>
      </c>
      <c r="X292" t="s">
        <v>84</v>
      </c>
      <c r="Y292" t="s">
        <v>187</v>
      </c>
      <c r="Z292" t="s">
        <v>562</v>
      </c>
      <c r="AA292" t="s">
        <v>114</v>
      </c>
      <c r="AB292" t="s">
        <v>563</v>
      </c>
      <c r="AC292">
        <v>199</v>
      </c>
      <c r="AD292" s="8" t="b">
        <f>AND(
 H292&gt;=Filters!$B$3,
 H292&lt;=Filters!$B$4,
 I292&gt;=Filters!$B$5,
 OR(Filters!$B$6="All",B292=Filters!$B$6),
 F292&gt;=Filters!$B$7,
 F292&lt;=Filters!$B$8,
 OR(Filters!$B$9="All",G292=Filters!$B$9)
)</f>
        <v>0</v>
      </c>
      <c r="AE292">
        <f t="shared" si="52"/>
        <v>6</v>
      </c>
      <c r="AF292">
        <f t="shared" si="53"/>
        <v>7</v>
      </c>
      <c r="AG292">
        <f t="shared" si="54"/>
        <v>7</v>
      </c>
      <c r="AH292" s="9" t="str">
        <f t="shared" si="55"/>
        <v/>
      </c>
      <c r="AI292" s="9" t="str">
        <f t="shared" si="56"/>
        <v/>
      </c>
      <c r="AJ292" s="9" t="str">
        <f t="shared" si="57"/>
        <v/>
      </c>
      <c r="AK292" s="9" t="str">
        <f t="shared" si="58"/>
        <v/>
      </c>
      <c r="AL292" s="9" t="str">
        <f t="shared" si="59"/>
        <v/>
      </c>
      <c r="AM292" s="9" t="str">
        <f t="shared" si="60"/>
        <v/>
      </c>
      <c r="AN292" s="9" t="str">
        <f t="shared" si="61"/>
        <v/>
      </c>
      <c r="AO292" s="9" t="str">
        <f t="shared" si="62"/>
        <v/>
      </c>
      <c r="AP292" s="9" t="str">
        <f t="shared" si="63"/>
        <v/>
      </c>
      <c r="AQ292" s="10" t="str">
        <f t="shared" si="64"/>
        <v/>
      </c>
    </row>
    <row r="293" spans="1:43">
      <c r="A293">
        <v>292</v>
      </c>
      <c r="B293" t="s">
        <v>21</v>
      </c>
      <c r="C293" t="s">
        <v>564</v>
      </c>
      <c r="D293" t="s">
        <v>565</v>
      </c>
      <c r="E293" t="s">
        <v>158</v>
      </c>
      <c r="G293" t="s">
        <v>18</v>
      </c>
      <c r="H293" s="4">
        <v>32049000</v>
      </c>
      <c r="I293" s="5">
        <v>0</v>
      </c>
      <c r="J293" s="5">
        <v>1024</v>
      </c>
      <c r="K293" s="5">
        <v>8</v>
      </c>
      <c r="L293">
        <v>9.6</v>
      </c>
      <c r="M293">
        <v>9.1999999999999993</v>
      </c>
      <c r="N293">
        <v>5.83</v>
      </c>
      <c r="O293" s="6">
        <v>17.3</v>
      </c>
      <c r="P293" s="7">
        <v>3</v>
      </c>
      <c r="U293" t="s">
        <v>84</v>
      </c>
      <c r="V293" t="s">
        <v>210</v>
      </c>
      <c r="W293">
        <v>2.8</v>
      </c>
      <c r="X293" t="s">
        <v>122</v>
      </c>
      <c r="Y293" t="s">
        <v>160</v>
      </c>
      <c r="Z293" t="s">
        <v>146</v>
      </c>
      <c r="AA293" t="s">
        <v>101</v>
      </c>
      <c r="AB293" t="s">
        <v>115</v>
      </c>
      <c r="AC293">
        <v>1187</v>
      </c>
      <c r="AD293" s="8" t="b">
        <f>AND(
 H293&gt;=Filters!$B$3,
 H293&lt;=Filters!$B$4,
 I293&gt;=Filters!$B$5,
 OR(Filters!$B$6="All",B293=Filters!$B$6),
 F293&gt;=Filters!$B$7,
 F293&lt;=Filters!$B$8,
 OR(Filters!$B$9="All",G293=Filters!$B$9)
)</f>
        <v>0</v>
      </c>
      <c r="AE293">
        <f t="shared" si="52"/>
        <v>6</v>
      </c>
      <c r="AF293">
        <f t="shared" si="53"/>
        <v>7</v>
      </c>
      <c r="AG293">
        <f t="shared" si="54"/>
        <v>7</v>
      </c>
      <c r="AH293" s="9" t="str">
        <f t="shared" si="55"/>
        <v/>
      </c>
      <c r="AI293" s="9" t="str">
        <f t="shared" si="56"/>
        <v/>
      </c>
      <c r="AJ293" s="9" t="str">
        <f t="shared" si="57"/>
        <v/>
      </c>
      <c r="AK293" s="9" t="str">
        <f t="shared" si="58"/>
        <v/>
      </c>
      <c r="AL293" s="9" t="str">
        <f t="shared" si="59"/>
        <v/>
      </c>
      <c r="AM293" s="9" t="str">
        <f t="shared" si="60"/>
        <v/>
      </c>
      <c r="AN293" s="9" t="str">
        <f t="shared" si="61"/>
        <v/>
      </c>
      <c r="AO293" s="9" t="str">
        <f t="shared" si="62"/>
        <v/>
      </c>
      <c r="AP293" s="9" t="str">
        <f t="shared" si="63"/>
        <v/>
      </c>
      <c r="AQ293" s="10" t="str">
        <f t="shared" si="64"/>
        <v/>
      </c>
    </row>
    <row r="294" spans="1:43">
      <c r="A294">
        <v>293</v>
      </c>
      <c r="B294" t="s">
        <v>26</v>
      </c>
      <c r="C294" t="s">
        <v>566</v>
      </c>
      <c r="D294" t="s">
        <v>567</v>
      </c>
      <c r="E294" t="s">
        <v>97</v>
      </c>
      <c r="G294" t="s">
        <v>18</v>
      </c>
      <c r="H294" s="4">
        <v>13203000</v>
      </c>
      <c r="I294" s="5">
        <v>0</v>
      </c>
      <c r="J294" s="5">
        <v>1024</v>
      </c>
      <c r="K294" s="5">
        <v>8</v>
      </c>
      <c r="L294">
        <v>4</v>
      </c>
      <c r="M294">
        <v>3.5</v>
      </c>
      <c r="N294">
        <v>5.83</v>
      </c>
      <c r="O294" s="6">
        <v>17.3</v>
      </c>
      <c r="P294" s="7">
        <v>2.54</v>
      </c>
      <c r="U294" t="s">
        <v>84</v>
      </c>
      <c r="V294" t="s">
        <v>129</v>
      </c>
      <c r="W294">
        <v>2</v>
      </c>
      <c r="X294" t="s">
        <v>84</v>
      </c>
      <c r="Y294" t="s">
        <v>130</v>
      </c>
      <c r="Z294" t="s">
        <v>146</v>
      </c>
      <c r="AA294" t="s">
        <v>452</v>
      </c>
      <c r="AB294" t="s">
        <v>115</v>
      </c>
      <c r="AC294">
        <v>489</v>
      </c>
      <c r="AD294" s="8" t="b">
        <f>AND(
 H294&gt;=Filters!$B$3,
 H294&lt;=Filters!$B$4,
 I294&gt;=Filters!$B$5,
 OR(Filters!$B$6="All",B294=Filters!$B$6),
 F294&gt;=Filters!$B$7,
 F294&lt;=Filters!$B$8,
 OR(Filters!$B$9="All",G294=Filters!$B$9)
)</f>
        <v>0</v>
      </c>
      <c r="AE294">
        <f t="shared" si="52"/>
        <v>6</v>
      </c>
      <c r="AF294">
        <f t="shared" si="53"/>
        <v>7</v>
      </c>
      <c r="AG294">
        <f t="shared" si="54"/>
        <v>7</v>
      </c>
      <c r="AH294" s="9" t="str">
        <f t="shared" si="55"/>
        <v/>
      </c>
      <c r="AI294" s="9" t="str">
        <f t="shared" si="56"/>
        <v/>
      </c>
      <c r="AJ294" s="9" t="str">
        <f t="shared" si="57"/>
        <v/>
      </c>
      <c r="AK294" s="9" t="str">
        <f t="shared" si="58"/>
        <v/>
      </c>
      <c r="AL294" s="9" t="str">
        <f t="shared" si="59"/>
        <v/>
      </c>
      <c r="AM294" s="9" t="str">
        <f t="shared" si="60"/>
        <v/>
      </c>
      <c r="AN294" s="9" t="str">
        <f t="shared" si="61"/>
        <v/>
      </c>
      <c r="AO294" s="9" t="str">
        <f t="shared" si="62"/>
        <v/>
      </c>
      <c r="AP294" s="9" t="str">
        <f t="shared" si="63"/>
        <v/>
      </c>
      <c r="AQ294" s="10" t="str">
        <f t="shared" si="64"/>
        <v/>
      </c>
    </row>
    <row r="295" spans="1:43">
      <c r="A295">
        <v>294</v>
      </c>
      <c r="B295" t="s">
        <v>23</v>
      </c>
      <c r="C295" t="s">
        <v>437</v>
      </c>
      <c r="D295" t="s">
        <v>438</v>
      </c>
      <c r="E295" t="s">
        <v>97</v>
      </c>
      <c r="G295" t="s">
        <v>18</v>
      </c>
      <c r="H295" s="4">
        <v>49383000</v>
      </c>
      <c r="I295" s="5">
        <v>256</v>
      </c>
      <c r="J295" s="5">
        <v>0</v>
      </c>
      <c r="K295" s="5">
        <v>8</v>
      </c>
      <c r="L295">
        <v>9.6</v>
      </c>
      <c r="M295">
        <v>9.1999999999999993</v>
      </c>
      <c r="N295">
        <v>5.92</v>
      </c>
      <c r="O295" s="6">
        <v>15.6</v>
      </c>
      <c r="P295" s="7">
        <v>2</v>
      </c>
      <c r="U295" t="s">
        <v>84</v>
      </c>
      <c r="V295" t="s">
        <v>210</v>
      </c>
      <c r="W295">
        <v>2.8</v>
      </c>
      <c r="X295" t="s">
        <v>122</v>
      </c>
      <c r="Y295" t="s">
        <v>160</v>
      </c>
      <c r="Z295" t="s">
        <v>100</v>
      </c>
      <c r="AA295" t="s">
        <v>101</v>
      </c>
      <c r="AB295" t="s">
        <v>115</v>
      </c>
      <c r="AC295">
        <v>1829</v>
      </c>
      <c r="AD295" s="8" t="b">
        <f>AND(
 H295&gt;=Filters!$B$3,
 H295&lt;=Filters!$B$4,
 I295&gt;=Filters!$B$5,
 OR(Filters!$B$6="All",B295=Filters!$B$6),
 F295&gt;=Filters!$B$7,
 F295&lt;=Filters!$B$8,
 OR(Filters!$B$9="All",G295=Filters!$B$9)
)</f>
        <v>0</v>
      </c>
      <c r="AE295">
        <f t="shared" si="52"/>
        <v>6</v>
      </c>
      <c r="AF295">
        <f t="shared" si="53"/>
        <v>7</v>
      </c>
      <c r="AG295">
        <f t="shared" si="54"/>
        <v>7</v>
      </c>
      <c r="AH295" s="9" t="str">
        <f t="shared" si="55"/>
        <v/>
      </c>
      <c r="AI295" s="9" t="str">
        <f t="shared" si="56"/>
        <v/>
      </c>
      <c r="AJ295" s="9" t="str">
        <f t="shared" si="57"/>
        <v/>
      </c>
      <c r="AK295" s="9" t="str">
        <f t="shared" si="58"/>
        <v/>
      </c>
      <c r="AL295" s="9" t="str">
        <f t="shared" si="59"/>
        <v/>
      </c>
      <c r="AM295" s="9" t="str">
        <f t="shared" si="60"/>
        <v/>
      </c>
      <c r="AN295" s="9" t="str">
        <f t="shared" si="61"/>
        <v/>
      </c>
      <c r="AO295" s="9" t="str">
        <f t="shared" si="62"/>
        <v/>
      </c>
      <c r="AP295" s="9" t="str">
        <f t="shared" si="63"/>
        <v/>
      </c>
      <c r="AQ295" s="10" t="str">
        <f t="shared" si="64"/>
        <v/>
      </c>
    </row>
    <row r="296" spans="1:43">
      <c r="A296">
        <v>295</v>
      </c>
      <c r="B296" t="s">
        <v>29</v>
      </c>
      <c r="C296" t="s">
        <v>568</v>
      </c>
      <c r="D296" t="s">
        <v>569</v>
      </c>
      <c r="E296" t="s">
        <v>97</v>
      </c>
      <c r="G296" t="s">
        <v>18</v>
      </c>
      <c r="H296" s="4">
        <v>19953000</v>
      </c>
      <c r="I296" s="5">
        <v>256</v>
      </c>
      <c r="J296" s="5">
        <v>0</v>
      </c>
      <c r="K296" s="5">
        <v>8</v>
      </c>
      <c r="L296">
        <v>5.2</v>
      </c>
      <c r="M296">
        <v>3.8</v>
      </c>
      <c r="N296">
        <v>5.92</v>
      </c>
      <c r="O296" s="6">
        <v>15.6</v>
      </c>
      <c r="P296" s="7">
        <v>2.0499999999999998</v>
      </c>
      <c r="U296" t="s">
        <v>84</v>
      </c>
      <c r="V296" t="s">
        <v>126</v>
      </c>
      <c r="W296">
        <v>1.6</v>
      </c>
      <c r="X296" t="s">
        <v>84</v>
      </c>
      <c r="Y296" t="s">
        <v>127</v>
      </c>
      <c r="Z296" t="s">
        <v>100</v>
      </c>
      <c r="AA296" t="s">
        <v>101</v>
      </c>
      <c r="AB296" t="s">
        <v>115</v>
      </c>
      <c r="AC296">
        <v>739</v>
      </c>
      <c r="AD296" s="8" t="b">
        <f>AND(
 H296&gt;=Filters!$B$3,
 H296&lt;=Filters!$B$4,
 I296&gt;=Filters!$B$5,
 OR(Filters!$B$6="All",B296=Filters!$B$6),
 F296&gt;=Filters!$B$7,
 F296&lt;=Filters!$B$8,
 OR(Filters!$B$9="All",G296=Filters!$B$9)
)</f>
        <v>1</v>
      </c>
      <c r="AE296">
        <f t="shared" si="52"/>
        <v>6</v>
      </c>
      <c r="AF296">
        <f t="shared" si="53"/>
        <v>7</v>
      </c>
      <c r="AG296">
        <f t="shared" si="54"/>
        <v>7</v>
      </c>
      <c r="AH296" s="9">
        <f t="shared" si="55"/>
        <v>0.47619047619047616</v>
      </c>
      <c r="AI296" s="9">
        <f t="shared" si="56"/>
        <v>0.80952380952380942</v>
      </c>
      <c r="AJ296" s="9">
        <f t="shared" si="57"/>
        <v>0.30952380952380948</v>
      </c>
      <c r="AK296" s="9">
        <f t="shared" si="58"/>
        <v>0.56190476190476191</v>
      </c>
      <c r="AL296" s="9">
        <f t="shared" si="59"/>
        <v>0.89880952380952372</v>
      </c>
      <c r="AM296" s="9">
        <f t="shared" si="60"/>
        <v>0.5714285714285714</v>
      </c>
      <c r="AN296" s="9">
        <f t="shared" si="61"/>
        <v>0.69047619047619047</v>
      </c>
      <c r="AO296" s="9">
        <f t="shared" si="62"/>
        <v>0.69047619047619047</v>
      </c>
      <c r="AP296" s="9">
        <f t="shared" si="63"/>
        <v>0.62561217353992948</v>
      </c>
      <c r="AQ296" s="10">
        <f t="shared" si="64"/>
        <v>0.62561246953992944</v>
      </c>
    </row>
    <row r="297" spans="1:43">
      <c r="A297">
        <v>296</v>
      </c>
      <c r="B297" t="s">
        <v>29</v>
      </c>
      <c r="C297" t="s">
        <v>464</v>
      </c>
      <c r="D297" t="s">
        <v>465</v>
      </c>
      <c r="E297" t="s">
        <v>158</v>
      </c>
      <c r="G297" t="s">
        <v>18</v>
      </c>
      <c r="H297" s="4">
        <v>35073000</v>
      </c>
      <c r="I297" s="5">
        <v>0</v>
      </c>
      <c r="J297" s="5">
        <v>1024</v>
      </c>
      <c r="K297" s="5">
        <v>8</v>
      </c>
      <c r="L297">
        <v>9.6</v>
      </c>
      <c r="M297">
        <v>9.1999999999999993</v>
      </c>
      <c r="N297">
        <v>6.32</v>
      </c>
      <c r="O297" s="6">
        <v>15.6</v>
      </c>
      <c r="P297" s="7">
        <v>3.2</v>
      </c>
      <c r="U297" t="s">
        <v>84</v>
      </c>
      <c r="V297" t="s">
        <v>210</v>
      </c>
      <c r="W297">
        <v>2.8</v>
      </c>
      <c r="X297" t="s">
        <v>122</v>
      </c>
      <c r="Y297" t="s">
        <v>211</v>
      </c>
      <c r="Z297" t="s">
        <v>146</v>
      </c>
      <c r="AA297" t="s">
        <v>128</v>
      </c>
      <c r="AB297" t="s">
        <v>115</v>
      </c>
      <c r="AC297">
        <v>1299</v>
      </c>
      <c r="AD297" s="8" t="b">
        <f>AND(
 H297&gt;=Filters!$B$3,
 H297&lt;=Filters!$B$4,
 I297&gt;=Filters!$B$5,
 OR(Filters!$B$6="All",B297=Filters!$B$6),
 F297&gt;=Filters!$B$7,
 F297&lt;=Filters!$B$8,
 OR(Filters!$B$9="All",G297=Filters!$B$9)
)</f>
        <v>0</v>
      </c>
      <c r="AE297">
        <f t="shared" si="52"/>
        <v>6</v>
      </c>
      <c r="AF297">
        <f t="shared" si="53"/>
        <v>7</v>
      </c>
      <c r="AG297">
        <f t="shared" si="54"/>
        <v>7</v>
      </c>
      <c r="AH297" s="9" t="str">
        <f t="shared" si="55"/>
        <v/>
      </c>
      <c r="AI297" s="9" t="str">
        <f t="shared" si="56"/>
        <v/>
      </c>
      <c r="AJ297" s="9" t="str">
        <f t="shared" si="57"/>
        <v/>
      </c>
      <c r="AK297" s="9" t="str">
        <f t="shared" si="58"/>
        <v/>
      </c>
      <c r="AL297" s="9" t="str">
        <f t="shared" si="59"/>
        <v/>
      </c>
      <c r="AM297" s="9" t="str">
        <f t="shared" si="60"/>
        <v/>
      </c>
      <c r="AN297" s="9" t="str">
        <f t="shared" si="61"/>
        <v/>
      </c>
      <c r="AO297" s="9" t="str">
        <f t="shared" si="62"/>
        <v/>
      </c>
      <c r="AP297" s="9" t="str">
        <f t="shared" si="63"/>
        <v/>
      </c>
      <c r="AQ297" s="10" t="str">
        <f t="shared" si="64"/>
        <v/>
      </c>
    </row>
    <row r="298" spans="1:43">
      <c r="A298">
        <v>297</v>
      </c>
      <c r="B298" t="s">
        <v>17</v>
      </c>
      <c r="C298" t="s">
        <v>570</v>
      </c>
      <c r="D298" t="s">
        <v>571</v>
      </c>
      <c r="E298" t="s">
        <v>97</v>
      </c>
      <c r="G298" t="s">
        <v>18</v>
      </c>
      <c r="H298" s="4">
        <v>26433000</v>
      </c>
      <c r="I298" s="5">
        <v>256</v>
      </c>
      <c r="J298" s="5">
        <v>0</v>
      </c>
      <c r="K298" s="5">
        <v>8</v>
      </c>
      <c r="L298">
        <v>9.6</v>
      </c>
      <c r="M298">
        <v>9.1999999999999993</v>
      </c>
      <c r="N298">
        <v>5.92</v>
      </c>
      <c r="O298" s="6">
        <v>15.6</v>
      </c>
      <c r="P298" s="7">
        <v>2.5</v>
      </c>
      <c r="U298" t="s">
        <v>84</v>
      </c>
      <c r="V298" t="s">
        <v>210</v>
      </c>
      <c r="W298">
        <v>2.8</v>
      </c>
      <c r="X298" t="s">
        <v>122</v>
      </c>
      <c r="Y298" t="s">
        <v>260</v>
      </c>
      <c r="Z298" t="s">
        <v>100</v>
      </c>
      <c r="AA298" t="s">
        <v>101</v>
      </c>
      <c r="AB298" t="s">
        <v>201</v>
      </c>
      <c r="AC298">
        <v>979</v>
      </c>
      <c r="AD298" s="8" t="b">
        <f>AND(
 H298&gt;=Filters!$B$3,
 H298&lt;=Filters!$B$4,
 I298&gt;=Filters!$B$5,
 OR(Filters!$B$6="All",B298=Filters!$B$6),
 F298&gt;=Filters!$B$7,
 F298&lt;=Filters!$B$8,
 OR(Filters!$B$9="All",G298=Filters!$B$9)
)</f>
        <v>0</v>
      </c>
      <c r="AE298">
        <f t="shared" si="52"/>
        <v>6</v>
      </c>
      <c r="AF298">
        <f t="shared" si="53"/>
        <v>7</v>
      </c>
      <c r="AG298">
        <f t="shared" si="54"/>
        <v>7</v>
      </c>
      <c r="AH298" s="9" t="str">
        <f t="shared" si="55"/>
        <v/>
      </c>
      <c r="AI298" s="9" t="str">
        <f t="shared" si="56"/>
        <v/>
      </c>
      <c r="AJ298" s="9" t="str">
        <f t="shared" si="57"/>
        <v/>
      </c>
      <c r="AK298" s="9" t="str">
        <f t="shared" si="58"/>
        <v/>
      </c>
      <c r="AL298" s="9" t="str">
        <f t="shared" si="59"/>
        <v/>
      </c>
      <c r="AM298" s="9" t="str">
        <f t="shared" si="60"/>
        <v/>
      </c>
      <c r="AN298" s="9" t="str">
        <f t="shared" si="61"/>
        <v/>
      </c>
      <c r="AO298" s="9" t="str">
        <f t="shared" si="62"/>
        <v/>
      </c>
      <c r="AP298" s="9" t="str">
        <f t="shared" si="63"/>
        <v/>
      </c>
      <c r="AQ298" s="10" t="str">
        <f t="shared" si="64"/>
        <v/>
      </c>
    </row>
    <row r="299" spans="1:43">
      <c r="A299">
        <v>298</v>
      </c>
      <c r="B299" t="s">
        <v>23</v>
      </c>
      <c r="C299" t="s">
        <v>572</v>
      </c>
      <c r="D299" t="s">
        <v>573</v>
      </c>
      <c r="E299" t="s">
        <v>468</v>
      </c>
      <c r="G299" t="s">
        <v>18</v>
      </c>
      <c r="H299" s="4">
        <v>77891220</v>
      </c>
      <c r="I299" s="5">
        <v>256</v>
      </c>
      <c r="J299" s="5">
        <v>0</v>
      </c>
      <c r="K299" s="5">
        <v>16</v>
      </c>
      <c r="L299">
        <v>9.8000000000000007</v>
      </c>
      <c r="M299">
        <v>8</v>
      </c>
      <c r="N299">
        <v>5.83</v>
      </c>
      <c r="O299" s="6">
        <v>17.3</v>
      </c>
      <c r="P299" s="7">
        <v>3.42</v>
      </c>
      <c r="U299" t="s">
        <v>84</v>
      </c>
      <c r="V299" t="s">
        <v>574</v>
      </c>
      <c r="W299">
        <v>2.9</v>
      </c>
      <c r="X299" t="s">
        <v>122</v>
      </c>
      <c r="Y299" t="s">
        <v>470</v>
      </c>
      <c r="Z299" t="s">
        <v>100</v>
      </c>
      <c r="AA299" t="s">
        <v>101</v>
      </c>
      <c r="AB299" t="s">
        <v>115</v>
      </c>
      <c r="AC299">
        <v>2884.86</v>
      </c>
      <c r="AD299" s="8" t="b">
        <f>AND(
 H299&gt;=Filters!$B$3,
 H299&lt;=Filters!$B$4,
 I299&gt;=Filters!$B$5,
 OR(Filters!$B$6="All",B299=Filters!$B$6),
 F299&gt;=Filters!$B$7,
 F299&lt;=Filters!$B$8,
 OR(Filters!$B$9="All",G299=Filters!$B$9)
)</f>
        <v>0</v>
      </c>
      <c r="AE299">
        <f t="shared" si="52"/>
        <v>6</v>
      </c>
      <c r="AF299">
        <f t="shared" si="53"/>
        <v>7</v>
      </c>
      <c r="AG299">
        <f t="shared" si="54"/>
        <v>7</v>
      </c>
      <c r="AH299" s="9" t="str">
        <f t="shared" si="55"/>
        <v/>
      </c>
      <c r="AI299" s="9" t="str">
        <f t="shared" si="56"/>
        <v/>
      </c>
      <c r="AJ299" s="9" t="str">
        <f t="shared" si="57"/>
        <v/>
      </c>
      <c r="AK299" s="9" t="str">
        <f t="shared" si="58"/>
        <v/>
      </c>
      <c r="AL299" s="9" t="str">
        <f t="shared" si="59"/>
        <v/>
      </c>
      <c r="AM299" s="9" t="str">
        <f t="shared" si="60"/>
        <v/>
      </c>
      <c r="AN299" s="9" t="str">
        <f t="shared" si="61"/>
        <v/>
      </c>
      <c r="AO299" s="9" t="str">
        <f t="shared" si="62"/>
        <v/>
      </c>
      <c r="AP299" s="9" t="str">
        <f t="shared" si="63"/>
        <v/>
      </c>
      <c r="AQ299" s="10" t="str">
        <f t="shared" si="64"/>
        <v/>
      </c>
    </row>
    <row r="300" spans="1:43">
      <c r="A300">
        <v>299</v>
      </c>
      <c r="B300" t="s">
        <v>29</v>
      </c>
      <c r="C300" t="s">
        <v>575</v>
      </c>
      <c r="D300" t="s">
        <v>576</v>
      </c>
      <c r="E300" t="s">
        <v>97</v>
      </c>
      <c r="G300" t="s">
        <v>18</v>
      </c>
      <c r="H300" s="4">
        <v>13473000</v>
      </c>
      <c r="I300" s="5">
        <v>0</v>
      </c>
      <c r="J300" s="5">
        <v>1024</v>
      </c>
      <c r="K300" s="5">
        <v>6</v>
      </c>
      <c r="L300">
        <v>5.8</v>
      </c>
      <c r="M300">
        <v>6.5</v>
      </c>
      <c r="N300">
        <v>5.92</v>
      </c>
      <c r="O300" s="6">
        <v>15.6</v>
      </c>
      <c r="P300" s="7">
        <v>2.4</v>
      </c>
      <c r="U300" t="s">
        <v>104</v>
      </c>
      <c r="V300" t="s">
        <v>577</v>
      </c>
      <c r="W300">
        <v>2.4</v>
      </c>
      <c r="X300" t="s">
        <v>104</v>
      </c>
      <c r="Y300" t="s">
        <v>578</v>
      </c>
      <c r="Z300" t="s">
        <v>146</v>
      </c>
      <c r="AA300" t="s">
        <v>101</v>
      </c>
      <c r="AB300" t="s">
        <v>115</v>
      </c>
      <c r="AC300">
        <v>499</v>
      </c>
      <c r="AD300" s="8" t="b">
        <f>AND(
 H300&gt;=Filters!$B$3,
 H300&lt;=Filters!$B$4,
 I300&gt;=Filters!$B$5,
 OR(Filters!$B$6="All",B300=Filters!$B$6),
 F300&gt;=Filters!$B$7,
 F300&lt;=Filters!$B$8,
 OR(Filters!$B$9="All",G300=Filters!$B$9)
)</f>
        <v>0</v>
      </c>
      <c r="AE300">
        <f t="shared" si="52"/>
        <v>6</v>
      </c>
      <c r="AF300">
        <f t="shared" si="53"/>
        <v>7</v>
      </c>
      <c r="AG300">
        <f t="shared" si="54"/>
        <v>7</v>
      </c>
      <c r="AH300" s="9" t="str">
        <f t="shared" si="55"/>
        <v/>
      </c>
      <c r="AI300" s="9" t="str">
        <f t="shared" si="56"/>
        <v/>
      </c>
      <c r="AJ300" s="9" t="str">
        <f t="shared" si="57"/>
        <v/>
      </c>
      <c r="AK300" s="9" t="str">
        <f t="shared" si="58"/>
        <v/>
      </c>
      <c r="AL300" s="9" t="str">
        <f t="shared" si="59"/>
        <v/>
      </c>
      <c r="AM300" s="9" t="str">
        <f t="shared" si="60"/>
        <v/>
      </c>
      <c r="AN300" s="9" t="str">
        <f t="shared" si="61"/>
        <v/>
      </c>
      <c r="AO300" s="9" t="str">
        <f t="shared" si="62"/>
        <v/>
      </c>
      <c r="AP300" s="9" t="str">
        <f t="shared" si="63"/>
        <v/>
      </c>
      <c r="AQ300" s="10" t="str">
        <f t="shared" si="64"/>
        <v/>
      </c>
    </row>
    <row r="301" spans="1:43">
      <c r="A301">
        <v>300</v>
      </c>
      <c r="B301" t="s">
        <v>21</v>
      </c>
      <c r="C301" t="s">
        <v>579</v>
      </c>
      <c r="D301" t="s">
        <v>580</v>
      </c>
      <c r="E301" t="s">
        <v>83</v>
      </c>
      <c r="G301" t="s">
        <v>18</v>
      </c>
      <c r="H301" s="4">
        <v>39636000</v>
      </c>
      <c r="I301" s="5">
        <v>512</v>
      </c>
      <c r="J301" s="5">
        <v>0</v>
      </c>
      <c r="K301" s="5">
        <v>16</v>
      </c>
      <c r="L301">
        <v>9.4</v>
      </c>
      <c r="M301">
        <v>6.5</v>
      </c>
      <c r="N301">
        <v>5.92</v>
      </c>
      <c r="O301" s="6">
        <v>15.6</v>
      </c>
      <c r="P301" s="7">
        <v>1.63</v>
      </c>
      <c r="U301" t="s">
        <v>84</v>
      </c>
      <c r="V301" t="s">
        <v>140</v>
      </c>
      <c r="W301">
        <v>2.7</v>
      </c>
      <c r="X301" t="s">
        <v>122</v>
      </c>
      <c r="Y301" t="s">
        <v>145</v>
      </c>
      <c r="Z301" t="s">
        <v>106</v>
      </c>
      <c r="AA301" t="s">
        <v>101</v>
      </c>
      <c r="AB301" t="s">
        <v>115</v>
      </c>
      <c r="AC301">
        <v>1468</v>
      </c>
      <c r="AD301" s="8" t="b">
        <f>AND(
 H301&gt;=Filters!$B$3,
 H301&lt;=Filters!$B$4,
 I301&gt;=Filters!$B$5,
 OR(Filters!$B$6="All",B301=Filters!$B$6),
 F301&gt;=Filters!$B$7,
 F301&lt;=Filters!$B$8,
 OR(Filters!$B$9="All",G301=Filters!$B$9)
)</f>
        <v>0</v>
      </c>
      <c r="AE301">
        <f t="shared" si="52"/>
        <v>6</v>
      </c>
      <c r="AF301">
        <f t="shared" si="53"/>
        <v>7</v>
      </c>
      <c r="AG301">
        <f t="shared" si="54"/>
        <v>7</v>
      </c>
      <c r="AH301" s="9" t="str">
        <f t="shared" si="55"/>
        <v/>
      </c>
      <c r="AI301" s="9" t="str">
        <f t="shared" si="56"/>
        <v/>
      </c>
      <c r="AJ301" s="9" t="str">
        <f t="shared" si="57"/>
        <v/>
      </c>
      <c r="AK301" s="9" t="str">
        <f t="shared" si="58"/>
        <v/>
      </c>
      <c r="AL301" s="9" t="str">
        <f t="shared" si="59"/>
        <v/>
      </c>
      <c r="AM301" s="9" t="str">
        <f t="shared" si="60"/>
        <v/>
      </c>
      <c r="AN301" s="9" t="str">
        <f t="shared" si="61"/>
        <v/>
      </c>
      <c r="AO301" s="9" t="str">
        <f t="shared" si="62"/>
        <v/>
      </c>
      <c r="AP301" s="9" t="str">
        <f t="shared" si="63"/>
        <v/>
      </c>
      <c r="AQ301" s="10" t="str">
        <f t="shared" si="64"/>
        <v/>
      </c>
    </row>
    <row r="302" spans="1:43">
      <c r="A302">
        <v>301</v>
      </c>
      <c r="B302" t="s">
        <v>21</v>
      </c>
      <c r="C302" t="s">
        <v>581</v>
      </c>
      <c r="D302" t="s">
        <v>582</v>
      </c>
      <c r="E302" t="s">
        <v>97</v>
      </c>
      <c r="G302" t="s">
        <v>18</v>
      </c>
      <c r="H302" s="4">
        <v>13743000</v>
      </c>
      <c r="I302" s="5">
        <v>128</v>
      </c>
      <c r="J302" s="5">
        <v>0</v>
      </c>
      <c r="K302" s="5">
        <v>4</v>
      </c>
      <c r="L302">
        <v>4.8</v>
      </c>
      <c r="M302">
        <v>3.5</v>
      </c>
      <c r="N302">
        <v>4</v>
      </c>
      <c r="O302" s="6">
        <v>14</v>
      </c>
      <c r="P302" s="7">
        <v>1.3</v>
      </c>
      <c r="U302" t="s">
        <v>84</v>
      </c>
      <c r="V302" t="s">
        <v>144</v>
      </c>
      <c r="W302">
        <v>2.4</v>
      </c>
      <c r="X302" t="s">
        <v>84</v>
      </c>
      <c r="Y302" t="s">
        <v>99</v>
      </c>
      <c r="Z302" t="s">
        <v>87</v>
      </c>
      <c r="AA302" t="s">
        <v>114</v>
      </c>
      <c r="AB302" t="s">
        <v>115</v>
      </c>
      <c r="AC302">
        <v>509</v>
      </c>
      <c r="AD302" s="8" t="b">
        <f>AND(
 H302&gt;=Filters!$B$3,
 H302&lt;=Filters!$B$4,
 I302&gt;=Filters!$B$5,
 OR(Filters!$B$6="All",B302=Filters!$B$6),
 F302&gt;=Filters!$B$7,
 F302&lt;=Filters!$B$8,
 OR(Filters!$B$9="All",G302=Filters!$B$9)
)</f>
        <v>0</v>
      </c>
      <c r="AE302">
        <f t="shared" si="52"/>
        <v>6</v>
      </c>
      <c r="AF302">
        <f t="shared" si="53"/>
        <v>7</v>
      </c>
      <c r="AG302">
        <f t="shared" si="54"/>
        <v>7</v>
      </c>
      <c r="AH302" s="9" t="str">
        <f t="shared" si="55"/>
        <v/>
      </c>
      <c r="AI302" s="9" t="str">
        <f t="shared" si="56"/>
        <v/>
      </c>
      <c r="AJ302" s="9" t="str">
        <f t="shared" si="57"/>
        <v/>
      </c>
      <c r="AK302" s="9" t="str">
        <f t="shared" si="58"/>
        <v/>
      </c>
      <c r="AL302" s="9" t="str">
        <f t="shared" si="59"/>
        <v/>
      </c>
      <c r="AM302" s="9" t="str">
        <f t="shared" si="60"/>
        <v/>
      </c>
      <c r="AN302" s="9" t="str">
        <f t="shared" si="61"/>
        <v/>
      </c>
      <c r="AO302" s="9" t="str">
        <f t="shared" si="62"/>
        <v/>
      </c>
      <c r="AP302" s="9" t="str">
        <f t="shared" si="63"/>
        <v/>
      </c>
      <c r="AQ302" s="10" t="str">
        <f t="shared" si="64"/>
        <v/>
      </c>
    </row>
    <row r="303" spans="1:43">
      <c r="A303">
        <v>302</v>
      </c>
      <c r="B303" t="s">
        <v>21</v>
      </c>
      <c r="C303" t="s">
        <v>583</v>
      </c>
      <c r="D303" t="s">
        <v>584</v>
      </c>
      <c r="E303" t="s">
        <v>158</v>
      </c>
      <c r="G303" t="s">
        <v>18</v>
      </c>
      <c r="H303" s="4">
        <v>57294000</v>
      </c>
      <c r="I303" s="5">
        <v>256</v>
      </c>
      <c r="J303" s="5">
        <v>1024</v>
      </c>
      <c r="K303" s="5">
        <v>16</v>
      </c>
      <c r="L303">
        <v>9.6</v>
      </c>
      <c r="M303">
        <v>9.1999999999999993</v>
      </c>
      <c r="N303">
        <v>5.83</v>
      </c>
      <c r="O303" s="6">
        <v>17.3</v>
      </c>
      <c r="P303" s="7">
        <v>2.9</v>
      </c>
      <c r="U303" t="s">
        <v>84</v>
      </c>
      <c r="V303" t="s">
        <v>210</v>
      </c>
      <c r="W303">
        <v>2.8</v>
      </c>
      <c r="X303" t="s">
        <v>122</v>
      </c>
      <c r="Y303" t="s">
        <v>248</v>
      </c>
      <c r="Z303" t="s">
        <v>212</v>
      </c>
      <c r="AA303" t="s">
        <v>101</v>
      </c>
      <c r="AB303" t="s">
        <v>115</v>
      </c>
      <c r="AC303">
        <v>2122</v>
      </c>
      <c r="AD303" s="8" t="b">
        <f>AND(
 H303&gt;=Filters!$B$3,
 H303&lt;=Filters!$B$4,
 I303&gt;=Filters!$B$5,
 OR(Filters!$B$6="All",B303=Filters!$B$6),
 F303&gt;=Filters!$B$7,
 F303&lt;=Filters!$B$8,
 OR(Filters!$B$9="All",G303=Filters!$B$9)
)</f>
        <v>0</v>
      </c>
      <c r="AE303">
        <f t="shared" si="52"/>
        <v>6</v>
      </c>
      <c r="AF303">
        <f t="shared" si="53"/>
        <v>7</v>
      </c>
      <c r="AG303">
        <f t="shared" si="54"/>
        <v>7</v>
      </c>
      <c r="AH303" s="9" t="str">
        <f t="shared" si="55"/>
        <v/>
      </c>
      <c r="AI303" s="9" t="str">
        <f t="shared" si="56"/>
        <v/>
      </c>
      <c r="AJ303" s="9" t="str">
        <f t="shared" si="57"/>
        <v/>
      </c>
      <c r="AK303" s="9" t="str">
        <f t="shared" si="58"/>
        <v/>
      </c>
      <c r="AL303" s="9" t="str">
        <f t="shared" si="59"/>
        <v/>
      </c>
      <c r="AM303" s="9" t="str">
        <f t="shared" si="60"/>
        <v/>
      </c>
      <c r="AN303" s="9" t="str">
        <f t="shared" si="61"/>
        <v/>
      </c>
      <c r="AO303" s="9" t="str">
        <f t="shared" si="62"/>
        <v/>
      </c>
      <c r="AP303" s="9" t="str">
        <f t="shared" si="63"/>
        <v/>
      </c>
      <c r="AQ303" s="10" t="str">
        <f t="shared" si="64"/>
        <v/>
      </c>
    </row>
    <row r="304" spans="1:43">
      <c r="A304">
        <v>303</v>
      </c>
      <c r="B304" t="s">
        <v>29</v>
      </c>
      <c r="C304" t="s">
        <v>479</v>
      </c>
      <c r="D304" t="s">
        <v>480</v>
      </c>
      <c r="E304" t="s">
        <v>97</v>
      </c>
      <c r="G304" t="s">
        <v>18</v>
      </c>
      <c r="H304" s="4">
        <v>17523000</v>
      </c>
      <c r="I304" s="5">
        <v>0</v>
      </c>
      <c r="J304" s="5">
        <v>1024</v>
      </c>
      <c r="K304" s="5">
        <v>6</v>
      </c>
      <c r="L304">
        <v>7</v>
      </c>
      <c r="M304">
        <v>9.1999999999999993</v>
      </c>
      <c r="N304">
        <v>5.83</v>
      </c>
      <c r="O304" s="6">
        <v>17.3</v>
      </c>
      <c r="P304" s="7">
        <v>2.8</v>
      </c>
      <c r="U304" t="s">
        <v>84</v>
      </c>
      <c r="V304" t="s">
        <v>98</v>
      </c>
      <c r="W304">
        <v>2.5</v>
      </c>
      <c r="X304" t="s">
        <v>122</v>
      </c>
      <c r="Y304" t="s">
        <v>585</v>
      </c>
      <c r="Z304" t="s">
        <v>146</v>
      </c>
      <c r="AA304" t="s">
        <v>452</v>
      </c>
      <c r="AB304" t="s">
        <v>115</v>
      </c>
      <c r="AC304">
        <v>649</v>
      </c>
      <c r="AD304" s="8" t="b">
        <f>AND(
 H304&gt;=Filters!$B$3,
 H304&lt;=Filters!$B$4,
 I304&gt;=Filters!$B$5,
 OR(Filters!$B$6="All",B304=Filters!$B$6),
 F304&gt;=Filters!$B$7,
 F304&lt;=Filters!$B$8,
 OR(Filters!$B$9="All",G304=Filters!$B$9)
)</f>
        <v>0</v>
      </c>
      <c r="AE304">
        <f t="shared" si="52"/>
        <v>6</v>
      </c>
      <c r="AF304">
        <f t="shared" si="53"/>
        <v>7</v>
      </c>
      <c r="AG304">
        <f t="shared" si="54"/>
        <v>7</v>
      </c>
      <c r="AH304" s="9" t="str">
        <f t="shared" si="55"/>
        <v/>
      </c>
      <c r="AI304" s="9" t="str">
        <f t="shared" si="56"/>
        <v/>
      </c>
      <c r="AJ304" s="9" t="str">
        <f t="shared" si="57"/>
        <v/>
      </c>
      <c r="AK304" s="9" t="str">
        <f t="shared" si="58"/>
        <v/>
      </c>
      <c r="AL304" s="9" t="str">
        <f t="shared" si="59"/>
        <v/>
      </c>
      <c r="AM304" s="9" t="str">
        <f t="shared" si="60"/>
        <v/>
      </c>
      <c r="AN304" s="9" t="str">
        <f t="shared" si="61"/>
        <v/>
      </c>
      <c r="AO304" s="9" t="str">
        <f t="shared" si="62"/>
        <v/>
      </c>
      <c r="AP304" s="9" t="str">
        <f t="shared" si="63"/>
        <v/>
      </c>
      <c r="AQ304" s="10" t="str">
        <f t="shared" si="64"/>
        <v/>
      </c>
    </row>
    <row r="305" spans="1:43">
      <c r="A305">
        <v>304</v>
      </c>
      <c r="B305" t="s">
        <v>29</v>
      </c>
      <c r="C305" t="s">
        <v>281</v>
      </c>
      <c r="D305" t="s">
        <v>282</v>
      </c>
      <c r="E305" t="s">
        <v>97</v>
      </c>
      <c r="G305" t="s">
        <v>18</v>
      </c>
      <c r="H305" s="4">
        <v>14823000</v>
      </c>
      <c r="I305" s="5">
        <v>0</v>
      </c>
      <c r="J305" s="5">
        <v>2048</v>
      </c>
      <c r="K305" s="5">
        <v>8</v>
      </c>
      <c r="L305">
        <v>7</v>
      </c>
      <c r="M305">
        <v>6.5</v>
      </c>
      <c r="N305">
        <v>3.92</v>
      </c>
      <c r="O305" s="6">
        <v>15.6</v>
      </c>
      <c r="P305" s="7">
        <v>2.2000000000000002</v>
      </c>
      <c r="U305" t="s">
        <v>84</v>
      </c>
      <c r="V305" t="s">
        <v>98</v>
      </c>
      <c r="W305">
        <v>2.5</v>
      </c>
      <c r="X305" t="s">
        <v>122</v>
      </c>
      <c r="Y305" t="s">
        <v>145</v>
      </c>
      <c r="Z305" t="s">
        <v>283</v>
      </c>
      <c r="AA305" t="s">
        <v>114</v>
      </c>
      <c r="AB305" t="s">
        <v>102</v>
      </c>
      <c r="AC305">
        <v>549</v>
      </c>
      <c r="AD305" s="8" t="b">
        <f>AND(
 H305&gt;=Filters!$B$3,
 H305&lt;=Filters!$B$4,
 I305&gt;=Filters!$B$5,
 OR(Filters!$B$6="All",B305=Filters!$B$6),
 F305&gt;=Filters!$B$7,
 F305&lt;=Filters!$B$8,
 OR(Filters!$B$9="All",G305=Filters!$B$9)
)</f>
        <v>0</v>
      </c>
      <c r="AE305">
        <f t="shared" si="52"/>
        <v>6</v>
      </c>
      <c r="AF305">
        <f t="shared" si="53"/>
        <v>7</v>
      </c>
      <c r="AG305">
        <f t="shared" si="54"/>
        <v>7</v>
      </c>
      <c r="AH305" s="9" t="str">
        <f t="shared" si="55"/>
        <v/>
      </c>
      <c r="AI305" s="9" t="str">
        <f t="shared" si="56"/>
        <v/>
      </c>
      <c r="AJ305" s="9" t="str">
        <f t="shared" si="57"/>
        <v/>
      </c>
      <c r="AK305" s="9" t="str">
        <f t="shared" si="58"/>
        <v/>
      </c>
      <c r="AL305" s="9" t="str">
        <f t="shared" si="59"/>
        <v/>
      </c>
      <c r="AM305" s="9" t="str">
        <f t="shared" si="60"/>
        <v/>
      </c>
      <c r="AN305" s="9" t="str">
        <f t="shared" si="61"/>
        <v/>
      </c>
      <c r="AO305" s="9" t="str">
        <f t="shared" si="62"/>
        <v/>
      </c>
      <c r="AP305" s="9" t="str">
        <f t="shared" si="63"/>
        <v/>
      </c>
      <c r="AQ305" s="10" t="str">
        <f t="shared" si="64"/>
        <v/>
      </c>
    </row>
    <row r="306" spans="1:43">
      <c r="A306">
        <v>305</v>
      </c>
      <c r="B306" t="s">
        <v>21</v>
      </c>
      <c r="C306" t="s">
        <v>586</v>
      </c>
      <c r="D306" t="s">
        <v>587</v>
      </c>
      <c r="E306" t="s">
        <v>158</v>
      </c>
      <c r="G306" t="s">
        <v>18</v>
      </c>
      <c r="H306" s="4">
        <v>34155000</v>
      </c>
      <c r="I306" s="5">
        <v>128</v>
      </c>
      <c r="J306" s="5">
        <v>1024</v>
      </c>
      <c r="K306" s="5">
        <v>8</v>
      </c>
      <c r="L306">
        <v>9.6</v>
      </c>
      <c r="M306">
        <v>9.1999999999999993</v>
      </c>
      <c r="N306">
        <v>5.92</v>
      </c>
      <c r="O306" s="6">
        <v>15.6</v>
      </c>
      <c r="P306" s="7">
        <v>2.5</v>
      </c>
      <c r="U306" t="s">
        <v>84</v>
      </c>
      <c r="V306" t="s">
        <v>210</v>
      </c>
      <c r="W306">
        <v>2.8</v>
      </c>
      <c r="X306" t="s">
        <v>122</v>
      </c>
      <c r="Y306" t="s">
        <v>260</v>
      </c>
      <c r="Z306" t="s">
        <v>161</v>
      </c>
      <c r="AA306" t="s">
        <v>101</v>
      </c>
      <c r="AB306" t="s">
        <v>115</v>
      </c>
      <c r="AC306">
        <v>1265</v>
      </c>
      <c r="AD306" s="8" t="b">
        <f>AND(
 H306&gt;=Filters!$B$3,
 H306&lt;=Filters!$B$4,
 I306&gt;=Filters!$B$5,
 OR(Filters!$B$6="All",B306=Filters!$B$6),
 F306&gt;=Filters!$B$7,
 F306&lt;=Filters!$B$8,
 OR(Filters!$B$9="All",G306=Filters!$B$9)
)</f>
        <v>0</v>
      </c>
      <c r="AE306">
        <f t="shared" si="52"/>
        <v>6</v>
      </c>
      <c r="AF306">
        <f t="shared" si="53"/>
        <v>7</v>
      </c>
      <c r="AG306">
        <f t="shared" si="54"/>
        <v>7</v>
      </c>
      <c r="AH306" s="9" t="str">
        <f t="shared" si="55"/>
        <v/>
      </c>
      <c r="AI306" s="9" t="str">
        <f t="shared" si="56"/>
        <v/>
      </c>
      <c r="AJ306" s="9" t="str">
        <f t="shared" si="57"/>
        <v/>
      </c>
      <c r="AK306" s="9" t="str">
        <f t="shared" si="58"/>
        <v/>
      </c>
      <c r="AL306" s="9" t="str">
        <f t="shared" si="59"/>
        <v/>
      </c>
      <c r="AM306" s="9" t="str">
        <f t="shared" si="60"/>
        <v/>
      </c>
      <c r="AN306" s="9" t="str">
        <f t="shared" si="61"/>
        <v/>
      </c>
      <c r="AO306" s="9" t="str">
        <f t="shared" si="62"/>
        <v/>
      </c>
      <c r="AP306" s="9" t="str">
        <f t="shared" si="63"/>
        <v/>
      </c>
      <c r="AQ306" s="10" t="str">
        <f t="shared" si="64"/>
        <v/>
      </c>
    </row>
    <row r="307" spans="1:43">
      <c r="A307">
        <v>306</v>
      </c>
      <c r="B307" t="s">
        <v>29</v>
      </c>
      <c r="C307" t="s">
        <v>588</v>
      </c>
      <c r="D307" t="s">
        <v>589</v>
      </c>
      <c r="E307" t="s">
        <v>97</v>
      </c>
      <c r="G307" t="s">
        <v>18</v>
      </c>
      <c r="H307" s="4">
        <v>9719730</v>
      </c>
      <c r="I307" s="5">
        <v>0</v>
      </c>
      <c r="J307" s="5">
        <v>1024</v>
      </c>
      <c r="K307" s="5">
        <v>4</v>
      </c>
      <c r="L307">
        <v>1.2</v>
      </c>
      <c r="M307">
        <v>3.5</v>
      </c>
      <c r="N307">
        <v>3.92</v>
      </c>
      <c r="O307" s="6">
        <v>15.6</v>
      </c>
      <c r="P307" s="7">
        <v>2.2000000000000002</v>
      </c>
      <c r="U307" t="s">
        <v>84</v>
      </c>
      <c r="V307" t="s">
        <v>229</v>
      </c>
      <c r="W307">
        <v>1.1000000000000001</v>
      </c>
      <c r="X307" t="s">
        <v>84</v>
      </c>
      <c r="Y307" t="s">
        <v>418</v>
      </c>
      <c r="Z307" t="s">
        <v>146</v>
      </c>
      <c r="AA307" t="s">
        <v>114</v>
      </c>
      <c r="AB307" t="s">
        <v>102</v>
      </c>
      <c r="AC307">
        <v>359.99</v>
      </c>
      <c r="AD307" s="8" t="b">
        <f>AND(
 H307&gt;=Filters!$B$3,
 H307&lt;=Filters!$B$4,
 I307&gt;=Filters!$B$5,
 OR(Filters!$B$6="All",B307=Filters!$B$6),
 F307&gt;=Filters!$B$7,
 F307&lt;=Filters!$B$8,
 OR(Filters!$B$9="All",G307=Filters!$B$9)
)</f>
        <v>0</v>
      </c>
      <c r="AE307">
        <f t="shared" si="52"/>
        <v>6</v>
      </c>
      <c r="AF307">
        <f t="shared" si="53"/>
        <v>7</v>
      </c>
      <c r="AG307">
        <f t="shared" si="54"/>
        <v>7</v>
      </c>
      <c r="AH307" s="9" t="str">
        <f t="shared" si="55"/>
        <v/>
      </c>
      <c r="AI307" s="9" t="str">
        <f t="shared" si="56"/>
        <v/>
      </c>
      <c r="AJ307" s="9" t="str">
        <f t="shared" si="57"/>
        <v/>
      </c>
      <c r="AK307" s="9" t="str">
        <f t="shared" si="58"/>
        <v/>
      </c>
      <c r="AL307" s="9" t="str">
        <f t="shared" si="59"/>
        <v/>
      </c>
      <c r="AM307" s="9" t="str">
        <f t="shared" si="60"/>
        <v/>
      </c>
      <c r="AN307" s="9" t="str">
        <f t="shared" si="61"/>
        <v/>
      </c>
      <c r="AO307" s="9" t="str">
        <f t="shared" si="62"/>
        <v/>
      </c>
      <c r="AP307" s="9" t="str">
        <f t="shared" si="63"/>
        <v/>
      </c>
      <c r="AQ307" s="10" t="str">
        <f t="shared" si="64"/>
        <v/>
      </c>
    </row>
    <row r="308" spans="1:43">
      <c r="A308">
        <v>307</v>
      </c>
      <c r="B308" t="s">
        <v>26</v>
      </c>
      <c r="C308" t="s">
        <v>590</v>
      </c>
      <c r="D308" t="s">
        <v>591</v>
      </c>
      <c r="E308" t="s">
        <v>168</v>
      </c>
      <c r="G308" t="s">
        <v>18</v>
      </c>
      <c r="H308" s="4">
        <v>53325000</v>
      </c>
      <c r="I308" s="5">
        <v>256</v>
      </c>
      <c r="J308" s="5">
        <v>0</v>
      </c>
      <c r="K308" s="5">
        <v>16</v>
      </c>
      <c r="L308">
        <v>9.6</v>
      </c>
      <c r="M308">
        <v>3.5</v>
      </c>
      <c r="N308">
        <v>6.26</v>
      </c>
      <c r="O308" s="6">
        <v>13.3</v>
      </c>
      <c r="P308" s="7">
        <v>1.28</v>
      </c>
      <c r="U308" t="s">
        <v>84</v>
      </c>
      <c r="V308" t="s">
        <v>592</v>
      </c>
      <c r="W308">
        <v>2.8</v>
      </c>
      <c r="X308" t="s">
        <v>84</v>
      </c>
      <c r="Y308" t="s">
        <v>99</v>
      </c>
      <c r="Z308" t="s">
        <v>100</v>
      </c>
      <c r="AA308" t="s">
        <v>169</v>
      </c>
      <c r="AB308" t="s">
        <v>115</v>
      </c>
      <c r="AC308">
        <v>1975</v>
      </c>
      <c r="AD308" s="8" t="b">
        <f>AND(
 H308&gt;=Filters!$B$3,
 H308&lt;=Filters!$B$4,
 I308&gt;=Filters!$B$5,
 OR(Filters!$B$6="All",B308=Filters!$B$6),
 F308&gt;=Filters!$B$7,
 F308&lt;=Filters!$B$8,
 OR(Filters!$B$9="All",G308=Filters!$B$9)
)</f>
        <v>0</v>
      </c>
      <c r="AE308">
        <f t="shared" si="52"/>
        <v>6</v>
      </c>
      <c r="AF308">
        <f t="shared" si="53"/>
        <v>7</v>
      </c>
      <c r="AG308">
        <f t="shared" si="54"/>
        <v>7</v>
      </c>
      <c r="AH308" s="9" t="str">
        <f t="shared" si="55"/>
        <v/>
      </c>
      <c r="AI308" s="9" t="str">
        <f t="shared" si="56"/>
        <v/>
      </c>
      <c r="AJ308" s="9" t="str">
        <f t="shared" si="57"/>
        <v/>
      </c>
      <c r="AK308" s="9" t="str">
        <f t="shared" si="58"/>
        <v/>
      </c>
      <c r="AL308" s="9" t="str">
        <f t="shared" si="59"/>
        <v/>
      </c>
      <c r="AM308" s="9" t="str">
        <f t="shared" si="60"/>
        <v/>
      </c>
      <c r="AN308" s="9" t="str">
        <f t="shared" si="61"/>
        <v/>
      </c>
      <c r="AO308" s="9" t="str">
        <f t="shared" si="62"/>
        <v/>
      </c>
      <c r="AP308" s="9" t="str">
        <f t="shared" si="63"/>
        <v/>
      </c>
      <c r="AQ308" s="10" t="str">
        <f t="shared" si="64"/>
        <v/>
      </c>
    </row>
    <row r="309" spans="1:43">
      <c r="A309">
        <v>308</v>
      </c>
      <c r="B309" t="s">
        <v>35</v>
      </c>
      <c r="C309" t="s">
        <v>373</v>
      </c>
      <c r="D309" t="s">
        <v>374</v>
      </c>
      <c r="E309" t="s">
        <v>97</v>
      </c>
      <c r="G309" t="s">
        <v>18</v>
      </c>
      <c r="H309" s="4">
        <v>28161000</v>
      </c>
      <c r="I309" s="5">
        <v>256</v>
      </c>
      <c r="J309" s="5">
        <v>0</v>
      </c>
      <c r="K309" s="5">
        <v>8</v>
      </c>
      <c r="L309">
        <v>9</v>
      </c>
      <c r="M309">
        <v>8.5</v>
      </c>
      <c r="N309">
        <v>6.32</v>
      </c>
      <c r="O309" s="6">
        <v>15.6</v>
      </c>
      <c r="P309" s="7">
        <v>2.2000000000000002</v>
      </c>
      <c r="U309" t="s">
        <v>84</v>
      </c>
      <c r="V309" t="s">
        <v>485</v>
      </c>
      <c r="W309">
        <v>2.5</v>
      </c>
      <c r="X309" t="s">
        <v>122</v>
      </c>
      <c r="Y309" t="s">
        <v>549</v>
      </c>
      <c r="Z309" t="s">
        <v>100</v>
      </c>
      <c r="AA309" t="s">
        <v>128</v>
      </c>
      <c r="AB309" t="s">
        <v>115</v>
      </c>
      <c r="AC309">
        <v>1043</v>
      </c>
      <c r="AD309" s="8" t="b">
        <f>AND(
 H309&gt;=Filters!$B$3,
 H309&lt;=Filters!$B$4,
 I309&gt;=Filters!$B$5,
 OR(Filters!$B$6="All",B309=Filters!$B$6),
 F309&gt;=Filters!$B$7,
 F309&lt;=Filters!$B$8,
 OR(Filters!$B$9="All",G309=Filters!$B$9)
)</f>
        <v>0</v>
      </c>
      <c r="AE309">
        <f t="shared" si="52"/>
        <v>6</v>
      </c>
      <c r="AF309">
        <f t="shared" si="53"/>
        <v>7</v>
      </c>
      <c r="AG309">
        <f t="shared" si="54"/>
        <v>7</v>
      </c>
      <c r="AH309" s="9" t="str">
        <f t="shared" si="55"/>
        <v/>
      </c>
      <c r="AI309" s="9" t="str">
        <f t="shared" si="56"/>
        <v/>
      </c>
      <c r="AJ309" s="9" t="str">
        <f t="shared" si="57"/>
        <v/>
      </c>
      <c r="AK309" s="9" t="str">
        <f t="shared" si="58"/>
        <v/>
      </c>
      <c r="AL309" s="9" t="str">
        <f t="shared" si="59"/>
        <v/>
      </c>
      <c r="AM309" s="9" t="str">
        <f t="shared" si="60"/>
        <v/>
      </c>
      <c r="AN309" s="9" t="str">
        <f t="shared" si="61"/>
        <v/>
      </c>
      <c r="AO309" s="9" t="str">
        <f t="shared" si="62"/>
        <v/>
      </c>
      <c r="AP309" s="9" t="str">
        <f t="shared" si="63"/>
        <v/>
      </c>
      <c r="AQ309" s="10" t="str">
        <f t="shared" si="64"/>
        <v/>
      </c>
    </row>
    <row r="310" spans="1:43">
      <c r="A310">
        <v>309</v>
      </c>
      <c r="B310" t="s">
        <v>29</v>
      </c>
      <c r="C310" t="s">
        <v>142</v>
      </c>
      <c r="D310" t="s">
        <v>143</v>
      </c>
      <c r="E310" t="s">
        <v>97</v>
      </c>
      <c r="G310" t="s">
        <v>18</v>
      </c>
      <c r="H310" s="4">
        <v>22113000</v>
      </c>
      <c r="I310" s="5">
        <v>128</v>
      </c>
      <c r="J310" s="5">
        <v>1024</v>
      </c>
      <c r="K310" s="5">
        <v>8</v>
      </c>
      <c r="L310">
        <v>7</v>
      </c>
      <c r="M310">
        <v>6.5</v>
      </c>
      <c r="N310">
        <v>5.92</v>
      </c>
      <c r="O310" s="6">
        <v>15.6</v>
      </c>
      <c r="P310" s="7">
        <v>2.2999999999999998</v>
      </c>
      <c r="U310" t="s">
        <v>84</v>
      </c>
      <c r="V310" t="s">
        <v>98</v>
      </c>
      <c r="W310">
        <v>2.5</v>
      </c>
      <c r="X310" t="s">
        <v>122</v>
      </c>
      <c r="Y310" t="s">
        <v>145</v>
      </c>
      <c r="Z310" t="s">
        <v>161</v>
      </c>
      <c r="AA310" t="s">
        <v>101</v>
      </c>
      <c r="AB310" t="s">
        <v>115</v>
      </c>
      <c r="AC310">
        <v>819</v>
      </c>
      <c r="AD310" s="8" t="b">
        <f>AND(
 H310&gt;=Filters!$B$3,
 H310&lt;=Filters!$B$4,
 I310&gt;=Filters!$B$5,
 OR(Filters!$B$6="All",B310=Filters!$B$6),
 F310&gt;=Filters!$B$7,
 F310&lt;=Filters!$B$8,
 OR(Filters!$B$9="All",G310=Filters!$B$9)
)</f>
        <v>0</v>
      </c>
      <c r="AE310">
        <f t="shared" si="52"/>
        <v>6</v>
      </c>
      <c r="AF310">
        <f t="shared" si="53"/>
        <v>7</v>
      </c>
      <c r="AG310">
        <f t="shared" si="54"/>
        <v>7</v>
      </c>
      <c r="AH310" s="9" t="str">
        <f t="shared" si="55"/>
        <v/>
      </c>
      <c r="AI310" s="9" t="str">
        <f t="shared" si="56"/>
        <v/>
      </c>
      <c r="AJ310" s="9" t="str">
        <f t="shared" si="57"/>
        <v/>
      </c>
      <c r="AK310" s="9" t="str">
        <f t="shared" si="58"/>
        <v/>
      </c>
      <c r="AL310" s="9" t="str">
        <f t="shared" si="59"/>
        <v/>
      </c>
      <c r="AM310" s="9" t="str">
        <f t="shared" si="60"/>
        <v/>
      </c>
      <c r="AN310" s="9" t="str">
        <f t="shared" si="61"/>
        <v/>
      </c>
      <c r="AO310" s="9" t="str">
        <f t="shared" si="62"/>
        <v/>
      </c>
      <c r="AP310" s="9" t="str">
        <f t="shared" si="63"/>
        <v/>
      </c>
      <c r="AQ310" s="10" t="str">
        <f t="shared" si="64"/>
        <v/>
      </c>
    </row>
    <row r="311" spans="1:43">
      <c r="A311">
        <v>310</v>
      </c>
      <c r="B311" t="s">
        <v>26</v>
      </c>
      <c r="C311" t="s">
        <v>95</v>
      </c>
      <c r="D311" t="s">
        <v>96</v>
      </c>
      <c r="E311" t="s">
        <v>97</v>
      </c>
      <c r="G311" t="s">
        <v>18</v>
      </c>
      <c r="H311" s="4">
        <v>12663000</v>
      </c>
      <c r="I311" s="5">
        <v>0</v>
      </c>
      <c r="J311" s="5">
        <v>1024</v>
      </c>
      <c r="K311" s="5">
        <v>4</v>
      </c>
      <c r="L311">
        <v>4</v>
      </c>
      <c r="M311">
        <v>3.5</v>
      </c>
      <c r="N311">
        <v>5.92</v>
      </c>
      <c r="O311" s="6">
        <v>15.6</v>
      </c>
      <c r="P311" s="7">
        <v>1.86</v>
      </c>
      <c r="U311" t="s">
        <v>84</v>
      </c>
      <c r="V311" t="s">
        <v>129</v>
      </c>
      <c r="W311">
        <v>2</v>
      </c>
      <c r="X311" t="s">
        <v>84</v>
      </c>
      <c r="Y311" t="s">
        <v>130</v>
      </c>
      <c r="Z311" t="s">
        <v>146</v>
      </c>
      <c r="AA311" t="s">
        <v>101</v>
      </c>
      <c r="AB311" t="s">
        <v>115</v>
      </c>
      <c r="AC311">
        <v>469</v>
      </c>
      <c r="AD311" s="8" t="b">
        <f>AND(
 H311&gt;=Filters!$B$3,
 H311&lt;=Filters!$B$4,
 I311&gt;=Filters!$B$5,
 OR(Filters!$B$6="All",B311=Filters!$B$6),
 F311&gt;=Filters!$B$7,
 F311&lt;=Filters!$B$8,
 OR(Filters!$B$9="All",G311=Filters!$B$9)
)</f>
        <v>0</v>
      </c>
      <c r="AE311">
        <f t="shared" si="52"/>
        <v>6</v>
      </c>
      <c r="AF311">
        <f t="shared" si="53"/>
        <v>7</v>
      </c>
      <c r="AG311">
        <f t="shared" si="54"/>
        <v>7</v>
      </c>
      <c r="AH311" s="9" t="str">
        <f t="shared" si="55"/>
        <v/>
      </c>
      <c r="AI311" s="9" t="str">
        <f t="shared" si="56"/>
        <v/>
      </c>
      <c r="AJ311" s="9" t="str">
        <f t="shared" si="57"/>
        <v/>
      </c>
      <c r="AK311" s="9" t="str">
        <f t="shared" si="58"/>
        <v/>
      </c>
      <c r="AL311" s="9" t="str">
        <f t="shared" si="59"/>
        <v/>
      </c>
      <c r="AM311" s="9" t="str">
        <f t="shared" si="60"/>
        <v/>
      </c>
      <c r="AN311" s="9" t="str">
        <f t="shared" si="61"/>
        <v/>
      </c>
      <c r="AO311" s="9" t="str">
        <f t="shared" si="62"/>
        <v/>
      </c>
      <c r="AP311" s="9" t="str">
        <f t="shared" si="63"/>
        <v/>
      </c>
      <c r="AQ311" s="10" t="str">
        <f t="shared" si="64"/>
        <v/>
      </c>
    </row>
    <row r="312" spans="1:43">
      <c r="A312">
        <v>311</v>
      </c>
      <c r="B312" t="s">
        <v>29</v>
      </c>
      <c r="C312" t="s">
        <v>593</v>
      </c>
      <c r="D312" t="s">
        <v>594</v>
      </c>
      <c r="E312" t="s">
        <v>97</v>
      </c>
      <c r="G312" t="s">
        <v>18</v>
      </c>
      <c r="H312" s="4">
        <v>26973000</v>
      </c>
      <c r="I312" s="5">
        <v>256</v>
      </c>
      <c r="J312" s="5">
        <v>0</v>
      </c>
      <c r="K312" s="5">
        <v>8</v>
      </c>
      <c r="L312">
        <v>7</v>
      </c>
      <c r="M312">
        <v>3.5</v>
      </c>
      <c r="N312">
        <v>6.37</v>
      </c>
      <c r="O312" s="6">
        <v>13.3</v>
      </c>
      <c r="P312" s="7">
        <v>1.1000000000000001</v>
      </c>
      <c r="U312" t="s">
        <v>84</v>
      </c>
      <c r="V312" t="s">
        <v>98</v>
      </c>
      <c r="W312">
        <v>2.5</v>
      </c>
      <c r="X312" t="s">
        <v>84</v>
      </c>
      <c r="Y312" t="s">
        <v>99</v>
      </c>
      <c r="Z312" t="s">
        <v>100</v>
      </c>
      <c r="AA312" t="s">
        <v>128</v>
      </c>
      <c r="AB312" t="s">
        <v>115</v>
      </c>
      <c r="AC312">
        <v>999</v>
      </c>
      <c r="AD312" s="8" t="b">
        <f>AND(
 H312&gt;=Filters!$B$3,
 H312&lt;=Filters!$B$4,
 I312&gt;=Filters!$B$5,
 OR(Filters!$B$6="All",B312=Filters!$B$6),
 F312&gt;=Filters!$B$7,
 F312&lt;=Filters!$B$8,
 OR(Filters!$B$9="All",G312=Filters!$B$9)
)</f>
        <v>0</v>
      </c>
      <c r="AE312">
        <f t="shared" si="52"/>
        <v>6</v>
      </c>
      <c r="AF312">
        <f t="shared" si="53"/>
        <v>7</v>
      </c>
      <c r="AG312">
        <f t="shared" si="54"/>
        <v>7</v>
      </c>
      <c r="AH312" s="9" t="str">
        <f t="shared" si="55"/>
        <v/>
      </c>
      <c r="AI312" s="9" t="str">
        <f t="shared" si="56"/>
        <v/>
      </c>
      <c r="AJ312" s="9" t="str">
        <f t="shared" si="57"/>
        <v/>
      </c>
      <c r="AK312" s="9" t="str">
        <f t="shared" si="58"/>
        <v/>
      </c>
      <c r="AL312" s="9" t="str">
        <f t="shared" si="59"/>
        <v/>
      </c>
      <c r="AM312" s="9" t="str">
        <f t="shared" si="60"/>
        <v/>
      </c>
      <c r="AN312" s="9" t="str">
        <f t="shared" si="61"/>
        <v/>
      </c>
      <c r="AO312" s="9" t="str">
        <f t="shared" si="62"/>
        <v/>
      </c>
      <c r="AP312" s="9" t="str">
        <f t="shared" si="63"/>
        <v/>
      </c>
      <c r="AQ312" s="10" t="str">
        <f t="shared" si="64"/>
        <v/>
      </c>
    </row>
    <row r="313" spans="1:43">
      <c r="A313">
        <v>312</v>
      </c>
      <c r="B313" t="s">
        <v>23</v>
      </c>
      <c r="C313" t="s">
        <v>147</v>
      </c>
      <c r="D313" t="s">
        <v>148</v>
      </c>
      <c r="E313" t="s">
        <v>83</v>
      </c>
      <c r="G313" t="s">
        <v>18</v>
      </c>
      <c r="H313" s="4">
        <v>67473000</v>
      </c>
      <c r="I313" s="5">
        <v>1024</v>
      </c>
      <c r="J313" s="5">
        <v>0</v>
      </c>
      <c r="K313" s="5">
        <v>16</v>
      </c>
      <c r="L313">
        <v>7.6</v>
      </c>
      <c r="M313">
        <v>3.8</v>
      </c>
      <c r="N313">
        <v>10</v>
      </c>
      <c r="O313" s="6">
        <v>13.3</v>
      </c>
      <c r="P313" s="7">
        <v>1.21</v>
      </c>
      <c r="U313" t="s">
        <v>84</v>
      </c>
      <c r="V313" t="s">
        <v>121</v>
      </c>
      <c r="W313">
        <v>1.8</v>
      </c>
      <c r="X313" t="s">
        <v>84</v>
      </c>
      <c r="Y313" t="s">
        <v>127</v>
      </c>
      <c r="Z313" t="s">
        <v>445</v>
      </c>
      <c r="AA313" t="s">
        <v>382</v>
      </c>
      <c r="AB313" t="s">
        <v>115</v>
      </c>
      <c r="AC313">
        <v>2499</v>
      </c>
      <c r="AD313" s="8" t="b">
        <f>AND(
 H313&gt;=Filters!$B$3,
 H313&lt;=Filters!$B$4,
 I313&gt;=Filters!$B$5,
 OR(Filters!$B$6="All",B313=Filters!$B$6),
 F313&gt;=Filters!$B$7,
 F313&lt;=Filters!$B$8,
 OR(Filters!$B$9="All",G313=Filters!$B$9)
)</f>
        <v>0</v>
      </c>
      <c r="AE313">
        <f t="shared" si="52"/>
        <v>6</v>
      </c>
      <c r="AF313">
        <f t="shared" si="53"/>
        <v>7</v>
      </c>
      <c r="AG313">
        <f t="shared" si="54"/>
        <v>7</v>
      </c>
      <c r="AH313" s="9" t="str">
        <f t="shared" si="55"/>
        <v/>
      </c>
      <c r="AI313" s="9" t="str">
        <f t="shared" si="56"/>
        <v/>
      </c>
      <c r="AJ313" s="9" t="str">
        <f t="shared" si="57"/>
        <v/>
      </c>
      <c r="AK313" s="9" t="str">
        <f t="shared" si="58"/>
        <v/>
      </c>
      <c r="AL313" s="9" t="str">
        <f t="shared" si="59"/>
        <v/>
      </c>
      <c r="AM313" s="9" t="str">
        <f t="shared" si="60"/>
        <v/>
      </c>
      <c r="AN313" s="9" t="str">
        <f t="shared" si="61"/>
        <v/>
      </c>
      <c r="AO313" s="9" t="str">
        <f t="shared" si="62"/>
        <v/>
      </c>
      <c r="AP313" s="9" t="str">
        <f t="shared" si="63"/>
        <v/>
      </c>
      <c r="AQ313" s="10" t="str">
        <f t="shared" si="64"/>
        <v/>
      </c>
    </row>
    <row r="314" spans="1:43">
      <c r="A314">
        <v>313</v>
      </c>
      <c r="B314" t="s">
        <v>30</v>
      </c>
      <c r="C314" t="s">
        <v>595</v>
      </c>
      <c r="D314" t="s">
        <v>596</v>
      </c>
      <c r="E314" t="s">
        <v>158</v>
      </c>
      <c r="G314" t="s">
        <v>18</v>
      </c>
      <c r="H314" s="4">
        <v>56673000</v>
      </c>
      <c r="I314" s="5">
        <v>256</v>
      </c>
      <c r="J314" s="5">
        <v>1024</v>
      </c>
      <c r="K314" s="5">
        <v>16</v>
      </c>
      <c r="L314">
        <v>9.6</v>
      </c>
      <c r="M314">
        <v>9.1999999999999993</v>
      </c>
      <c r="N314">
        <v>6.32</v>
      </c>
      <c r="O314" s="6">
        <v>15.6</v>
      </c>
      <c r="P314" s="7">
        <v>2.8</v>
      </c>
      <c r="U314" t="s">
        <v>84</v>
      </c>
      <c r="V314" t="s">
        <v>210</v>
      </c>
      <c r="W314">
        <v>2.8</v>
      </c>
      <c r="X314" t="s">
        <v>122</v>
      </c>
      <c r="Y314" t="s">
        <v>248</v>
      </c>
      <c r="Z314" t="s">
        <v>212</v>
      </c>
      <c r="AA314" t="s">
        <v>128</v>
      </c>
      <c r="AB314" t="s">
        <v>115</v>
      </c>
      <c r="AC314">
        <v>2099</v>
      </c>
      <c r="AD314" s="8" t="b">
        <f>AND(
 H314&gt;=Filters!$B$3,
 H314&lt;=Filters!$B$4,
 I314&gt;=Filters!$B$5,
 OR(Filters!$B$6="All",B314=Filters!$B$6),
 F314&gt;=Filters!$B$7,
 F314&lt;=Filters!$B$8,
 OR(Filters!$B$9="All",G314=Filters!$B$9)
)</f>
        <v>0</v>
      </c>
      <c r="AE314">
        <f t="shared" si="52"/>
        <v>6</v>
      </c>
      <c r="AF314">
        <f t="shared" si="53"/>
        <v>7</v>
      </c>
      <c r="AG314">
        <f t="shared" si="54"/>
        <v>7</v>
      </c>
      <c r="AH314" s="9" t="str">
        <f t="shared" si="55"/>
        <v/>
      </c>
      <c r="AI314" s="9" t="str">
        <f t="shared" si="56"/>
        <v/>
      </c>
      <c r="AJ314" s="9" t="str">
        <f t="shared" si="57"/>
        <v/>
      </c>
      <c r="AK314" s="9" t="str">
        <f t="shared" si="58"/>
        <v/>
      </c>
      <c r="AL314" s="9" t="str">
        <f t="shared" si="59"/>
        <v/>
      </c>
      <c r="AM314" s="9" t="str">
        <f t="shared" si="60"/>
        <v/>
      </c>
      <c r="AN314" s="9" t="str">
        <f t="shared" si="61"/>
        <v/>
      </c>
      <c r="AO314" s="9" t="str">
        <f t="shared" si="62"/>
        <v/>
      </c>
      <c r="AP314" s="9" t="str">
        <f t="shared" si="63"/>
        <v/>
      </c>
      <c r="AQ314" s="10" t="str">
        <f t="shared" si="64"/>
        <v/>
      </c>
    </row>
    <row r="315" spans="1:43">
      <c r="A315">
        <v>314</v>
      </c>
      <c r="B315" t="s">
        <v>17</v>
      </c>
      <c r="C315" t="s">
        <v>597</v>
      </c>
      <c r="D315" t="s">
        <v>598</v>
      </c>
      <c r="E315" t="s">
        <v>97</v>
      </c>
      <c r="G315" t="s">
        <v>18</v>
      </c>
      <c r="H315" s="4">
        <v>12663000</v>
      </c>
      <c r="I315" s="5">
        <v>256</v>
      </c>
      <c r="J315" s="5">
        <v>0</v>
      </c>
      <c r="K315" s="5">
        <v>8</v>
      </c>
      <c r="L315">
        <v>5.4</v>
      </c>
      <c r="M315">
        <v>6.5</v>
      </c>
      <c r="N315">
        <v>5.92</v>
      </c>
      <c r="O315" s="6">
        <v>15.6</v>
      </c>
      <c r="P315" s="7">
        <v>2.23</v>
      </c>
      <c r="U315" t="s">
        <v>104</v>
      </c>
      <c r="V315" t="s">
        <v>599</v>
      </c>
      <c r="W315">
        <v>2.2000000000000002</v>
      </c>
      <c r="X315" t="s">
        <v>104</v>
      </c>
      <c r="Y315" t="s">
        <v>112</v>
      </c>
      <c r="Z315" t="s">
        <v>100</v>
      </c>
      <c r="AA315" t="s">
        <v>101</v>
      </c>
      <c r="AB315" t="s">
        <v>115</v>
      </c>
      <c r="AC315">
        <v>469</v>
      </c>
      <c r="AD315" s="8" t="b">
        <f>AND(
 H315&gt;=Filters!$B$3,
 H315&lt;=Filters!$B$4,
 I315&gt;=Filters!$B$5,
 OR(Filters!$B$6="All",B315=Filters!$B$6),
 F315&gt;=Filters!$B$7,
 F315&lt;=Filters!$B$8,
 OR(Filters!$B$9="All",G315=Filters!$B$9)
)</f>
        <v>1</v>
      </c>
      <c r="AE315">
        <f t="shared" si="52"/>
        <v>6</v>
      </c>
      <c r="AF315">
        <f t="shared" si="53"/>
        <v>7</v>
      </c>
      <c r="AG315">
        <f t="shared" si="54"/>
        <v>7</v>
      </c>
      <c r="AH315" s="9">
        <f t="shared" si="55"/>
        <v>0.5</v>
      </c>
      <c r="AI315" s="9">
        <f t="shared" si="56"/>
        <v>0.80952380952380942</v>
      </c>
      <c r="AJ315" s="9">
        <f t="shared" si="57"/>
        <v>0.63095238095238093</v>
      </c>
      <c r="AK315" s="9">
        <f t="shared" si="58"/>
        <v>0.56190476190476191</v>
      </c>
      <c r="AL315" s="9">
        <f t="shared" si="59"/>
        <v>0.87738095238095226</v>
      </c>
      <c r="AM315" s="9">
        <f t="shared" si="60"/>
        <v>0.5714285714285714</v>
      </c>
      <c r="AN315" s="9">
        <f t="shared" si="61"/>
        <v>0.69047619047619047</v>
      </c>
      <c r="AO315" s="9">
        <f t="shared" si="62"/>
        <v>0.69047619047619047</v>
      </c>
      <c r="AP315" s="9">
        <f t="shared" si="63"/>
        <v>0.65063576713960491</v>
      </c>
      <c r="AQ315" s="10">
        <f t="shared" si="64"/>
        <v>0.65063608213960489</v>
      </c>
    </row>
    <row r="316" spans="1:43">
      <c r="A316">
        <v>315</v>
      </c>
      <c r="B316" t="s">
        <v>21</v>
      </c>
      <c r="C316" t="s">
        <v>600</v>
      </c>
      <c r="D316" t="s">
        <v>601</v>
      </c>
      <c r="E316" t="s">
        <v>168</v>
      </c>
      <c r="G316" t="s">
        <v>18</v>
      </c>
      <c r="H316" s="4">
        <v>7425000</v>
      </c>
      <c r="I316" s="5">
        <v>32</v>
      </c>
      <c r="J316" s="5">
        <v>0</v>
      </c>
      <c r="K316" s="5">
        <v>2</v>
      </c>
      <c r="L316">
        <v>1</v>
      </c>
      <c r="M316">
        <v>3.5</v>
      </c>
      <c r="N316">
        <v>4.18</v>
      </c>
      <c r="O316" s="6">
        <v>11.6</v>
      </c>
      <c r="P316" s="7">
        <v>1.1000000000000001</v>
      </c>
      <c r="U316" t="s">
        <v>84</v>
      </c>
      <c r="V316" t="s">
        <v>198</v>
      </c>
      <c r="W316">
        <v>1.1000000000000001</v>
      </c>
      <c r="X316" t="s">
        <v>84</v>
      </c>
      <c r="Y316" t="s">
        <v>199</v>
      </c>
      <c r="Z316" t="s">
        <v>155</v>
      </c>
      <c r="AA316" t="s">
        <v>472</v>
      </c>
      <c r="AB316" t="s">
        <v>115</v>
      </c>
      <c r="AC316">
        <v>275</v>
      </c>
      <c r="AD316" s="8" t="b">
        <f>AND(
 H316&gt;=Filters!$B$3,
 H316&lt;=Filters!$B$4,
 I316&gt;=Filters!$B$5,
 OR(Filters!$B$6="All",B316=Filters!$B$6),
 F316&gt;=Filters!$B$7,
 F316&lt;=Filters!$B$8,
 OR(Filters!$B$9="All",G316=Filters!$B$9)
)</f>
        <v>0</v>
      </c>
      <c r="AE316">
        <f t="shared" si="52"/>
        <v>6</v>
      </c>
      <c r="AF316">
        <f t="shared" si="53"/>
        <v>7</v>
      </c>
      <c r="AG316">
        <f t="shared" si="54"/>
        <v>7</v>
      </c>
      <c r="AH316" s="9" t="str">
        <f t="shared" si="55"/>
        <v/>
      </c>
      <c r="AI316" s="9" t="str">
        <f t="shared" si="56"/>
        <v/>
      </c>
      <c r="AJ316" s="9" t="str">
        <f t="shared" si="57"/>
        <v/>
      </c>
      <c r="AK316" s="9" t="str">
        <f t="shared" si="58"/>
        <v/>
      </c>
      <c r="AL316" s="9" t="str">
        <f t="shared" si="59"/>
        <v/>
      </c>
      <c r="AM316" s="9" t="str">
        <f t="shared" si="60"/>
        <v/>
      </c>
      <c r="AN316" s="9" t="str">
        <f t="shared" si="61"/>
        <v/>
      </c>
      <c r="AO316" s="9" t="str">
        <f t="shared" si="62"/>
        <v/>
      </c>
      <c r="AP316" s="9" t="str">
        <f t="shared" si="63"/>
        <v/>
      </c>
      <c r="AQ316" s="10" t="str">
        <f t="shared" si="64"/>
        <v/>
      </c>
    </row>
    <row r="317" spans="1:43">
      <c r="A317">
        <v>316</v>
      </c>
      <c r="B317" t="s">
        <v>23</v>
      </c>
      <c r="C317" t="s">
        <v>174</v>
      </c>
      <c r="D317" t="s">
        <v>175</v>
      </c>
      <c r="E317" t="s">
        <v>97</v>
      </c>
      <c r="G317" t="s">
        <v>18</v>
      </c>
      <c r="H317" s="4">
        <v>22788000</v>
      </c>
      <c r="I317" s="5">
        <v>128</v>
      </c>
      <c r="J317" s="5">
        <v>1024</v>
      </c>
      <c r="K317" s="5">
        <v>8</v>
      </c>
      <c r="L317">
        <v>5.2</v>
      </c>
      <c r="M317">
        <v>6.5</v>
      </c>
      <c r="N317">
        <v>5.92</v>
      </c>
      <c r="O317" s="6">
        <v>15.6</v>
      </c>
      <c r="P317" s="7">
        <v>2.33</v>
      </c>
      <c r="U317" t="s">
        <v>84</v>
      </c>
      <c r="V317" t="s">
        <v>126</v>
      </c>
      <c r="W317">
        <v>1.6</v>
      </c>
      <c r="X317" t="s">
        <v>104</v>
      </c>
      <c r="Y317" t="s">
        <v>176</v>
      </c>
      <c r="Z317" t="s">
        <v>161</v>
      </c>
      <c r="AA317" t="s">
        <v>101</v>
      </c>
      <c r="AB317" t="s">
        <v>115</v>
      </c>
      <c r="AC317">
        <v>844</v>
      </c>
      <c r="AD317" s="8" t="b">
        <f>AND(
 H317&gt;=Filters!$B$3,
 H317&lt;=Filters!$B$4,
 I317&gt;=Filters!$B$5,
 OR(Filters!$B$6="All",B317=Filters!$B$6),
 F317&gt;=Filters!$B$7,
 F317&lt;=Filters!$B$8,
 OR(Filters!$B$9="All",G317=Filters!$B$9)
)</f>
        <v>0</v>
      </c>
      <c r="AE317">
        <f t="shared" si="52"/>
        <v>6</v>
      </c>
      <c r="AF317">
        <f t="shared" si="53"/>
        <v>7</v>
      </c>
      <c r="AG317">
        <f t="shared" si="54"/>
        <v>7</v>
      </c>
      <c r="AH317" s="9" t="str">
        <f t="shared" si="55"/>
        <v/>
      </c>
      <c r="AI317" s="9" t="str">
        <f t="shared" si="56"/>
        <v/>
      </c>
      <c r="AJ317" s="9" t="str">
        <f t="shared" si="57"/>
        <v/>
      </c>
      <c r="AK317" s="9" t="str">
        <f t="shared" si="58"/>
        <v/>
      </c>
      <c r="AL317" s="9" t="str">
        <f t="shared" si="59"/>
        <v/>
      </c>
      <c r="AM317" s="9" t="str">
        <f t="shared" si="60"/>
        <v/>
      </c>
      <c r="AN317" s="9" t="str">
        <f t="shared" si="61"/>
        <v/>
      </c>
      <c r="AO317" s="9" t="str">
        <f t="shared" si="62"/>
        <v/>
      </c>
      <c r="AP317" s="9" t="str">
        <f t="shared" si="63"/>
        <v/>
      </c>
      <c r="AQ317" s="10" t="str">
        <f t="shared" si="64"/>
        <v/>
      </c>
    </row>
    <row r="318" spans="1:43">
      <c r="A318">
        <v>317</v>
      </c>
      <c r="B318" t="s">
        <v>26</v>
      </c>
      <c r="C318" t="s">
        <v>339</v>
      </c>
      <c r="D318" t="s">
        <v>340</v>
      </c>
      <c r="E318" t="s">
        <v>168</v>
      </c>
      <c r="G318" t="s">
        <v>18</v>
      </c>
      <c r="H318" s="4">
        <v>66123000</v>
      </c>
      <c r="I318" s="5">
        <v>1024</v>
      </c>
      <c r="J318" s="5">
        <v>0</v>
      </c>
      <c r="K318" s="5">
        <v>16</v>
      </c>
      <c r="L318">
        <v>7.6</v>
      </c>
      <c r="M318">
        <v>3.8</v>
      </c>
      <c r="N318">
        <v>10</v>
      </c>
      <c r="O318" s="6">
        <v>13.3</v>
      </c>
      <c r="P318" s="7">
        <v>1.29</v>
      </c>
      <c r="U318" t="s">
        <v>84</v>
      </c>
      <c r="V318" t="s">
        <v>121</v>
      </c>
      <c r="W318">
        <v>1.8</v>
      </c>
      <c r="X318" t="s">
        <v>84</v>
      </c>
      <c r="Y318" t="s">
        <v>127</v>
      </c>
      <c r="Z318" t="s">
        <v>445</v>
      </c>
      <c r="AA318" t="s">
        <v>382</v>
      </c>
      <c r="AB318" t="s">
        <v>115</v>
      </c>
      <c r="AC318">
        <v>2449</v>
      </c>
      <c r="AD318" s="8" t="b">
        <f>AND(
 H318&gt;=Filters!$B$3,
 H318&lt;=Filters!$B$4,
 I318&gt;=Filters!$B$5,
 OR(Filters!$B$6="All",B318=Filters!$B$6),
 F318&gt;=Filters!$B$7,
 F318&lt;=Filters!$B$8,
 OR(Filters!$B$9="All",G318=Filters!$B$9)
)</f>
        <v>0</v>
      </c>
      <c r="AE318">
        <f t="shared" si="52"/>
        <v>6</v>
      </c>
      <c r="AF318">
        <f t="shared" si="53"/>
        <v>7</v>
      </c>
      <c r="AG318">
        <f t="shared" si="54"/>
        <v>7</v>
      </c>
      <c r="AH318" s="9" t="str">
        <f t="shared" si="55"/>
        <v/>
      </c>
      <c r="AI318" s="9" t="str">
        <f t="shared" si="56"/>
        <v/>
      </c>
      <c r="AJ318" s="9" t="str">
        <f t="shared" si="57"/>
        <v/>
      </c>
      <c r="AK318" s="9" t="str">
        <f t="shared" si="58"/>
        <v/>
      </c>
      <c r="AL318" s="9" t="str">
        <f t="shared" si="59"/>
        <v/>
      </c>
      <c r="AM318" s="9" t="str">
        <f t="shared" si="60"/>
        <v/>
      </c>
      <c r="AN318" s="9" t="str">
        <f t="shared" si="61"/>
        <v/>
      </c>
      <c r="AO318" s="9" t="str">
        <f t="shared" si="62"/>
        <v/>
      </c>
      <c r="AP318" s="9" t="str">
        <f t="shared" si="63"/>
        <v/>
      </c>
      <c r="AQ318" s="10" t="str">
        <f t="shared" si="64"/>
        <v/>
      </c>
    </row>
    <row r="319" spans="1:43">
      <c r="A319">
        <v>318</v>
      </c>
      <c r="B319" t="s">
        <v>29</v>
      </c>
      <c r="C319" t="s">
        <v>602</v>
      </c>
      <c r="D319" t="s">
        <v>603</v>
      </c>
      <c r="E319" t="s">
        <v>97</v>
      </c>
      <c r="G319" t="s">
        <v>18</v>
      </c>
      <c r="H319" s="4">
        <v>12417300</v>
      </c>
      <c r="I319" s="5">
        <v>16</v>
      </c>
      <c r="J319" s="5">
        <v>0</v>
      </c>
      <c r="K319" s="5">
        <v>4</v>
      </c>
      <c r="L319">
        <v>1.2</v>
      </c>
      <c r="M319">
        <v>3.5</v>
      </c>
      <c r="N319">
        <v>3.96</v>
      </c>
      <c r="O319" s="6">
        <v>13.3</v>
      </c>
      <c r="P319" s="7">
        <v>1.45</v>
      </c>
      <c r="U319" t="s">
        <v>84</v>
      </c>
      <c r="V319" t="s">
        <v>604</v>
      </c>
      <c r="W319">
        <v>1.6</v>
      </c>
      <c r="X319" t="s">
        <v>84</v>
      </c>
      <c r="Y319" t="s">
        <v>605</v>
      </c>
      <c r="Z319" t="s">
        <v>606</v>
      </c>
      <c r="AA319" t="s">
        <v>114</v>
      </c>
      <c r="AB319" t="s">
        <v>563</v>
      </c>
      <c r="AC319">
        <v>459.9</v>
      </c>
      <c r="AD319" s="8" t="b">
        <f>AND(
 H319&gt;=Filters!$B$3,
 H319&lt;=Filters!$B$4,
 I319&gt;=Filters!$B$5,
 OR(Filters!$B$6="All",B319=Filters!$B$6),
 F319&gt;=Filters!$B$7,
 F319&lt;=Filters!$B$8,
 OR(Filters!$B$9="All",G319=Filters!$B$9)
)</f>
        <v>0</v>
      </c>
      <c r="AE319">
        <f t="shared" si="52"/>
        <v>6</v>
      </c>
      <c r="AF319">
        <f t="shared" si="53"/>
        <v>7</v>
      </c>
      <c r="AG319">
        <f t="shared" si="54"/>
        <v>7</v>
      </c>
      <c r="AH319" s="9" t="str">
        <f t="shared" si="55"/>
        <v/>
      </c>
      <c r="AI319" s="9" t="str">
        <f t="shared" si="56"/>
        <v/>
      </c>
      <c r="AJ319" s="9" t="str">
        <f t="shared" si="57"/>
        <v/>
      </c>
      <c r="AK319" s="9" t="str">
        <f t="shared" si="58"/>
        <v/>
      </c>
      <c r="AL319" s="9" t="str">
        <f t="shared" si="59"/>
        <v/>
      </c>
      <c r="AM319" s="9" t="str">
        <f t="shared" si="60"/>
        <v/>
      </c>
      <c r="AN319" s="9" t="str">
        <f t="shared" si="61"/>
        <v/>
      </c>
      <c r="AO319" s="9" t="str">
        <f t="shared" si="62"/>
        <v/>
      </c>
      <c r="AP319" s="9" t="str">
        <f t="shared" si="63"/>
        <v/>
      </c>
      <c r="AQ319" s="10" t="str">
        <f t="shared" si="64"/>
        <v/>
      </c>
    </row>
    <row r="320" spans="1:43">
      <c r="A320">
        <v>319</v>
      </c>
      <c r="B320" t="s">
        <v>26</v>
      </c>
      <c r="C320" t="s">
        <v>607</v>
      </c>
      <c r="D320" t="s">
        <v>608</v>
      </c>
      <c r="E320" t="s">
        <v>97</v>
      </c>
      <c r="G320" t="s">
        <v>18</v>
      </c>
      <c r="H320" s="4">
        <v>26460000</v>
      </c>
      <c r="I320" s="5">
        <v>256</v>
      </c>
      <c r="J320" s="5">
        <v>0</v>
      </c>
      <c r="K320" s="5">
        <v>8</v>
      </c>
      <c r="L320">
        <v>7</v>
      </c>
      <c r="M320">
        <v>3.5</v>
      </c>
      <c r="N320">
        <v>6</v>
      </c>
      <c r="O320" s="6">
        <v>14</v>
      </c>
      <c r="P320" s="7">
        <v>1.95</v>
      </c>
      <c r="U320" t="s">
        <v>84</v>
      </c>
      <c r="V320" t="s">
        <v>98</v>
      </c>
      <c r="W320">
        <v>2.5</v>
      </c>
      <c r="X320" t="s">
        <v>84</v>
      </c>
      <c r="Y320" t="s">
        <v>99</v>
      </c>
      <c r="Z320" t="s">
        <v>100</v>
      </c>
      <c r="AA320" t="s">
        <v>101</v>
      </c>
      <c r="AB320" t="s">
        <v>115</v>
      </c>
      <c r="AC320">
        <v>980</v>
      </c>
      <c r="AD320" s="8" t="b">
        <f>AND(
 H320&gt;=Filters!$B$3,
 H320&lt;=Filters!$B$4,
 I320&gt;=Filters!$B$5,
 OR(Filters!$B$6="All",B320=Filters!$B$6),
 F320&gt;=Filters!$B$7,
 F320&lt;=Filters!$B$8,
 OR(Filters!$B$9="All",G320=Filters!$B$9)
)</f>
        <v>0</v>
      </c>
      <c r="AE320">
        <f t="shared" si="52"/>
        <v>6</v>
      </c>
      <c r="AF320">
        <f t="shared" si="53"/>
        <v>7</v>
      </c>
      <c r="AG320">
        <f t="shared" si="54"/>
        <v>7</v>
      </c>
      <c r="AH320" s="9" t="str">
        <f t="shared" si="55"/>
        <v/>
      </c>
      <c r="AI320" s="9" t="str">
        <f t="shared" si="56"/>
        <v/>
      </c>
      <c r="AJ320" s="9" t="str">
        <f t="shared" si="57"/>
        <v/>
      </c>
      <c r="AK320" s="9" t="str">
        <f t="shared" si="58"/>
        <v/>
      </c>
      <c r="AL320" s="9" t="str">
        <f t="shared" si="59"/>
        <v/>
      </c>
      <c r="AM320" s="9" t="str">
        <f t="shared" si="60"/>
        <v/>
      </c>
      <c r="AN320" s="9" t="str">
        <f t="shared" si="61"/>
        <v/>
      </c>
      <c r="AO320" s="9" t="str">
        <f t="shared" si="62"/>
        <v/>
      </c>
      <c r="AP320" s="9" t="str">
        <f t="shared" si="63"/>
        <v/>
      </c>
      <c r="AQ320" s="10" t="str">
        <f t="shared" si="64"/>
        <v/>
      </c>
    </row>
    <row r="321" spans="1:43">
      <c r="A321">
        <v>320</v>
      </c>
      <c r="B321" t="s">
        <v>17</v>
      </c>
      <c r="C321" t="s">
        <v>609</v>
      </c>
      <c r="D321" t="s">
        <v>610</v>
      </c>
      <c r="E321" t="s">
        <v>97</v>
      </c>
      <c r="G321" t="s">
        <v>18</v>
      </c>
      <c r="H321" s="4">
        <v>13095000</v>
      </c>
      <c r="I321" s="5">
        <v>128</v>
      </c>
      <c r="J321" s="5">
        <v>0</v>
      </c>
      <c r="K321" s="5">
        <v>4</v>
      </c>
      <c r="L321">
        <v>2.2000000000000002</v>
      </c>
      <c r="M321">
        <v>3.5</v>
      </c>
      <c r="N321">
        <v>3.88</v>
      </c>
      <c r="O321" s="6">
        <v>11.6</v>
      </c>
      <c r="P321" s="7">
        <v>1.4</v>
      </c>
      <c r="U321" t="s">
        <v>84</v>
      </c>
      <c r="V321" t="s">
        <v>611</v>
      </c>
      <c r="W321">
        <v>1.6</v>
      </c>
      <c r="X321" t="s">
        <v>84</v>
      </c>
      <c r="Y321" t="s">
        <v>612</v>
      </c>
      <c r="Z321" t="s">
        <v>93</v>
      </c>
      <c r="AA321" t="s">
        <v>114</v>
      </c>
      <c r="AB321" t="s">
        <v>115</v>
      </c>
      <c r="AC321">
        <v>485</v>
      </c>
      <c r="AD321" s="8" t="b">
        <f>AND(
 H321&gt;=Filters!$B$3,
 H321&lt;=Filters!$B$4,
 I321&gt;=Filters!$B$5,
 OR(Filters!$B$6="All",B321=Filters!$B$6),
 F321&gt;=Filters!$B$7,
 F321&lt;=Filters!$B$8,
 OR(Filters!$B$9="All",G321=Filters!$B$9)
)</f>
        <v>0</v>
      </c>
      <c r="AE321">
        <f t="shared" si="52"/>
        <v>6</v>
      </c>
      <c r="AF321">
        <f t="shared" si="53"/>
        <v>7</v>
      </c>
      <c r="AG321">
        <f t="shared" si="54"/>
        <v>7</v>
      </c>
      <c r="AH321" s="9" t="str">
        <f t="shared" si="55"/>
        <v/>
      </c>
      <c r="AI321" s="9" t="str">
        <f t="shared" si="56"/>
        <v/>
      </c>
      <c r="AJ321" s="9" t="str">
        <f t="shared" si="57"/>
        <v/>
      </c>
      <c r="AK321" s="9" t="str">
        <f t="shared" si="58"/>
        <v/>
      </c>
      <c r="AL321" s="9" t="str">
        <f t="shared" si="59"/>
        <v/>
      </c>
      <c r="AM321" s="9" t="str">
        <f t="shared" si="60"/>
        <v/>
      </c>
      <c r="AN321" s="9" t="str">
        <f t="shared" si="61"/>
        <v/>
      </c>
      <c r="AO321" s="9" t="str">
        <f t="shared" si="62"/>
        <v/>
      </c>
      <c r="AP321" s="9" t="str">
        <f t="shared" si="63"/>
        <v/>
      </c>
      <c r="AQ321" s="10" t="str">
        <f t="shared" si="64"/>
        <v/>
      </c>
    </row>
    <row r="322" spans="1:43">
      <c r="A322">
        <v>321</v>
      </c>
      <c r="B322" t="s">
        <v>26</v>
      </c>
      <c r="C322" t="s">
        <v>613</v>
      </c>
      <c r="D322" t="s">
        <v>614</v>
      </c>
      <c r="E322" t="s">
        <v>97</v>
      </c>
      <c r="G322" t="s">
        <v>18</v>
      </c>
      <c r="H322" s="4">
        <v>34884000</v>
      </c>
      <c r="I322" s="5">
        <v>256</v>
      </c>
      <c r="J322" s="5">
        <v>0</v>
      </c>
      <c r="K322" s="5">
        <v>8</v>
      </c>
      <c r="L322">
        <v>9.4</v>
      </c>
      <c r="M322">
        <v>3.5</v>
      </c>
      <c r="N322">
        <v>6</v>
      </c>
      <c r="O322" s="6">
        <v>14</v>
      </c>
      <c r="P322" s="7">
        <v>1.48</v>
      </c>
      <c r="U322" t="s">
        <v>84</v>
      </c>
      <c r="V322" t="s">
        <v>140</v>
      </c>
      <c r="W322">
        <v>2.7</v>
      </c>
      <c r="X322" t="s">
        <v>84</v>
      </c>
      <c r="Y322" t="s">
        <v>99</v>
      </c>
      <c r="Z322" t="s">
        <v>100</v>
      </c>
      <c r="AA322" t="s">
        <v>101</v>
      </c>
      <c r="AB322" t="s">
        <v>115</v>
      </c>
      <c r="AC322">
        <v>1292</v>
      </c>
      <c r="AD322" s="8" t="b">
        <f>AND(
 H322&gt;=Filters!$B$3,
 H322&lt;=Filters!$B$4,
 I322&gt;=Filters!$B$5,
 OR(Filters!$B$6="All",B322=Filters!$B$6),
 F322&gt;=Filters!$B$7,
 F322&lt;=Filters!$B$8,
 OR(Filters!$B$9="All",G322=Filters!$B$9)
)</f>
        <v>0</v>
      </c>
      <c r="AE322">
        <f t="shared" ref="AE322:AE385" si="65">IF(Q322="",6,Q322)</f>
        <v>6</v>
      </c>
      <c r="AF322">
        <f t="shared" ref="AF322:AF385" si="66">IF(R322="",7,R322)</f>
        <v>7</v>
      </c>
      <c r="AG322">
        <f t="shared" ref="AG322:AG385" si="67">IF(S322="",7,S322)</f>
        <v>7</v>
      </c>
      <c r="AH322" s="9" t="str">
        <f t="shared" ref="AH322:AH385" si="68">IF(AD322,IF(CPU_MAX=CPU_MIN,1,(L322-CPU_MIN)/(CPU_MAX-CPU_MIN)),"")</f>
        <v/>
      </c>
      <c r="AI322" s="9" t="str">
        <f t="shared" ref="AI322:AI385" si="69">IF(AD322,IF(RAM_MAX=RAM_MIN,1,(K322-RAM_MIN)/(RAM_MAX-RAM_MIN)),"")</f>
        <v/>
      </c>
      <c r="AJ322" s="9" t="str">
        <f t="shared" ref="AJ322:AJ385" si="70">IF(AD322,IF(GPU_MAX=GPU_MIN,1,(M322-GPU_MIN)/(GPU_MAX-GPU_MIN)),"")</f>
        <v/>
      </c>
      <c r="AK322" s="9" t="str">
        <f t="shared" ref="AK322:AK385" si="71">IF(AD322,IF(SCREEN_MAX=SCREEN_MIN,1,(N322-SCREEN_MIN)/(SCREEN_MAX-SCREEN_MIN)),"")</f>
        <v/>
      </c>
      <c r="AL322" s="9" t="str">
        <f t="shared" ref="AL322:AL385" si="72">IF(AD322,IF(WEIGHT_MAX=WEIGHT_MIN,1,(WEIGHT_MAX-P322)/(WEIGHT_MAX-WEIGHT_MIN)),"")</f>
        <v/>
      </c>
      <c r="AM322" s="9" t="str">
        <f t="shared" ref="AM322:AM385" si="73">IF(AD322,IF(BATTERY_MAX=BATTERY_MIN,1,(AE322-BATTERY_MIN)/(BATTERY_MAX-BATTERY_MIN)),"")</f>
        <v/>
      </c>
      <c r="AN322" s="9" t="str">
        <f t="shared" ref="AN322:AN385" si="74">IF(AD322,IF(DURABILITY_MAX=DURABILITY_MIN,1,(AF322-DURABILITY_MIN)/(DURABILITY_MAX-DURABILITY_MIN)),"")</f>
        <v/>
      </c>
      <c r="AO322" s="9" t="str">
        <f t="shared" ref="AO322:AO385" si="75">IF(AD322,IF(UPGRADE_MAX=UPGRADE_MIN,1,(AG322-UPGRADE_MIN)/(UPGRADE_MAX-UPGRADE_MIN)),"")</f>
        <v/>
      </c>
      <c r="AP322" s="9" t="str">
        <f t="shared" ref="AP322:AP385" si="76">IF(AD322,W_CPU*AH322+W_RAM*AI322+W_GPU*AJ322+W_SCREEN*AK322+W_WEIGHT*AL322+W_BATTERY*AM322+W_DURABILITY*AN322+W_UPGRADE*AO322,"" )</f>
        <v/>
      </c>
      <c r="AQ322" s="10" t="str">
        <f t="shared" ref="AQ322:AQ385" si="77">IF(AP322="","",AP322+ROW()*0.000000001)</f>
        <v/>
      </c>
    </row>
    <row r="323" spans="1:43">
      <c r="A323">
        <v>322</v>
      </c>
      <c r="B323" t="s">
        <v>29</v>
      </c>
      <c r="C323" t="s">
        <v>479</v>
      </c>
      <c r="D323" t="s">
        <v>480</v>
      </c>
      <c r="E323" t="s">
        <v>97</v>
      </c>
      <c r="G323" t="s">
        <v>18</v>
      </c>
      <c r="H323" s="4">
        <v>15903000</v>
      </c>
      <c r="I323" s="5">
        <v>0</v>
      </c>
      <c r="J323" s="5">
        <v>1024</v>
      </c>
      <c r="K323" s="5">
        <v>4</v>
      </c>
      <c r="L323">
        <v>7</v>
      </c>
      <c r="M323">
        <v>6.5</v>
      </c>
      <c r="N323">
        <v>5.83</v>
      </c>
      <c r="O323" s="6">
        <v>17.3</v>
      </c>
      <c r="P323" s="7">
        <v>2.79</v>
      </c>
      <c r="U323" t="s">
        <v>84</v>
      </c>
      <c r="V323" t="s">
        <v>98</v>
      </c>
      <c r="W323">
        <v>2.5</v>
      </c>
      <c r="X323" t="s">
        <v>122</v>
      </c>
      <c r="Y323" t="s">
        <v>230</v>
      </c>
      <c r="Z323" t="s">
        <v>146</v>
      </c>
      <c r="AA323" t="s">
        <v>452</v>
      </c>
      <c r="AB323" t="s">
        <v>115</v>
      </c>
      <c r="AC323">
        <v>589</v>
      </c>
      <c r="AD323" s="8" t="b">
        <f>AND(
 H323&gt;=Filters!$B$3,
 H323&lt;=Filters!$B$4,
 I323&gt;=Filters!$B$5,
 OR(Filters!$B$6="All",B323=Filters!$B$6),
 F323&gt;=Filters!$B$7,
 F323&lt;=Filters!$B$8,
 OR(Filters!$B$9="All",G323=Filters!$B$9)
)</f>
        <v>0</v>
      </c>
      <c r="AE323">
        <f t="shared" si="65"/>
        <v>6</v>
      </c>
      <c r="AF323">
        <f t="shared" si="66"/>
        <v>7</v>
      </c>
      <c r="AG323">
        <f t="shared" si="67"/>
        <v>7</v>
      </c>
      <c r="AH323" s="9" t="str">
        <f t="shared" si="68"/>
        <v/>
      </c>
      <c r="AI323" s="9" t="str">
        <f t="shared" si="69"/>
        <v/>
      </c>
      <c r="AJ323" s="9" t="str">
        <f t="shared" si="70"/>
        <v/>
      </c>
      <c r="AK323" s="9" t="str">
        <f t="shared" si="71"/>
        <v/>
      </c>
      <c r="AL323" s="9" t="str">
        <f t="shared" si="72"/>
        <v/>
      </c>
      <c r="AM323" s="9" t="str">
        <f t="shared" si="73"/>
        <v/>
      </c>
      <c r="AN323" s="9" t="str">
        <f t="shared" si="74"/>
        <v/>
      </c>
      <c r="AO323" s="9" t="str">
        <f t="shared" si="75"/>
        <v/>
      </c>
      <c r="AP323" s="9" t="str">
        <f t="shared" si="76"/>
        <v/>
      </c>
      <c r="AQ323" s="10" t="str">
        <f t="shared" si="77"/>
        <v/>
      </c>
    </row>
    <row r="324" spans="1:43">
      <c r="A324">
        <v>323</v>
      </c>
      <c r="B324" t="s">
        <v>21</v>
      </c>
      <c r="C324" t="s">
        <v>615</v>
      </c>
      <c r="D324" t="s">
        <v>616</v>
      </c>
      <c r="E324" t="s">
        <v>97</v>
      </c>
      <c r="G324" t="s">
        <v>18</v>
      </c>
      <c r="H324" s="4">
        <v>29538000</v>
      </c>
      <c r="I324" s="5">
        <v>256</v>
      </c>
      <c r="J324" s="5">
        <v>0</v>
      </c>
      <c r="K324" s="5">
        <v>8</v>
      </c>
      <c r="L324">
        <v>9.4</v>
      </c>
      <c r="M324">
        <v>3.5</v>
      </c>
      <c r="N324">
        <v>6</v>
      </c>
      <c r="O324" s="6">
        <v>14</v>
      </c>
      <c r="P324" s="7">
        <v>2</v>
      </c>
      <c r="U324" t="s">
        <v>84</v>
      </c>
      <c r="V324" t="s">
        <v>140</v>
      </c>
      <c r="W324">
        <v>2.7</v>
      </c>
      <c r="X324" t="s">
        <v>84</v>
      </c>
      <c r="Y324" t="s">
        <v>99</v>
      </c>
      <c r="Z324" t="s">
        <v>100</v>
      </c>
      <c r="AA324" t="s">
        <v>101</v>
      </c>
      <c r="AB324" t="s">
        <v>115</v>
      </c>
      <c r="AC324">
        <v>1094</v>
      </c>
      <c r="AD324" s="8" t="b">
        <f>AND(
 H324&gt;=Filters!$B$3,
 H324&lt;=Filters!$B$4,
 I324&gt;=Filters!$B$5,
 OR(Filters!$B$6="All",B324=Filters!$B$6),
 F324&gt;=Filters!$B$7,
 F324&lt;=Filters!$B$8,
 OR(Filters!$B$9="All",G324=Filters!$B$9)
)</f>
        <v>0</v>
      </c>
      <c r="AE324">
        <f t="shared" si="65"/>
        <v>6</v>
      </c>
      <c r="AF324">
        <f t="shared" si="66"/>
        <v>7</v>
      </c>
      <c r="AG324">
        <f t="shared" si="67"/>
        <v>7</v>
      </c>
      <c r="AH324" s="9" t="str">
        <f t="shared" si="68"/>
        <v/>
      </c>
      <c r="AI324" s="9" t="str">
        <f t="shared" si="69"/>
        <v/>
      </c>
      <c r="AJ324" s="9" t="str">
        <f t="shared" si="70"/>
        <v/>
      </c>
      <c r="AK324" s="9" t="str">
        <f t="shared" si="71"/>
        <v/>
      </c>
      <c r="AL324" s="9" t="str">
        <f t="shared" si="72"/>
        <v/>
      </c>
      <c r="AM324" s="9" t="str">
        <f t="shared" si="73"/>
        <v/>
      </c>
      <c r="AN324" s="9" t="str">
        <f t="shared" si="74"/>
        <v/>
      </c>
      <c r="AO324" s="9" t="str">
        <f t="shared" si="75"/>
        <v/>
      </c>
      <c r="AP324" s="9" t="str">
        <f t="shared" si="76"/>
        <v/>
      </c>
      <c r="AQ324" s="10" t="str">
        <f t="shared" si="77"/>
        <v/>
      </c>
    </row>
    <row r="325" spans="1:43">
      <c r="A325">
        <v>324</v>
      </c>
      <c r="B325" t="s">
        <v>26</v>
      </c>
      <c r="C325" t="s">
        <v>204</v>
      </c>
      <c r="D325" t="s">
        <v>205</v>
      </c>
      <c r="E325" t="s">
        <v>97</v>
      </c>
      <c r="G325" t="s">
        <v>18</v>
      </c>
      <c r="H325" s="4">
        <v>24354000</v>
      </c>
      <c r="I325" s="5">
        <v>0</v>
      </c>
      <c r="J325" s="5">
        <v>1024</v>
      </c>
      <c r="K325" s="5">
        <v>8</v>
      </c>
      <c r="L325">
        <v>7.6</v>
      </c>
      <c r="M325">
        <v>3.8</v>
      </c>
      <c r="N325">
        <v>4.32</v>
      </c>
      <c r="O325" s="6">
        <v>15.6</v>
      </c>
      <c r="P325" s="7">
        <v>2.1</v>
      </c>
      <c r="U325" t="s">
        <v>84</v>
      </c>
      <c r="V325" t="s">
        <v>121</v>
      </c>
      <c r="W325">
        <v>1.8</v>
      </c>
      <c r="X325" t="s">
        <v>84</v>
      </c>
      <c r="Y325" t="s">
        <v>127</v>
      </c>
      <c r="Z325" t="s">
        <v>146</v>
      </c>
      <c r="AA325" t="s">
        <v>617</v>
      </c>
      <c r="AB325" t="s">
        <v>115</v>
      </c>
      <c r="AC325">
        <v>902</v>
      </c>
      <c r="AD325" s="8" t="b">
        <f>AND(
 H325&gt;=Filters!$B$3,
 H325&lt;=Filters!$B$4,
 I325&gt;=Filters!$B$5,
 OR(Filters!$B$6="All",B325=Filters!$B$6),
 F325&gt;=Filters!$B$7,
 F325&lt;=Filters!$B$8,
 OR(Filters!$B$9="All",G325=Filters!$B$9)
)</f>
        <v>0</v>
      </c>
      <c r="AE325">
        <f t="shared" si="65"/>
        <v>6</v>
      </c>
      <c r="AF325">
        <f t="shared" si="66"/>
        <v>7</v>
      </c>
      <c r="AG325">
        <f t="shared" si="67"/>
        <v>7</v>
      </c>
      <c r="AH325" s="9" t="str">
        <f t="shared" si="68"/>
        <v/>
      </c>
      <c r="AI325" s="9" t="str">
        <f t="shared" si="69"/>
        <v/>
      </c>
      <c r="AJ325" s="9" t="str">
        <f t="shared" si="70"/>
        <v/>
      </c>
      <c r="AK325" s="9" t="str">
        <f t="shared" si="71"/>
        <v/>
      </c>
      <c r="AL325" s="9" t="str">
        <f t="shared" si="72"/>
        <v/>
      </c>
      <c r="AM325" s="9" t="str">
        <f t="shared" si="73"/>
        <v/>
      </c>
      <c r="AN325" s="9" t="str">
        <f t="shared" si="74"/>
        <v/>
      </c>
      <c r="AO325" s="9" t="str">
        <f t="shared" si="75"/>
        <v/>
      </c>
      <c r="AP325" s="9" t="str">
        <f t="shared" si="76"/>
        <v/>
      </c>
      <c r="AQ325" s="10" t="str">
        <f t="shared" si="77"/>
        <v/>
      </c>
    </row>
    <row r="326" spans="1:43">
      <c r="A326">
        <v>325</v>
      </c>
      <c r="B326" t="s">
        <v>17</v>
      </c>
      <c r="C326" t="s">
        <v>301</v>
      </c>
      <c r="D326" t="s">
        <v>302</v>
      </c>
      <c r="E326" t="s">
        <v>97</v>
      </c>
      <c r="G326" t="s">
        <v>18</v>
      </c>
      <c r="H326" s="4">
        <v>17793000</v>
      </c>
      <c r="I326" s="5">
        <v>256</v>
      </c>
      <c r="J326" s="5">
        <v>0</v>
      </c>
      <c r="K326" s="5">
        <v>8</v>
      </c>
      <c r="L326">
        <v>6.4</v>
      </c>
      <c r="M326">
        <v>8</v>
      </c>
      <c r="N326">
        <v>3.92</v>
      </c>
      <c r="O326" s="6">
        <v>15.6</v>
      </c>
      <c r="P326" s="7">
        <v>2.2000000000000002</v>
      </c>
      <c r="U326" t="s">
        <v>104</v>
      </c>
      <c r="V326" t="s">
        <v>618</v>
      </c>
      <c r="W326">
        <v>2.7</v>
      </c>
      <c r="X326" t="s">
        <v>104</v>
      </c>
      <c r="Y326" t="s">
        <v>619</v>
      </c>
      <c r="Z326" t="s">
        <v>100</v>
      </c>
      <c r="AA326" t="s">
        <v>114</v>
      </c>
      <c r="AB326" t="s">
        <v>115</v>
      </c>
      <c r="AC326">
        <v>659</v>
      </c>
      <c r="AD326" s="8" t="b">
        <f>AND(
 H326&gt;=Filters!$B$3,
 H326&lt;=Filters!$B$4,
 I326&gt;=Filters!$B$5,
 OR(Filters!$B$6="All",B326=Filters!$B$6),
 F326&gt;=Filters!$B$7,
 F326&lt;=Filters!$B$8,
 OR(Filters!$B$9="All",G326=Filters!$B$9)
)</f>
        <v>1</v>
      </c>
      <c r="AE326">
        <f t="shared" si="65"/>
        <v>6</v>
      </c>
      <c r="AF326">
        <f t="shared" si="66"/>
        <v>7</v>
      </c>
      <c r="AG326">
        <f t="shared" si="67"/>
        <v>7</v>
      </c>
      <c r="AH326" s="9">
        <f t="shared" si="68"/>
        <v>0.61904761904761907</v>
      </c>
      <c r="AI326" s="9">
        <f t="shared" si="69"/>
        <v>0.80952380952380942</v>
      </c>
      <c r="AJ326" s="9">
        <f t="shared" si="70"/>
        <v>0.80952380952380942</v>
      </c>
      <c r="AK326" s="9">
        <f t="shared" si="71"/>
        <v>0.32380952380952377</v>
      </c>
      <c r="AL326" s="9">
        <f t="shared" si="72"/>
        <v>0.88095238095238082</v>
      </c>
      <c r="AM326" s="9">
        <f t="shared" si="73"/>
        <v>0.5714285714285714</v>
      </c>
      <c r="AN326" s="9">
        <f t="shared" si="74"/>
        <v>0.69047619047619047</v>
      </c>
      <c r="AO326" s="9">
        <f t="shared" si="75"/>
        <v>0.69047619047619047</v>
      </c>
      <c r="AP326" s="9">
        <f t="shared" si="76"/>
        <v>0.66783991044409174</v>
      </c>
      <c r="AQ326" s="10">
        <f t="shared" si="77"/>
        <v>0.66784023644409174</v>
      </c>
    </row>
    <row r="327" spans="1:43">
      <c r="A327">
        <v>326</v>
      </c>
      <c r="B327" t="s">
        <v>29</v>
      </c>
      <c r="C327" t="s">
        <v>196</v>
      </c>
      <c r="D327" t="s">
        <v>197</v>
      </c>
      <c r="E327" t="s">
        <v>97</v>
      </c>
      <c r="G327" t="s">
        <v>18</v>
      </c>
      <c r="H327" s="4">
        <v>7884000</v>
      </c>
      <c r="I327" s="5">
        <v>32</v>
      </c>
      <c r="J327" s="5">
        <v>0</v>
      </c>
      <c r="K327" s="5">
        <v>4</v>
      </c>
      <c r="L327">
        <v>1</v>
      </c>
      <c r="M327">
        <v>3.5</v>
      </c>
      <c r="N327">
        <v>4</v>
      </c>
      <c r="O327" s="6">
        <v>14</v>
      </c>
      <c r="P327" s="7">
        <v>1.44</v>
      </c>
      <c r="U327" t="s">
        <v>84</v>
      </c>
      <c r="V327" t="s">
        <v>198</v>
      </c>
      <c r="W327">
        <v>1.1000000000000001</v>
      </c>
      <c r="X327" t="s">
        <v>84</v>
      </c>
      <c r="Y327" t="s">
        <v>199</v>
      </c>
      <c r="Z327" t="s">
        <v>155</v>
      </c>
      <c r="AA327" t="s">
        <v>114</v>
      </c>
      <c r="AB327" t="s">
        <v>115</v>
      </c>
      <c r="AC327">
        <v>292</v>
      </c>
      <c r="AD327" s="8" t="b">
        <f>AND(
 H327&gt;=Filters!$B$3,
 H327&lt;=Filters!$B$4,
 I327&gt;=Filters!$B$5,
 OR(Filters!$B$6="All",B327=Filters!$B$6),
 F327&gt;=Filters!$B$7,
 F327&lt;=Filters!$B$8,
 OR(Filters!$B$9="All",G327=Filters!$B$9)
)</f>
        <v>0</v>
      </c>
      <c r="AE327">
        <f t="shared" si="65"/>
        <v>6</v>
      </c>
      <c r="AF327">
        <f t="shared" si="66"/>
        <v>7</v>
      </c>
      <c r="AG327">
        <f t="shared" si="67"/>
        <v>7</v>
      </c>
      <c r="AH327" s="9" t="str">
        <f t="shared" si="68"/>
        <v/>
      </c>
      <c r="AI327" s="9" t="str">
        <f t="shared" si="69"/>
        <v/>
      </c>
      <c r="AJ327" s="9" t="str">
        <f t="shared" si="70"/>
        <v/>
      </c>
      <c r="AK327" s="9" t="str">
        <f t="shared" si="71"/>
        <v/>
      </c>
      <c r="AL327" s="9" t="str">
        <f t="shared" si="72"/>
        <v/>
      </c>
      <c r="AM327" s="9" t="str">
        <f t="shared" si="73"/>
        <v/>
      </c>
      <c r="AN327" s="9" t="str">
        <f t="shared" si="74"/>
        <v/>
      </c>
      <c r="AO327" s="9" t="str">
        <f t="shared" si="75"/>
        <v/>
      </c>
      <c r="AP327" s="9" t="str">
        <f t="shared" si="76"/>
        <v/>
      </c>
      <c r="AQ327" s="10" t="str">
        <f t="shared" si="77"/>
        <v/>
      </c>
    </row>
    <row r="328" spans="1:43">
      <c r="A328">
        <v>327</v>
      </c>
      <c r="B328" t="s">
        <v>17</v>
      </c>
      <c r="C328" t="s">
        <v>620</v>
      </c>
      <c r="D328" t="s">
        <v>621</v>
      </c>
      <c r="E328" t="s">
        <v>97</v>
      </c>
      <c r="G328" t="s">
        <v>18</v>
      </c>
      <c r="H328" s="4">
        <v>14823000</v>
      </c>
      <c r="I328" s="5">
        <v>0</v>
      </c>
      <c r="J328" s="5">
        <v>1024</v>
      </c>
      <c r="K328" s="5">
        <v>6</v>
      </c>
      <c r="L328">
        <v>7</v>
      </c>
      <c r="M328">
        <v>3.5</v>
      </c>
      <c r="N328">
        <v>3.92</v>
      </c>
      <c r="O328" s="6">
        <v>15.6</v>
      </c>
      <c r="P328" s="7">
        <v>2.23</v>
      </c>
      <c r="U328" t="s">
        <v>84</v>
      </c>
      <c r="V328" t="s">
        <v>98</v>
      </c>
      <c r="W328">
        <v>2.5</v>
      </c>
      <c r="X328" t="s">
        <v>84</v>
      </c>
      <c r="Y328" t="s">
        <v>99</v>
      </c>
      <c r="Z328" t="s">
        <v>146</v>
      </c>
      <c r="AA328" t="s">
        <v>114</v>
      </c>
      <c r="AB328" t="s">
        <v>115</v>
      </c>
      <c r="AC328">
        <v>549</v>
      </c>
      <c r="AD328" s="8" t="b">
        <f>AND(
 H328&gt;=Filters!$B$3,
 H328&lt;=Filters!$B$4,
 I328&gt;=Filters!$B$5,
 OR(Filters!$B$6="All",B328=Filters!$B$6),
 F328&gt;=Filters!$B$7,
 F328&lt;=Filters!$B$8,
 OR(Filters!$B$9="All",G328=Filters!$B$9)
)</f>
        <v>0</v>
      </c>
      <c r="AE328">
        <f t="shared" si="65"/>
        <v>6</v>
      </c>
      <c r="AF328">
        <f t="shared" si="66"/>
        <v>7</v>
      </c>
      <c r="AG328">
        <f t="shared" si="67"/>
        <v>7</v>
      </c>
      <c r="AH328" s="9" t="str">
        <f t="shared" si="68"/>
        <v/>
      </c>
      <c r="AI328" s="9" t="str">
        <f t="shared" si="69"/>
        <v/>
      </c>
      <c r="AJ328" s="9" t="str">
        <f t="shared" si="70"/>
        <v/>
      </c>
      <c r="AK328" s="9" t="str">
        <f t="shared" si="71"/>
        <v/>
      </c>
      <c r="AL328" s="9" t="str">
        <f t="shared" si="72"/>
        <v/>
      </c>
      <c r="AM328" s="9" t="str">
        <f t="shared" si="73"/>
        <v/>
      </c>
      <c r="AN328" s="9" t="str">
        <f t="shared" si="74"/>
        <v/>
      </c>
      <c r="AO328" s="9" t="str">
        <f t="shared" si="75"/>
        <v/>
      </c>
      <c r="AP328" s="9" t="str">
        <f t="shared" si="76"/>
        <v/>
      </c>
      <c r="AQ328" s="10" t="str">
        <f t="shared" si="77"/>
        <v/>
      </c>
    </row>
    <row r="329" spans="1:43">
      <c r="A329">
        <v>328</v>
      </c>
      <c r="B329" t="s">
        <v>21</v>
      </c>
      <c r="C329" t="s">
        <v>330</v>
      </c>
      <c r="D329" t="s">
        <v>331</v>
      </c>
      <c r="E329" t="s">
        <v>83</v>
      </c>
      <c r="G329" t="s">
        <v>18</v>
      </c>
      <c r="H329" s="4">
        <v>28347300</v>
      </c>
      <c r="I329" s="5">
        <v>256</v>
      </c>
      <c r="J329" s="5">
        <v>0</v>
      </c>
      <c r="K329" s="5">
        <v>8</v>
      </c>
      <c r="L329">
        <v>9.4</v>
      </c>
      <c r="M329">
        <v>6.5</v>
      </c>
      <c r="N329">
        <v>5.92</v>
      </c>
      <c r="O329" s="6">
        <v>15.6</v>
      </c>
      <c r="P329" s="7">
        <v>1.7</v>
      </c>
      <c r="U329" t="s">
        <v>84</v>
      </c>
      <c r="V329" t="s">
        <v>140</v>
      </c>
      <c r="W329">
        <v>2.7</v>
      </c>
      <c r="X329" t="s">
        <v>122</v>
      </c>
      <c r="Y329" t="s">
        <v>145</v>
      </c>
      <c r="Z329" t="s">
        <v>100</v>
      </c>
      <c r="AA329" t="s">
        <v>101</v>
      </c>
      <c r="AB329" t="s">
        <v>115</v>
      </c>
      <c r="AC329">
        <v>1049.9000000000001</v>
      </c>
      <c r="AD329" s="8" t="b">
        <f>AND(
 H329&gt;=Filters!$B$3,
 H329&lt;=Filters!$B$4,
 I329&gt;=Filters!$B$5,
 OR(Filters!$B$6="All",B329=Filters!$B$6),
 F329&gt;=Filters!$B$7,
 F329&lt;=Filters!$B$8,
 OR(Filters!$B$9="All",G329=Filters!$B$9)
)</f>
        <v>0</v>
      </c>
      <c r="AE329">
        <f t="shared" si="65"/>
        <v>6</v>
      </c>
      <c r="AF329">
        <f t="shared" si="66"/>
        <v>7</v>
      </c>
      <c r="AG329">
        <f t="shared" si="67"/>
        <v>7</v>
      </c>
      <c r="AH329" s="9" t="str">
        <f t="shared" si="68"/>
        <v/>
      </c>
      <c r="AI329" s="9" t="str">
        <f t="shared" si="69"/>
        <v/>
      </c>
      <c r="AJ329" s="9" t="str">
        <f t="shared" si="70"/>
        <v/>
      </c>
      <c r="AK329" s="9" t="str">
        <f t="shared" si="71"/>
        <v/>
      </c>
      <c r="AL329" s="9" t="str">
        <f t="shared" si="72"/>
        <v/>
      </c>
      <c r="AM329" s="9" t="str">
        <f t="shared" si="73"/>
        <v/>
      </c>
      <c r="AN329" s="9" t="str">
        <f t="shared" si="74"/>
        <v/>
      </c>
      <c r="AO329" s="9" t="str">
        <f t="shared" si="75"/>
        <v/>
      </c>
      <c r="AP329" s="9" t="str">
        <f t="shared" si="76"/>
        <v/>
      </c>
      <c r="AQ329" s="10" t="str">
        <f t="shared" si="77"/>
        <v/>
      </c>
    </row>
    <row r="330" spans="1:43">
      <c r="A330">
        <v>329</v>
      </c>
      <c r="B330" t="s">
        <v>26</v>
      </c>
      <c r="C330" t="s">
        <v>622</v>
      </c>
      <c r="D330" t="s">
        <v>623</v>
      </c>
      <c r="E330" t="s">
        <v>83</v>
      </c>
      <c r="G330" t="s">
        <v>18</v>
      </c>
      <c r="H330" s="4">
        <v>36045000</v>
      </c>
      <c r="I330" s="5">
        <v>256</v>
      </c>
      <c r="J330" s="5">
        <v>0</v>
      </c>
      <c r="K330" s="5">
        <v>8</v>
      </c>
      <c r="L330">
        <v>9.4</v>
      </c>
      <c r="M330">
        <v>3.5</v>
      </c>
      <c r="N330">
        <v>5.92</v>
      </c>
      <c r="O330" s="6">
        <v>12.5</v>
      </c>
      <c r="P330" s="7">
        <v>1.26</v>
      </c>
      <c r="U330" t="s">
        <v>84</v>
      </c>
      <c r="V330" t="s">
        <v>140</v>
      </c>
      <c r="W330">
        <v>2.7</v>
      </c>
      <c r="X330" t="s">
        <v>84</v>
      </c>
      <c r="Y330" t="s">
        <v>99</v>
      </c>
      <c r="Z330" t="s">
        <v>100</v>
      </c>
      <c r="AA330" t="s">
        <v>101</v>
      </c>
      <c r="AB330" t="s">
        <v>115</v>
      </c>
      <c r="AC330">
        <v>1335</v>
      </c>
      <c r="AD330" s="8" t="b">
        <f>AND(
 H330&gt;=Filters!$B$3,
 H330&lt;=Filters!$B$4,
 I330&gt;=Filters!$B$5,
 OR(Filters!$B$6="All",B330=Filters!$B$6),
 F330&gt;=Filters!$B$7,
 F330&lt;=Filters!$B$8,
 OR(Filters!$B$9="All",G330=Filters!$B$9)
)</f>
        <v>0</v>
      </c>
      <c r="AE330">
        <f t="shared" si="65"/>
        <v>6</v>
      </c>
      <c r="AF330">
        <f t="shared" si="66"/>
        <v>7</v>
      </c>
      <c r="AG330">
        <f t="shared" si="67"/>
        <v>7</v>
      </c>
      <c r="AH330" s="9" t="str">
        <f t="shared" si="68"/>
        <v/>
      </c>
      <c r="AI330" s="9" t="str">
        <f t="shared" si="69"/>
        <v/>
      </c>
      <c r="AJ330" s="9" t="str">
        <f t="shared" si="70"/>
        <v/>
      </c>
      <c r="AK330" s="9" t="str">
        <f t="shared" si="71"/>
        <v/>
      </c>
      <c r="AL330" s="9" t="str">
        <f t="shared" si="72"/>
        <v/>
      </c>
      <c r="AM330" s="9" t="str">
        <f t="shared" si="73"/>
        <v/>
      </c>
      <c r="AN330" s="9" t="str">
        <f t="shared" si="74"/>
        <v/>
      </c>
      <c r="AO330" s="9" t="str">
        <f t="shared" si="75"/>
        <v/>
      </c>
      <c r="AP330" s="9" t="str">
        <f t="shared" si="76"/>
        <v/>
      </c>
      <c r="AQ330" s="10" t="str">
        <f t="shared" si="77"/>
        <v/>
      </c>
    </row>
    <row r="331" spans="1:43">
      <c r="A331">
        <v>330</v>
      </c>
      <c r="B331" t="s">
        <v>23</v>
      </c>
      <c r="C331" t="s">
        <v>437</v>
      </c>
      <c r="D331" t="s">
        <v>438</v>
      </c>
      <c r="E331" t="s">
        <v>97</v>
      </c>
      <c r="G331" t="s">
        <v>18</v>
      </c>
      <c r="H331" s="4">
        <v>71253000</v>
      </c>
      <c r="I331" s="5">
        <v>1024</v>
      </c>
      <c r="J331" s="5">
        <v>0</v>
      </c>
      <c r="K331" s="5">
        <v>32</v>
      </c>
      <c r="L331">
        <v>9.6</v>
      </c>
      <c r="M331">
        <v>9.1999999999999993</v>
      </c>
      <c r="N331">
        <v>9.7200000000000006</v>
      </c>
      <c r="O331" s="6">
        <v>15.6</v>
      </c>
      <c r="P331" s="7">
        <v>2.06</v>
      </c>
      <c r="U331" t="s">
        <v>84</v>
      </c>
      <c r="V331" t="s">
        <v>210</v>
      </c>
      <c r="W331">
        <v>2.8</v>
      </c>
      <c r="X331" t="s">
        <v>122</v>
      </c>
      <c r="Y331" t="s">
        <v>160</v>
      </c>
      <c r="Z331" t="s">
        <v>445</v>
      </c>
      <c r="AA331" t="s">
        <v>439</v>
      </c>
      <c r="AB331" t="s">
        <v>115</v>
      </c>
      <c r="AC331">
        <v>2639</v>
      </c>
      <c r="AD331" s="8" t="b">
        <f>AND(
 H331&gt;=Filters!$B$3,
 H331&lt;=Filters!$B$4,
 I331&gt;=Filters!$B$5,
 OR(Filters!$B$6="All",B331=Filters!$B$6),
 F331&gt;=Filters!$B$7,
 F331&lt;=Filters!$B$8,
 OR(Filters!$B$9="All",G331=Filters!$B$9)
)</f>
        <v>0</v>
      </c>
      <c r="AE331">
        <f t="shared" si="65"/>
        <v>6</v>
      </c>
      <c r="AF331">
        <f t="shared" si="66"/>
        <v>7</v>
      </c>
      <c r="AG331">
        <f t="shared" si="67"/>
        <v>7</v>
      </c>
      <c r="AH331" s="9" t="str">
        <f t="shared" si="68"/>
        <v/>
      </c>
      <c r="AI331" s="9" t="str">
        <f t="shared" si="69"/>
        <v/>
      </c>
      <c r="AJ331" s="9" t="str">
        <f t="shared" si="70"/>
        <v/>
      </c>
      <c r="AK331" s="9" t="str">
        <f t="shared" si="71"/>
        <v/>
      </c>
      <c r="AL331" s="9" t="str">
        <f t="shared" si="72"/>
        <v/>
      </c>
      <c r="AM331" s="9" t="str">
        <f t="shared" si="73"/>
        <v/>
      </c>
      <c r="AN331" s="9" t="str">
        <f t="shared" si="74"/>
        <v/>
      </c>
      <c r="AO331" s="9" t="str">
        <f t="shared" si="75"/>
        <v/>
      </c>
      <c r="AP331" s="9" t="str">
        <f t="shared" si="76"/>
        <v/>
      </c>
      <c r="AQ331" s="10" t="str">
        <f t="shared" si="77"/>
        <v/>
      </c>
    </row>
    <row r="332" spans="1:43">
      <c r="A332">
        <v>331</v>
      </c>
      <c r="B332" t="s">
        <v>30</v>
      </c>
      <c r="C332" t="s">
        <v>624</v>
      </c>
      <c r="D332" t="s">
        <v>625</v>
      </c>
      <c r="E332" t="s">
        <v>158</v>
      </c>
      <c r="G332" t="s">
        <v>18</v>
      </c>
      <c r="H332" s="4">
        <v>32373000</v>
      </c>
      <c r="I332" s="5">
        <v>256</v>
      </c>
      <c r="J332" s="5">
        <v>1024</v>
      </c>
      <c r="K332" s="5">
        <v>8</v>
      </c>
      <c r="L332">
        <v>9.6</v>
      </c>
      <c r="M332">
        <v>9.1999999999999993</v>
      </c>
      <c r="N332">
        <v>5.83</v>
      </c>
      <c r="O332" s="6">
        <v>17.3</v>
      </c>
      <c r="P332" s="7">
        <v>2.7</v>
      </c>
      <c r="U332" t="s">
        <v>84</v>
      </c>
      <c r="V332" t="s">
        <v>210</v>
      </c>
      <c r="W332">
        <v>2.8</v>
      </c>
      <c r="X332" t="s">
        <v>122</v>
      </c>
      <c r="Y332" t="s">
        <v>260</v>
      </c>
      <c r="Z332" t="s">
        <v>212</v>
      </c>
      <c r="AA332" t="s">
        <v>101</v>
      </c>
      <c r="AB332" t="s">
        <v>115</v>
      </c>
      <c r="AC332">
        <v>1199</v>
      </c>
      <c r="AD332" s="8" t="b">
        <f>AND(
 H332&gt;=Filters!$B$3,
 H332&lt;=Filters!$B$4,
 I332&gt;=Filters!$B$5,
 OR(Filters!$B$6="All",B332=Filters!$B$6),
 F332&gt;=Filters!$B$7,
 F332&lt;=Filters!$B$8,
 OR(Filters!$B$9="All",G332=Filters!$B$9)
)</f>
        <v>0</v>
      </c>
      <c r="AE332">
        <f t="shared" si="65"/>
        <v>6</v>
      </c>
      <c r="AF332">
        <f t="shared" si="66"/>
        <v>7</v>
      </c>
      <c r="AG332">
        <f t="shared" si="67"/>
        <v>7</v>
      </c>
      <c r="AH332" s="9" t="str">
        <f t="shared" si="68"/>
        <v/>
      </c>
      <c r="AI332" s="9" t="str">
        <f t="shared" si="69"/>
        <v/>
      </c>
      <c r="AJ332" s="9" t="str">
        <f t="shared" si="70"/>
        <v/>
      </c>
      <c r="AK332" s="9" t="str">
        <f t="shared" si="71"/>
        <v/>
      </c>
      <c r="AL332" s="9" t="str">
        <f t="shared" si="72"/>
        <v/>
      </c>
      <c r="AM332" s="9" t="str">
        <f t="shared" si="73"/>
        <v/>
      </c>
      <c r="AN332" s="9" t="str">
        <f t="shared" si="74"/>
        <v/>
      </c>
      <c r="AO332" s="9" t="str">
        <f t="shared" si="75"/>
        <v/>
      </c>
      <c r="AP332" s="9" t="str">
        <f t="shared" si="76"/>
        <v/>
      </c>
      <c r="AQ332" s="10" t="str">
        <f t="shared" si="77"/>
        <v/>
      </c>
    </row>
    <row r="333" spans="1:43">
      <c r="A333">
        <v>332</v>
      </c>
      <c r="B333" t="s">
        <v>35</v>
      </c>
      <c r="C333" t="s">
        <v>373</v>
      </c>
      <c r="D333" t="s">
        <v>374</v>
      </c>
      <c r="E333" t="s">
        <v>97</v>
      </c>
      <c r="G333" t="s">
        <v>18</v>
      </c>
      <c r="H333" s="4">
        <v>25461000</v>
      </c>
      <c r="I333" s="5">
        <v>256</v>
      </c>
      <c r="J333" s="5">
        <v>0</v>
      </c>
      <c r="K333" s="5">
        <v>8</v>
      </c>
      <c r="L333">
        <v>7</v>
      </c>
      <c r="M333">
        <v>3.5</v>
      </c>
      <c r="N333">
        <v>6.32</v>
      </c>
      <c r="O333" s="6">
        <v>15.6</v>
      </c>
      <c r="P333" s="7">
        <v>2</v>
      </c>
      <c r="U333" t="s">
        <v>84</v>
      </c>
      <c r="V333" t="s">
        <v>98</v>
      </c>
      <c r="W333">
        <v>2.5</v>
      </c>
      <c r="X333" t="s">
        <v>84</v>
      </c>
      <c r="Y333" t="s">
        <v>99</v>
      </c>
      <c r="Z333" t="s">
        <v>100</v>
      </c>
      <c r="AA333" t="s">
        <v>128</v>
      </c>
      <c r="AB333" t="s">
        <v>115</v>
      </c>
      <c r="AC333">
        <v>943</v>
      </c>
      <c r="AD333" s="8" t="b">
        <f>AND(
 H333&gt;=Filters!$B$3,
 H333&lt;=Filters!$B$4,
 I333&gt;=Filters!$B$5,
 OR(Filters!$B$6="All",B333=Filters!$B$6),
 F333&gt;=Filters!$B$7,
 F333&lt;=Filters!$B$8,
 OR(Filters!$B$9="All",G333=Filters!$B$9)
)</f>
        <v>0</v>
      </c>
      <c r="AE333">
        <f t="shared" si="65"/>
        <v>6</v>
      </c>
      <c r="AF333">
        <f t="shared" si="66"/>
        <v>7</v>
      </c>
      <c r="AG333">
        <f t="shared" si="67"/>
        <v>7</v>
      </c>
      <c r="AH333" s="9" t="str">
        <f t="shared" si="68"/>
        <v/>
      </c>
      <c r="AI333" s="9" t="str">
        <f t="shared" si="69"/>
        <v/>
      </c>
      <c r="AJ333" s="9" t="str">
        <f t="shared" si="70"/>
        <v/>
      </c>
      <c r="AK333" s="9" t="str">
        <f t="shared" si="71"/>
        <v/>
      </c>
      <c r="AL333" s="9" t="str">
        <f t="shared" si="72"/>
        <v/>
      </c>
      <c r="AM333" s="9" t="str">
        <f t="shared" si="73"/>
        <v/>
      </c>
      <c r="AN333" s="9" t="str">
        <f t="shared" si="74"/>
        <v/>
      </c>
      <c r="AO333" s="9" t="str">
        <f t="shared" si="75"/>
        <v/>
      </c>
      <c r="AP333" s="9" t="str">
        <f t="shared" si="76"/>
        <v/>
      </c>
      <c r="AQ333" s="10" t="str">
        <f t="shared" si="77"/>
        <v/>
      </c>
    </row>
    <row r="334" spans="1:43">
      <c r="A334">
        <v>333</v>
      </c>
      <c r="B334" t="s">
        <v>21</v>
      </c>
      <c r="C334" t="s">
        <v>626</v>
      </c>
      <c r="D334" t="s">
        <v>627</v>
      </c>
      <c r="E334" t="s">
        <v>97</v>
      </c>
      <c r="G334" t="s">
        <v>18</v>
      </c>
      <c r="H334" s="4">
        <v>36018000</v>
      </c>
      <c r="I334" s="5">
        <v>256</v>
      </c>
      <c r="J334" s="5">
        <v>1024</v>
      </c>
      <c r="K334" s="5">
        <v>8</v>
      </c>
      <c r="L334">
        <v>9.4</v>
      </c>
      <c r="M334">
        <v>3.5</v>
      </c>
      <c r="N334">
        <v>6</v>
      </c>
      <c r="O334" s="6">
        <v>14</v>
      </c>
      <c r="P334" s="7">
        <v>2</v>
      </c>
      <c r="U334" t="s">
        <v>84</v>
      </c>
      <c r="V334" t="s">
        <v>140</v>
      </c>
      <c r="W334">
        <v>2.7</v>
      </c>
      <c r="X334" t="s">
        <v>84</v>
      </c>
      <c r="Y334" t="s">
        <v>99</v>
      </c>
      <c r="Z334" t="s">
        <v>212</v>
      </c>
      <c r="AA334" t="s">
        <v>101</v>
      </c>
      <c r="AB334" t="s">
        <v>115</v>
      </c>
      <c r="AC334">
        <v>1334</v>
      </c>
      <c r="AD334" s="8" t="b">
        <f>AND(
 H334&gt;=Filters!$B$3,
 H334&lt;=Filters!$B$4,
 I334&gt;=Filters!$B$5,
 OR(Filters!$B$6="All",B334=Filters!$B$6),
 F334&gt;=Filters!$B$7,
 F334&lt;=Filters!$B$8,
 OR(Filters!$B$9="All",G334=Filters!$B$9)
)</f>
        <v>0</v>
      </c>
      <c r="AE334">
        <f t="shared" si="65"/>
        <v>6</v>
      </c>
      <c r="AF334">
        <f t="shared" si="66"/>
        <v>7</v>
      </c>
      <c r="AG334">
        <f t="shared" si="67"/>
        <v>7</v>
      </c>
      <c r="AH334" s="9" t="str">
        <f t="shared" si="68"/>
        <v/>
      </c>
      <c r="AI334" s="9" t="str">
        <f t="shared" si="69"/>
        <v/>
      </c>
      <c r="AJ334" s="9" t="str">
        <f t="shared" si="70"/>
        <v/>
      </c>
      <c r="AK334" s="9" t="str">
        <f t="shared" si="71"/>
        <v/>
      </c>
      <c r="AL334" s="9" t="str">
        <f t="shared" si="72"/>
        <v/>
      </c>
      <c r="AM334" s="9" t="str">
        <f t="shared" si="73"/>
        <v/>
      </c>
      <c r="AN334" s="9" t="str">
        <f t="shared" si="74"/>
        <v/>
      </c>
      <c r="AO334" s="9" t="str">
        <f t="shared" si="75"/>
        <v/>
      </c>
      <c r="AP334" s="9" t="str">
        <f t="shared" si="76"/>
        <v/>
      </c>
      <c r="AQ334" s="10" t="str">
        <f t="shared" si="77"/>
        <v/>
      </c>
    </row>
    <row r="335" spans="1:43">
      <c r="A335">
        <v>334</v>
      </c>
      <c r="B335" t="s">
        <v>29</v>
      </c>
      <c r="C335" t="s">
        <v>628</v>
      </c>
      <c r="D335" t="s">
        <v>629</v>
      </c>
      <c r="E335" t="s">
        <v>97</v>
      </c>
      <c r="G335" t="s">
        <v>18</v>
      </c>
      <c r="H335" s="4">
        <v>12123000</v>
      </c>
      <c r="I335" s="5">
        <v>0</v>
      </c>
      <c r="J335" s="5">
        <v>1024</v>
      </c>
      <c r="K335" s="5">
        <v>4</v>
      </c>
      <c r="L335">
        <v>4</v>
      </c>
      <c r="M335">
        <v>3.5</v>
      </c>
      <c r="N335">
        <v>5.92</v>
      </c>
      <c r="O335" s="6">
        <v>15.6</v>
      </c>
      <c r="P335" s="7">
        <v>1.85</v>
      </c>
      <c r="U335" t="s">
        <v>84</v>
      </c>
      <c r="V335" t="s">
        <v>129</v>
      </c>
      <c r="W335">
        <v>2</v>
      </c>
      <c r="X335" t="s">
        <v>84</v>
      </c>
      <c r="Y335" t="s">
        <v>130</v>
      </c>
      <c r="Z335" t="s">
        <v>146</v>
      </c>
      <c r="AA335" t="s">
        <v>101</v>
      </c>
      <c r="AB335" t="s">
        <v>115</v>
      </c>
      <c r="AC335">
        <v>449</v>
      </c>
      <c r="AD335" s="8" t="b">
        <f>AND(
 H335&gt;=Filters!$B$3,
 H335&lt;=Filters!$B$4,
 I335&gt;=Filters!$B$5,
 OR(Filters!$B$6="All",B335=Filters!$B$6),
 F335&gt;=Filters!$B$7,
 F335&lt;=Filters!$B$8,
 OR(Filters!$B$9="All",G335=Filters!$B$9)
)</f>
        <v>0</v>
      </c>
      <c r="AE335">
        <f t="shared" si="65"/>
        <v>6</v>
      </c>
      <c r="AF335">
        <f t="shared" si="66"/>
        <v>7</v>
      </c>
      <c r="AG335">
        <f t="shared" si="67"/>
        <v>7</v>
      </c>
      <c r="AH335" s="9" t="str">
        <f t="shared" si="68"/>
        <v/>
      </c>
      <c r="AI335" s="9" t="str">
        <f t="shared" si="69"/>
        <v/>
      </c>
      <c r="AJ335" s="9" t="str">
        <f t="shared" si="70"/>
        <v/>
      </c>
      <c r="AK335" s="9" t="str">
        <f t="shared" si="71"/>
        <v/>
      </c>
      <c r="AL335" s="9" t="str">
        <f t="shared" si="72"/>
        <v/>
      </c>
      <c r="AM335" s="9" t="str">
        <f t="shared" si="73"/>
        <v/>
      </c>
      <c r="AN335" s="9" t="str">
        <f t="shared" si="74"/>
        <v/>
      </c>
      <c r="AO335" s="9" t="str">
        <f t="shared" si="75"/>
        <v/>
      </c>
      <c r="AP335" s="9" t="str">
        <f t="shared" si="76"/>
        <v/>
      </c>
      <c r="AQ335" s="10" t="str">
        <f t="shared" si="77"/>
        <v/>
      </c>
    </row>
    <row r="336" spans="1:43">
      <c r="A336">
        <v>335</v>
      </c>
      <c r="B336" t="s">
        <v>21</v>
      </c>
      <c r="C336" t="s">
        <v>630</v>
      </c>
      <c r="D336" t="s">
        <v>631</v>
      </c>
      <c r="E336" t="s">
        <v>158</v>
      </c>
      <c r="G336" t="s">
        <v>18</v>
      </c>
      <c r="H336" s="4">
        <v>26973000</v>
      </c>
      <c r="I336" s="5">
        <v>256</v>
      </c>
      <c r="J336" s="5">
        <v>0</v>
      </c>
      <c r="K336" s="5">
        <v>8</v>
      </c>
      <c r="L336">
        <v>9.6</v>
      </c>
      <c r="M336">
        <v>9.1999999999999993</v>
      </c>
      <c r="N336">
        <v>5.92</v>
      </c>
      <c r="O336" s="6">
        <v>15.6</v>
      </c>
      <c r="P336" s="7">
        <v>2.5</v>
      </c>
      <c r="U336" t="s">
        <v>84</v>
      </c>
      <c r="V336" t="s">
        <v>210</v>
      </c>
      <c r="W336">
        <v>2.8</v>
      </c>
      <c r="X336" t="s">
        <v>122</v>
      </c>
      <c r="Y336" t="s">
        <v>160</v>
      </c>
      <c r="Z336" t="s">
        <v>100</v>
      </c>
      <c r="AA336" t="s">
        <v>101</v>
      </c>
      <c r="AB336" t="s">
        <v>115</v>
      </c>
      <c r="AC336">
        <v>999</v>
      </c>
      <c r="AD336" s="8" t="b">
        <f>AND(
 H336&gt;=Filters!$B$3,
 H336&lt;=Filters!$B$4,
 I336&gt;=Filters!$B$5,
 OR(Filters!$B$6="All",B336=Filters!$B$6),
 F336&gt;=Filters!$B$7,
 F336&lt;=Filters!$B$8,
 OR(Filters!$B$9="All",G336=Filters!$B$9)
)</f>
        <v>0</v>
      </c>
      <c r="AE336">
        <f t="shared" si="65"/>
        <v>6</v>
      </c>
      <c r="AF336">
        <f t="shared" si="66"/>
        <v>7</v>
      </c>
      <c r="AG336">
        <f t="shared" si="67"/>
        <v>7</v>
      </c>
      <c r="AH336" s="9" t="str">
        <f t="shared" si="68"/>
        <v/>
      </c>
      <c r="AI336" s="9" t="str">
        <f t="shared" si="69"/>
        <v/>
      </c>
      <c r="AJ336" s="9" t="str">
        <f t="shared" si="70"/>
        <v/>
      </c>
      <c r="AK336" s="9" t="str">
        <f t="shared" si="71"/>
        <v/>
      </c>
      <c r="AL336" s="9" t="str">
        <f t="shared" si="72"/>
        <v/>
      </c>
      <c r="AM336" s="9" t="str">
        <f t="shared" si="73"/>
        <v/>
      </c>
      <c r="AN336" s="9" t="str">
        <f t="shared" si="74"/>
        <v/>
      </c>
      <c r="AO336" s="9" t="str">
        <f t="shared" si="75"/>
        <v/>
      </c>
      <c r="AP336" s="9" t="str">
        <f t="shared" si="76"/>
        <v/>
      </c>
      <c r="AQ336" s="10" t="str">
        <f t="shared" si="77"/>
        <v/>
      </c>
    </row>
    <row r="337" spans="1:43">
      <c r="A337">
        <v>336</v>
      </c>
      <c r="B337" t="s">
        <v>26</v>
      </c>
      <c r="C337" t="s">
        <v>632</v>
      </c>
      <c r="D337" t="s">
        <v>399</v>
      </c>
      <c r="E337" t="s">
        <v>97</v>
      </c>
      <c r="G337" t="s">
        <v>18</v>
      </c>
      <c r="H337" s="4">
        <v>34236000</v>
      </c>
      <c r="I337" s="5">
        <v>256</v>
      </c>
      <c r="J337" s="5">
        <v>0</v>
      </c>
      <c r="K337" s="5">
        <v>8</v>
      </c>
      <c r="L337">
        <v>7.2</v>
      </c>
      <c r="M337">
        <v>3.5</v>
      </c>
      <c r="N337">
        <v>6</v>
      </c>
      <c r="O337" s="6">
        <v>14</v>
      </c>
      <c r="P337" s="7">
        <v>1.48</v>
      </c>
      <c r="U337" t="s">
        <v>84</v>
      </c>
      <c r="V337" t="s">
        <v>633</v>
      </c>
      <c r="W337">
        <v>2.6</v>
      </c>
      <c r="X337" t="s">
        <v>84</v>
      </c>
      <c r="Y337" t="s">
        <v>99</v>
      </c>
      <c r="Z337" t="s">
        <v>100</v>
      </c>
      <c r="AA337" t="s">
        <v>101</v>
      </c>
      <c r="AB337" t="s">
        <v>115</v>
      </c>
      <c r="AC337">
        <v>1268</v>
      </c>
      <c r="AD337" s="8" t="b">
        <f>AND(
 H337&gt;=Filters!$B$3,
 H337&lt;=Filters!$B$4,
 I337&gt;=Filters!$B$5,
 OR(Filters!$B$6="All",B337=Filters!$B$6),
 F337&gt;=Filters!$B$7,
 F337&lt;=Filters!$B$8,
 OR(Filters!$B$9="All",G337=Filters!$B$9)
)</f>
        <v>0</v>
      </c>
      <c r="AE337">
        <f t="shared" si="65"/>
        <v>6</v>
      </c>
      <c r="AF337">
        <f t="shared" si="66"/>
        <v>7</v>
      </c>
      <c r="AG337">
        <f t="shared" si="67"/>
        <v>7</v>
      </c>
      <c r="AH337" s="9" t="str">
        <f t="shared" si="68"/>
        <v/>
      </c>
      <c r="AI337" s="9" t="str">
        <f t="shared" si="69"/>
        <v/>
      </c>
      <c r="AJ337" s="9" t="str">
        <f t="shared" si="70"/>
        <v/>
      </c>
      <c r="AK337" s="9" t="str">
        <f t="shared" si="71"/>
        <v/>
      </c>
      <c r="AL337" s="9" t="str">
        <f t="shared" si="72"/>
        <v/>
      </c>
      <c r="AM337" s="9" t="str">
        <f t="shared" si="73"/>
        <v/>
      </c>
      <c r="AN337" s="9" t="str">
        <f t="shared" si="74"/>
        <v/>
      </c>
      <c r="AO337" s="9" t="str">
        <f t="shared" si="75"/>
        <v/>
      </c>
      <c r="AP337" s="9" t="str">
        <f t="shared" si="76"/>
        <v/>
      </c>
      <c r="AQ337" s="10" t="str">
        <f t="shared" si="77"/>
        <v/>
      </c>
    </row>
    <row r="338" spans="1:43">
      <c r="A338">
        <v>337</v>
      </c>
      <c r="B338" t="s">
        <v>23</v>
      </c>
      <c r="C338" t="s">
        <v>634</v>
      </c>
      <c r="D338" t="s">
        <v>342</v>
      </c>
      <c r="E338" t="s">
        <v>83</v>
      </c>
      <c r="G338" t="s">
        <v>18</v>
      </c>
      <c r="H338" s="4">
        <v>28323000</v>
      </c>
      <c r="I338" s="5">
        <v>128</v>
      </c>
      <c r="J338" s="5">
        <v>1024</v>
      </c>
      <c r="K338" s="5">
        <v>8</v>
      </c>
      <c r="L338">
        <v>5.2</v>
      </c>
      <c r="M338">
        <v>6.5</v>
      </c>
      <c r="N338">
        <v>6.32</v>
      </c>
      <c r="O338" s="6">
        <v>15.6</v>
      </c>
      <c r="P338" s="7">
        <v>1.9</v>
      </c>
      <c r="U338" t="s">
        <v>84</v>
      </c>
      <c r="V338" t="s">
        <v>126</v>
      </c>
      <c r="W338">
        <v>1.6</v>
      </c>
      <c r="X338" t="s">
        <v>122</v>
      </c>
      <c r="Y338" t="s">
        <v>145</v>
      </c>
      <c r="Z338" t="s">
        <v>161</v>
      </c>
      <c r="AA338" t="s">
        <v>128</v>
      </c>
      <c r="AB338" t="s">
        <v>115</v>
      </c>
      <c r="AC338">
        <v>1049</v>
      </c>
      <c r="AD338" s="8" t="b">
        <f>AND(
 H338&gt;=Filters!$B$3,
 H338&lt;=Filters!$B$4,
 I338&gt;=Filters!$B$5,
 OR(Filters!$B$6="All",B338=Filters!$B$6),
 F338&gt;=Filters!$B$7,
 F338&lt;=Filters!$B$8,
 OR(Filters!$B$9="All",G338=Filters!$B$9)
)</f>
        <v>0</v>
      </c>
      <c r="AE338">
        <f t="shared" si="65"/>
        <v>6</v>
      </c>
      <c r="AF338">
        <f t="shared" si="66"/>
        <v>7</v>
      </c>
      <c r="AG338">
        <f t="shared" si="67"/>
        <v>7</v>
      </c>
      <c r="AH338" s="9" t="str">
        <f t="shared" si="68"/>
        <v/>
      </c>
      <c r="AI338" s="9" t="str">
        <f t="shared" si="69"/>
        <v/>
      </c>
      <c r="AJ338" s="9" t="str">
        <f t="shared" si="70"/>
        <v/>
      </c>
      <c r="AK338" s="9" t="str">
        <f t="shared" si="71"/>
        <v/>
      </c>
      <c r="AL338" s="9" t="str">
        <f t="shared" si="72"/>
        <v/>
      </c>
      <c r="AM338" s="9" t="str">
        <f t="shared" si="73"/>
        <v/>
      </c>
      <c r="AN338" s="9" t="str">
        <f t="shared" si="74"/>
        <v/>
      </c>
      <c r="AO338" s="9" t="str">
        <f t="shared" si="75"/>
        <v/>
      </c>
      <c r="AP338" s="9" t="str">
        <f t="shared" si="76"/>
        <v/>
      </c>
      <c r="AQ338" s="10" t="str">
        <f t="shared" si="77"/>
        <v/>
      </c>
    </row>
    <row r="339" spans="1:43">
      <c r="A339">
        <v>338</v>
      </c>
      <c r="B339" t="s">
        <v>26</v>
      </c>
      <c r="C339" t="s">
        <v>635</v>
      </c>
      <c r="D339" t="s">
        <v>636</v>
      </c>
      <c r="E339" t="s">
        <v>97</v>
      </c>
      <c r="G339" t="s">
        <v>18</v>
      </c>
      <c r="H339" s="4">
        <v>30888000</v>
      </c>
      <c r="I339" s="5">
        <v>256</v>
      </c>
      <c r="J339" s="5">
        <v>0</v>
      </c>
      <c r="K339" s="5">
        <v>8</v>
      </c>
      <c r="L339">
        <v>7</v>
      </c>
      <c r="M339">
        <v>3.5</v>
      </c>
      <c r="N339">
        <v>5.92</v>
      </c>
      <c r="O339" s="6">
        <v>15.6</v>
      </c>
      <c r="P339" s="7">
        <v>1.84</v>
      </c>
      <c r="U339" t="s">
        <v>84</v>
      </c>
      <c r="V339" t="s">
        <v>98</v>
      </c>
      <c r="W339">
        <v>2.5</v>
      </c>
      <c r="X339" t="s">
        <v>84</v>
      </c>
      <c r="Y339" t="s">
        <v>99</v>
      </c>
      <c r="Z339" t="s">
        <v>100</v>
      </c>
      <c r="AA339" t="s">
        <v>101</v>
      </c>
      <c r="AB339" t="s">
        <v>115</v>
      </c>
      <c r="AC339">
        <v>1144</v>
      </c>
      <c r="AD339" s="8" t="b">
        <f>AND(
 H339&gt;=Filters!$B$3,
 H339&lt;=Filters!$B$4,
 I339&gt;=Filters!$B$5,
 OR(Filters!$B$6="All",B339=Filters!$B$6),
 F339&gt;=Filters!$B$7,
 F339&lt;=Filters!$B$8,
 OR(Filters!$B$9="All",G339=Filters!$B$9)
)</f>
        <v>0</v>
      </c>
      <c r="AE339">
        <f t="shared" si="65"/>
        <v>6</v>
      </c>
      <c r="AF339">
        <f t="shared" si="66"/>
        <v>7</v>
      </c>
      <c r="AG339">
        <f t="shared" si="67"/>
        <v>7</v>
      </c>
      <c r="AH339" s="9" t="str">
        <f t="shared" si="68"/>
        <v/>
      </c>
      <c r="AI339" s="9" t="str">
        <f t="shared" si="69"/>
        <v/>
      </c>
      <c r="AJ339" s="9" t="str">
        <f t="shared" si="70"/>
        <v/>
      </c>
      <c r="AK339" s="9" t="str">
        <f t="shared" si="71"/>
        <v/>
      </c>
      <c r="AL339" s="9" t="str">
        <f t="shared" si="72"/>
        <v/>
      </c>
      <c r="AM339" s="9" t="str">
        <f t="shared" si="73"/>
        <v/>
      </c>
      <c r="AN339" s="9" t="str">
        <f t="shared" si="74"/>
        <v/>
      </c>
      <c r="AO339" s="9" t="str">
        <f t="shared" si="75"/>
        <v/>
      </c>
      <c r="AP339" s="9" t="str">
        <f t="shared" si="76"/>
        <v/>
      </c>
      <c r="AQ339" s="10" t="str">
        <f t="shared" si="77"/>
        <v/>
      </c>
    </row>
    <row r="340" spans="1:43">
      <c r="A340">
        <v>339</v>
      </c>
      <c r="B340" t="s">
        <v>21</v>
      </c>
      <c r="C340" t="s">
        <v>637</v>
      </c>
      <c r="D340" t="s">
        <v>638</v>
      </c>
      <c r="E340" t="s">
        <v>97</v>
      </c>
      <c r="G340" t="s">
        <v>18</v>
      </c>
      <c r="H340" s="4">
        <v>7424730</v>
      </c>
      <c r="I340" s="5">
        <v>0</v>
      </c>
      <c r="J340" s="5">
        <v>1024</v>
      </c>
      <c r="K340" s="5">
        <v>4</v>
      </c>
      <c r="L340">
        <v>1</v>
      </c>
      <c r="M340">
        <v>3.5</v>
      </c>
      <c r="N340">
        <v>3.92</v>
      </c>
      <c r="O340" s="6">
        <v>15.6</v>
      </c>
      <c r="P340" s="7">
        <v>2</v>
      </c>
      <c r="U340" t="s">
        <v>84</v>
      </c>
      <c r="V340" t="s">
        <v>198</v>
      </c>
      <c r="W340">
        <v>1.1000000000000001</v>
      </c>
      <c r="X340" t="s">
        <v>84</v>
      </c>
      <c r="Y340" t="s">
        <v>199</v>
      </c>
      <c r="Z340" t="s">
        <v>146</v>
      </c>
      <c r="AA340" t="s">
        <v>114</v>
      </c>
      <c r="AB340" t="s">
        <v>201</v>
      </c>
      <c r="AC340">
        <v>274.99</v>
      </c>
      <c r="AD340" s="8" t="b">
        <f>AND(
 H340&gt;=Filters!$B$3,
 H340&lt;=Filters!$B$4,
 I340&gt;=Filters!$B$5,
 OR(Filters!$B$6="All",B340=Filters!$B$6),
 F340&gt;=Filters!$B$7,
 F340&lt;=Filters!$B$8,
 OR(Filters!$B$9="All",G340=Filters!$B$9)
)</f>
        <v>0</v>
      </c>
      <c r="AE340">
        <f t="shared" si="65"/>
        <v>6</v>
      </c>
      <c r="AF340">
        <f t="shared" si="66"/>
        <v>7</v>
      </c>
      <c r="AG340">
        <f t="shared" si="67"/>
        <v>7</v>
      </c>
      <c r="AH340" s="9" t="str">
        <f t="shared" si="68"/>
        <v/>
      </c>
      <c r="AI340" s="9" t="str">
        <f t="shared" si="69"/>
        <v/>
      </c>
      <c r="AJ340" s="9" t="str">
        <f t="shared" si="70"/>
        <v/>
      </c>
      <c r="AK340" s="9" t="str">
        <f t="shared" si="71"/>
        <v/>
      </c>
      <c r="AL340" s="9" t="str">
        <f t="shared" si="72"/>
        <v/>
      </c>
      <c r="AM340" s="9" t="str">
        <f t="shared" si="73"/>
        <v/>
      </c>
      <c r="AN340" s="9" t="str">
        <f t="shared" si="74"/>
        <v/>
      </c>
      <c r="AO340" s="9" t="str">
        <f t="shared" si="75"/>
        <v/>
      </c>
      <c r="AP340" s="9" t="str">
        <f t="shared" si="76"/>
        <v/>
      </c>
      <c r="AQ340" s="10" t="str">
        <f t="shared" si="77"/>
        <v/>
      </c>
    </row>
    <row r="341" spans="1:43">
      <c r="A341">
        <v>340</v>
      </c>
      <c r="B341" t="s">
        <v>23</v>
      </c>
      <c r="C341" t="s">
        <v>341</v>
      </c>
      <c r="D341" t="s">
        <v>342</v>
      </c>
      <c r="E341" t="s">
        <v>97</v>
      </c>
      <c r="G341" t="s">
        <v>18</v>
      </c>
      <c r="H341" s="4">
        <v>30854250</v>
      </c>
      <c r="I341" s="5">
        <v>256</v>
      </c>
      <c r="J341" s="5">
        <v>0</v>
      </c>
      <c r="K341" s="5">
        <v>8</v>
      </c>
      <c r="L341">
        <v>5.2</v>
      </c>
      <c r="M341">
        <v>6.5</v>
      </c>
      <c r="N341">
        <v>5.92</v>
      </c>
      <c r="O341" s="6">
        <v>15.6</v>
      </c>
      <c r="P341" s="7">
        <v>2</v>
      </c>
      <c r="U341" t="s">
        <v>84</v>
      </c>
      <c r="V341" t="s">
        <v>126</v>
      </c>
      <c r="W341">
        <v>1.6</v>
      </c>
      <c r="X341" t="s">
        <v>122</v>
      </c>
      <c r="Y341" t="s">
        <v>145</v>
      </c>
      <c r="Z341" t="s">
        <v>100</v>
      </c>
      <c r="AA341" t="s">
        <v>101</v>
      </c>
      <c r="AB341" t="s">
        <v>115</v>
      </c>
      <c r="AC341">
        <v>1142.75</v>
      </c>
      <c r="AD341" s="8" t="b">
        <f>AND(
 H341&gt;=Filters!$B$3,
 H341&lt;=Filters!$B$4,
 I341&gt;=Filters!$B$5,
 OR(Filters!$B$6="All",B341=Filters!$B$6),
 F341&gt;=Filters!$B$7,
 F341&lt;=Filters!$B$8,
 OR(Filters!$B$9="All",G341=Filters!$B$9)
)</f>
        <v>0</v>
      </c>
      <c r="AE341">
        <f t="shared" si="65"/>
        <v>6</v>
      </c>
      <c r="AF341">
        <f t="shared" si="66"/>
        <v>7</v>
      </c>
      <c r="AG341">
        <f t="shared" si="67"/>
        <v>7</v>
      </c>
      <c r="AH341" s="9" t="str">
        <f t="shared" si="68"/>
        <v/>
      </c>
      <c r="AI341" s="9" t="str">
        <f t="shared" si="69"/>
        <v/>
      </c>
      <c r="AJ341" s="9" t="str">
        <f t="shared" si="70"/>
        <v/>
      </c>
      <c r="AK341" s="9" t="str">
        <f t="shared" si="71"/>
        <v/>
      </c>
      <c r="AL341" s="9" t="str">
        <f t="shared" si="72"/>
        <v/>
      </c>
      <c r="AM341" s="9" t="str">
        <f t="shared" si="73"/>
        <v/>
      </c>
      <c r="AN341" s="9" t="str">
        <f t="shared" si="74"/>
        <v/>
      </c>
      <c r="AO341" s="9" t="str">
        <f t="shared" si="75"/>
        <v/>
      </c>
      <c r="AP341" s="9" t="str">
        <f t="shared" si="76"/>
        <v/>
      </c>
      <c r="AQ341" s="10" t="str">
        <f t="shared" si="77"/>
        <v/>
      </c>
    </row>
    <row r="342" spans="1:43">
      <c r="A342">
        <v>341</v>
      </c>
      <c r="B342" t="s">
        <v>23</v>
      </c>
      <c r="C342" t="s">
        <v>639</v>
      </c>
      <c r="D342" t="s">
        <v>640</v>
      </c>
      <c r="E342" t="s">
        <v>97</v>
      </c>
      <c r="G342" t="s">
        <v>18</v>
      </c>
      <c r="H342" s="4">
        <v>7422300</v>
      </c>
      <c r="I342" s="5">
        <v>0</v>
      </c>
      <c r="J342" s="5">
        <v>500</v>
      </c>
      <c r="K342" s="5">
        <v>4</v>
      </c>
      <c r="L342">
        <v>1.2</v>
      </c>
      <c r="M342">
        <v>3.5</v>
      </c>
      <c r="N342">
        <v>3.92</v>
      </c>
      <c r="O342" s="6">
        <v>15.6</v>
      </c>
      <c r="P342" s="7">
        <v>2.2000000000000002</v>
      </c>
      <c r="U342" t="s">
        <v>84</v>
      </c>
      <c r="V342" t="s">
        <v>263</v>
      </c>
      <c r="W342">
        <v>1.6</v>
      </c>
      <c r="X342" t="s">
        <v>84</v>
      </c>
      <c r="Y342" t="s">
        <v>187</v>
      </c>
      <c r="Z342" t="s">
        <v>113</v>
      </c>
      <c r="AA342" t="s">
        <v>114</v>
      </c>
      <c r="AB342" t="s">
        <v>201</v>
      </c>
      <c r="AC342">
        <v>274.89999999999998</v>
      </c>
      <c r="AD342" s="8" t="b">
        <f>AND(
 H342&gt;=Filters!$B$3,
 H342&lt;=Filters!$B$4,
 I342&gt;=Filters!$B$5,
 OR(Filters!$B$6="All",B342=Filters!$B$6),
 F342&gt;=Filters!$B$7,
 F342&lt;=Filters!$B$8,
 OR(Filters!$B$9="All",G342=Filters!$B$9)
)</f>
        <v>0</v>
      </c>
      <c r="AE342">
        <f t="shared" si="65"/>
        <v>6</v>
      </c>
      <c r="AF342">
        <f t="shared" si="66"/>
        <v>7</v>
      </c>
      <c r="AG342">
        <f t="shared" si="67"/>
        <v>7</v>
      </c>
      <c r="AH342" s="9" t="str">
        <f t="shared" si="68"/>
        <v/>
      </c>
      <c r="AI342" s="9" t="str">
        <f t="shared" si="69"/>
        <v/>
      </c>
      <c r="AJ342" s="9" t="str">
        <f t="shared" si="70"/>
        <v/>
      </c>
      <c r="AK342" s="9" t="str">
        <f t="shared" si="71"/>
        <v/>
      </c>
      <c r="AL342" s="9" t="str">
        <f t="shared" si="72"/>
        <v/>
      </c>
      <c r="AM342" s="9" t="str">
        <f t="shared" si="73"/>
        <v/>
      </c>
      <c r="AN342" s="9" t="str">
        <f t="shared" si="74"/>
        <v/>
      </c>
      <c r="AO342" s="9" t="str">
        <f t="shared" si="75"/>
        <v/>
      </c>
      <c r="AP342" s="9" t="str">
        <f t="shared" si="76"/>
        <v/>
      </c>
      <c r="AQ342" s="10" t="str">
        <f t="shared" si="77"/>
        <v/>
      </c>
    </row>
    <row r="343" spans="1:43">
      <c r="A343">
        <v>342</v>
      </c>
      <c r="B343" t="s">
        <v>29</v>
      </c>
      <c r="C343" t="s">
        <v>641</v>
      </c>
      <c r="D343" t="s">
        <v>642</v>
      </c>
      <c r="E343" t="s">
        <v>97</v>
      </c>
      <c r="G343" t="s">
        <v>18</v>
      </c>
      <c r="H343" s="4">
        <v>24273000</v>
      </c>
      <c r="I343" s="5">
        <v>0</v>
      </c>
      <c r="J343" s="5">
        <v>2048</v>
      </c>
      <c r="K343" s="5">
        <v>12</v>
      </c>
      <c r="L343">
        <v>8.1999999999999993</v>
      </c>
      <c r="M343">
        <v>6.5</v>
      </c>
      <c r="N343">
        <v>5.92</v>
      </c>
      <c r="O343" s="6">
        <v>15.6</v>
      </c>
      <c r="P343" s="7">
        <v>2.2000000000000002</v>
      </c>
      <c r="U343" t="s">
        <v>104</v>
      </c>
      <c r="V343" t="s">
        <v>618</v>
      </c>
      <c r="W343">
        <v>3.6</v>
      </c>
      <c r="X343" t="s">
        <v>104</v>
      </c>
      <c r="Y343" t="s">
        <v>176</v>
      </c>
      <c r="Z343" t="s">
        <v>283</v>
      </c>
      <c r="AA343" t="s">
        <v>101</v>
      </c>
      <c r="AB343" t="s">
        <v>115</v>
      </c>
      <c r="AC343">
        <v>899</v>
      </c>
      <c r="AD343" s="8" t="b">
        <f>AND(
 H343&gt;=Filters!$B$3,
 H343&lt;=Filters!$B$4,
 I343&gt;=Filters!$B$5,
 OR(Filters!$B$6="All",B343=Filters!$B$6),
 F343&gt;=Filters!$B$7,
 F343&lt;=Filters!$B$8,
 OR(Filters!$B$9="All",G343=Filters!$B$9)
)</f>
        <v>0</v>
      </c>
      <c r="AE343">
        <f t="shared" si="65"/>
        <v>6</v>
      </c>
      <c r="AF343">
        <f t="shared" si="66"/>
        <v>7</v>
      </c>
      <c r="AG343">
        <f t="shared" si="67"/>
        <v>7</v>
      </c>
      <c r="AH343" s="9" t="str">
        <f t="shared" si="68"/>
        <v/>
      </c>
      <c r="AI343" s="9" t="str">
        <f t="shared" si="69"/>
        <v/>
      </c>
      <c r="AJ343" s="9" t="str">
        <f t="shared" si="70"/>
        <v/>
      </c>
      <c r="AK343" s="9" t="str">
        <f t="shared" si="71"/>
        <v/>
      </c>
      <c r="AL343" s="9" t="str">
        <f t="shared" si="72"/>
        <v/>
      </c>
      <c r="AM343" s="9" t="str">
        <f t="shared" si="73"/>
        <v/>
      </c>
      <c r="AN343" s="9" t="str">
        <f t="shared" si="74"/>
        <v/>
      </c>
      <c r="AO343" s="9" t="str">
        <f t="shared" si="75"/>
        <v/>
      </c>
      <c r="AP343" s="9" t="str">
        <f t="shared" si="76"/>
        <v/>
      </c>
      <c r="AQ343" s="10" t="str">
        <f t="shared" si="77"/>
        <v/>
      </c>
    </row>
    <row r="344" spans="1:43">
      <c r="A344">
        <v>343</v>
      </c>
      <c r="B344" t="s">
        <v>26</v>
      </c>
      <c r="C344" t="s">
        <v>204</v>
      </c>
      <c r="D344" t="s">
        <v>205</v>
      </c>
      <c r="E344" t="s">
        <v>97</v>
      </c>
      <c r="G344" t="s">
        <v>18</v>
      </c>
      <c r="H344" s="4">
        <v>19332000</v>
      </c>
      <c r="I344" s="5">
        <v>0</v>
      </c>
      <c r="J344" s="5">
        <v>1024</v>
      </c>
      <c r="K344" s="5">
        <v>8</v>
      </c>
      <c r="L344">
        <v>4.8</v>
      </c>
      <c r="M344">
        <v>6.5</v>
      </c>
      <c r="N344">
        <v>6.32</v>
      </c>
      <c r="O344" s="6">
        <v>15.6</v>
      </c>
      <c r="P344" s="7">
        <v>2.1</v>
      </c>
      <c r="U344" t="s">
        <v>84</v>
      </c>
      <c r="V344" t="s">
        <v>144</v>
      </c>
      <c r="W344">
        <v>2.4</v>
      </c>
      <c r="X344" t="s">
        <v>122</v>
      </c>
      <c r="Y344" t="s">
        <v>183</v>
      </c>
      <c r="Z344" t="s">
        <v>146</v>
      </c>
      <c r="AA344" t="s">
        <v>128</v>
      </c>
      <c r="AB344" t="s">
        <v>115</v>
      </c>
      <c r="AC344">
        <v>716</v>
      </c>
      <c r="AD344" s="8" t="b">
        <f>AND(
 H344&gt;=Filters!$B$3,
 H344&lt;=Filters!$B$4,
 I344&gt;=Filters!$B$5,
 OR(Filters!$B$6="All",B344=Filters!$B$6),
 F344&gt;=Filters!$B$7,
 F344&lt;=Filters!$B$8,
 OR(Filters!$B$9="All",G344=Filters!$B$9)
)</f>
        <v>0</v>
      </c>
      <c r="AE344">
        <f t="shared" si="65"/>
        <v>6</v>
      </c>
      <c r="AF344">
        <f t="shared" si="66"/>
        <v>7</v>
      </c>
      <c r="AG344">
        <f t="shared" si="67"/>
        <v>7</v>
      </c>
      <c r="AH344" s="9" t="str">
        <f t="shared" si="68"/>
        <v/>
      </c>
      <c r="AI344" s="9" t="str">
        <f t="shared" si="69"/>
        <v/>
      </c>
      <c r="AJ344" s="9" t="str">
        <f t="shared" si="70"/>
        <v/>
      </c>
      <c r="AK344" s="9" t="str">
        <f t="shared" si="71"/>
        <v/>
      </c>
      <c r="AL344" s="9" t="str">
        <f t="shared" si="72"/>
        <v/>
      </c>
      <c r="AM344" s="9" t="str">
        <f t="shared" si="73"/>
        <v/>
      </c>
      <c r="AN344" s="9" t="str">
        <f t="shared" si="74"/>
        <v/>
      </c>
      <c r="AO344" s="9" t="str">
        <f t="shared" si="75"/>
        <v/>
      </c>
      <c r="AP344" s="9" t="str">
        <f t="shared" si="76"/>
        <v/>
      </c>
      <c r="AQ344" s="10" t="str">
        <f t="shared" si="77"/>
        <v/>
      </c>
    </row>
    <row r="345" spans="1:43">
      <c r="A345">
        <v>344</v>
      </c>
      <c r="B345" t="s">
        <v>29</v>
      </c>
      <c r="C345" t="s">
        <v>432</v>
      </c>
      <c r="D345" t="s">
        <v>433</v>
      </c>
      <c r="E345" t="s">
        <v>168</v>
      </c>
      <c r="G345" t="s">
        <v>18</v>
      </c>
      <c r="H345" s="4">
        <v>56673000</v>
      </c>
      <c r="I345" s="5">
        <v>512</v>
      </c>
      <c r="J345" s="5">
        <v>0</v>
      </c>
      <c r="K345" s="5">
        <v>16</v>
      </c>
      <c r="L345">
        <v>7.6</v>
      </c>
      <c r="M345">
        <v>3.8</v>
      </c>
      <c r="N345">
        <v>10</v>
      </c>
      <c r="O345" s="6">
        <v>13.9</v>
      </c>
      <c r="P345" s="7">
        <v>1.4</v>
      </c>
      <c r="U345" t="s">
        <v>84</v>
      </c>
      <c r="V345" t="s">
        <v>121</v>
      </c>
      <c r="W345">
        <v>1.8</v>
      </c>
      <c r="X345" t="s">
        <v>84</v>
      </c>
      <c r="Y345" t="s">
        <v>127</v>
      </c>
      <c r="Z345" t="s">
        <v>106</v>
      </c>
      <c r="AA345" t="s">
        <v>382</v>
      </c>
      <c r="AB345" t="s">
        <v>115</v>
      </c>
      <c r="AC345">
        <v>2099</v>
      </c>
      <c r="AD345" s="8" t="b">
        <f>AND(
 H345&gt;=Filters!$B$3,
 H345&lt;=Filters!$B$4,
 I345&gt;=Filters!$B$5,
 OR(Filters!$B$6="All",B345=Filters!$B$6),
 F345&gt;=Filters!$B$7,
 F345&lt;=Filters!$B$8,
 OR(Filters!$B$9="All",G345=Filters!$B$9)
)</f>
        <v>0</v>
      </c>
      <c r="AE345">
        <f t="shared" si="65"/>
        <v>6</v>
      </c>
      <c r="AF345">
        <f t="shared" si="66"/>
        <v>7</v>
      </c>
      <c r="AG345">
        <f t="shared" si="67"/>
        <v>7</v>
      </c>
      <c r="AH345" s="9" t="str">
        <f t="shared" si="68"/>
        <v/>
      </c>
      <c r="AI345" s="9" t="str">
        <f t="shared" si="69"/>
        <v/>
      </c>
      <c r="AJ345" s="9" t="str">
        <f t="shared" si="70"/>
        <v/>
      </c>
      <c r="AK345" s="9" t="str">
        <f t="shared" si="71"/>
        <v/>
      </c>
      <c r="AL345" s="9" t="str">
        <f t="shared" si="72"/>
        <v/>
      </c>
      <c r="AM345" s="9" t="str">
        <f t="shared" si="73"/>
        <v/>
      </c>
      <c r="AN345" s="9" t="str">
        <f t="shared" si="74"/>
        <v/>
      </c>
      <c r="AO345" s="9" t="str">
        <f t="shared" si="75"/>
        <v/>
      </c>
      <c r="AP345" s="9" t="str">
        <f t="shared" si="76"/>
        <v/>
      </c>
      <c r="AQ345" s="10" t="str">
        <f t="shared" si="77"/>
        <v/>
      </c>
    </row>
    <row r="346" spans="1:43">
      <c r="A346">
        <v>345</v>
      </c>
      <c r="B346" t="s">
        <v>23</v>
      </c>
      <c r="C346" t="s">
        <v>147</v>
      </c>
      <c r="D346" t="s">
        <v>148</v>
      </c>
      <c r="E346" t="s">
        <v>83</v>
      </c>
      <c r="G346" t="s">
        <v>18</v>
      </c>
      <c r="H346" s="4">
        <v>42633000</v>
      </c>
      <c r="I346" s="5">
        <v>256</v>
      </c>
      <c r="J346" s="5">
        <v>0</v>
      </c>
      <c r="K346" s="5">
        <v>8</v>
      </c>
      <c r="L346">
        <v>7.6</v>
      </c>
      <c r="M346">
        <v>3.8</v>
      </c>
      <c r="N346">
        <v>5.96</v>
      </c>
      <c r="O346" s="6">
        <v>13.3</v>
      </c>
      <c r="P346" s="7">
        <v>1.2</v>
      </c>
      <c r="U346" t="s">
        <v>84</v>
      </c>
      <c r="V346" t="s">
        <v>121</v>
      </c>
      <c r="W346">
        <v>1.8</v>
      </c>
      <c r="X346" t="s">
        <v>84</v>
      </c>
      <c r="Y346" t="s">
        <v>127</v>
      </c>
      <c r="Z346" t="s">
        <v>100</v>
      </c>
      <c r="AA346" t="s">
        <v>101</v>
      </c>
      <c r="AB346" t="s">
        <v>115</v>
      </c>
      <c r="AC346">
        <v>1579</v>
      </c>
      <c r="AD346" s="8" t="b">
        <f>AND(
 H346&gt;=Filters!$B$3,
 H346&lt;=Filters!$B$4,
 I346&gt;=Filters!$B$5,
 OR(Filters!$B$6="All",B346=Filters!$B$6),
 F346&gt;=Filters!$B$7,
 F346&lt;=Filters!$B$8,
 OR(Filters!$B$9="All",G346=Filters!$B$9)
)</f>
        <v>0</v>
      </c>
      <c r="AE346">
        <f t="shared" si="65"/>
        <v>6</v>
      </c>
      <c r="AF346">
        <f t="shared" si="66"/>
        <v>7</v>
      </c>
      <c r="AG346">
        <f t="shared" si="67"/>
        <v>7</v>
      </c>
      <c r="AH346" s="9" t="str">
        <f t="shared" si="68"/>
        <v/>
      </c>
      <c r="AI346" s="9" t="str">
        <f t="shared" si="69"/>
        <v/>
      </c>
      <c r="AJ346" s="9" t="str">
        <f t="shared" si="70"/>
        <v/>
      </c>
      <c r="AK346" s="9" t="str">
        <f t="shared" si="71"/>
        <v/>
      </c>
      <c r="AL346" s="9" t="str">
        <f t="shared" si="72"/>
        <v/>
      </c>
      <c r="AM346" s="9" t="str">
        <f t="shared" si="73"/>
        <v/>
      </c>
      <c r="AN346" s="9" t="str">
        <f t="shared" si="74"/>
        <v/>
      </c>
      <c r="AO346" s="9" t="str">
        <f t="shared" si="75"/>
        <v/>
      </c>
      <c r="AP346" s="9" t="str">
        <f t="shared" si="76"/>
        <v/>
      </c>
      <c r="AQ346" s="10" t="str">
        <f t="shared" si="77"/>
        <v/>
      </c>
    </row>
    <row r="347" spans="1:43">
      <c r="A347">
        <v>346</v>
      </c>
      <c r="B347" t="s">
        <v>29</v>
      </c>
      <c r="C347" t="s">
        <v>156</v>
      </c>
      <c r="D347" t="s">
        <v>157</v>
      </c>
      <c r="E347" t="s">
        <v>158</v>
      </c>
      <c r="G347" t="s">
        <v>18</v>
      </c>
      <c r="H347" s="4">
        <v>30483000</v>
      </c>
      <c r="I347" s="5">
        <v>256</v>
      </c>
      <c r="J347" s="5">
        <v>2048</v>
      </c>
      <c r="K347" s="5">
        <v>16</v>
      </c>
      <c r="L347">
        <v>9.6</v>
      </c>
      <c r="M347">
        <v>9.1999999999999993</v>
      </c>
      <c r="N347">
        <v>6.32</v>
      </c>
      <c r="O347" s="6">
        <v>15.6</v>
      </c>
      <c r="P347" s="7">
        <v>2.4</v>
      </c>
      <c r="U347" t="s">
        <v>84</v>
      </c>
      <c r="V347" t="s">
        <v>210</v>
      </c>
      <c r="W347">
        <v>2.8</v>
      </c>
      <c r="X347" t="s">
        <v>122</v>
      </c>
      <c r="Y347" t="s">
        <v>260</v>
      </c>
      <c r="Z347" t="s">
        <v>249</v>
      </c>
      <c r="AA347" t="s">
        <v>128</v>
      </c>
      <c r="AB347" t="s">
        <v>115</v>
      </c>
      <c r="AC347">
        <v>1129</v>
      </c>
      <c r="AD347" s="8" t="b">
        <f>AND(
 H347&gt;=Filters!$B$3,
 H347&lt;=Filters!$B$4,
 I347&gt;=Filters!$B$5,
 OR(Filters!$B$6="All",B347=Filters!$B$6),
 F347&gt;=Filters!$B$7,
 F347&lt;=Filters!$B$8,
 OR(Filters!$B$9="All",G347=Filters!$B$9)
)</f>
        <v>0</v>
      </c>
      <c r="AE347">
        <f t="shared" si="65"/>
        <v>6</v>
      </c>
      <c r="AF347">
        <f t="shared" si="66"/>
        <v>7</v>
      </c>
      <c r="AG347">
        <f t="shared" si="67"/>
        <v>7</v>
      </c>
      <c r="AH347" s="9" t="str">
        <f t="shared" si="68"/>
        <v/>
      </c>
      <c r="AI347" s="9" t="str">
        <f t="shared" si="69"/>
        <v/>
      </c>
      <c r="AJ347" s="9" t="str">
        <f t="shared" si="70"/>
        <v/>
      </c>
      <c r="AK347" s="9" t="str">
        <f t="shared" si="71"/>
        <v/>
      </c>
      <c r="AL347" s="9" t="str">
        <f t="shared" si="72"/>
        <v/>
      </c>
      <c r="AM347" s="9" t="str">
        <f t="shared" si="73"/>
        <v/>
      </c>
      <c r="AN347" s="9" t="str">
        <f t="shared" si="74"/>
        <v/>
      </c>
      <c r="AO347" s="9" t="str">
        <f t="shared" si="75"/>
        <v/>
      </c>
      <c r="AP347" s="9" t="str">
        <f t="shared" si="76"/>
        <v/>
      </c>
      <c r="AQ347" s="10" t="str">
        <f t="shared" si="77"/>
        <v/>
      </c>
    </row>
    <row r="348" spans="1:43">
      <c r="A348">
        <v>347</v>
      </c>
      <c r="B348" t="s">
        <v>26</v>
      </c>
      <c r="C348" t="s">
        <v>643</v>
      </c>
      <c r="D348" t="s">
        <v>644</v>
      </c>
      <c r="E348" t="s">
        <v>97</v>
      </c>
      <c r="G348" t="s">
        <v>18</v>
      </c>
      <c r="H348" s="4">
        <v>7533000</v>
      </c>
      <c r="I348" s="5">
        <v>32</v>
      </c>
      <c r="J348" s="5">
        <v>0</v>
      </c>
      <c r="K348" s="5">
        <v>2</v>
      </c>
      <c r="L348">
        <v>1.2</v>
      </c>
      <c r="M348">
        <v>3.5</v>
      </c>
      <c r="N348">
        <v>4</v>
      </c>
      <c r="O348" s="6">
        <v>14</v>
      </c>
      <c r="P348" s="7">
        <v>1.44</v>
      </c>
      <c r="U348" t="s">
        <v>84</v>
      </c>
      <c r="V348" t="s">
        <v>263</v>
      </c>
      <c r="W348">
        <v>1.6</v>
      </c>
      <c r="X348" t="s">
        <v>84</v>
      </c>
      <c r="Y348" t="s">
        <v>154</v>
      </c>
      <c r="Z348" t="s">
        <v>155</v>
      </c>
      <c r="AA348" t="s">
        <v>114</v>
      </c>
      <c r="AB348" t="s">
        <v>115</v>
      </c>
      <c r="AC348">
        <v>279</v>
      </c>
      <c r="AD348" s="8" t="b">
        <f>AND(
 H348&gt;=Filters!$B$3,
 H348&lt;=Filters!$B$4,
 I348&gt;=Filters!$B$5,
 OR(Filters!$B$6="All",B348=Filters!$B$6),
 F348&gt;=Filters!$B$7,
 F348&lt;=Filters!$B$8,
 OR(Filters!$B$9="All",G348=Filters!$B$9)
)</f>
        <v>0</v>
      </c>
      <c r="AE348">
        <f t="shared" si="65"/>
        <v>6</v>
      </c>
      <c r="AF348">
        <f t="shared" si="66"/>
        <v>7</v>
      </c>
      <c r="AG348">
        <f t="shared" si="67"/>
        <v>7</v>
      </c>
      <c r="AH348" s="9" t="str">
        <f t="shared" si="68"/>
        <v/>
      </c>
      <c r="AI348" s="9" t="str">
        <f t="shared" si="69"/>
        <v/>
      </c>
      <c r="AJ348" s="9" t="str">
        <f t="shared" si="70"/>
        <v/>
      </c>
      <c r="AK348" s="9" t="str">
        <f t="shared" si="71"/>
        <v/>
      </c>
      <c r="AL348" s="9" t="str">
        <f t="shared" si="72"/>
        <v/>
      </c>
      <c r="AM348" s="9" t="str">
        <f t="shared" si="73"/>
        <v/>
      </c>
      <c r="AN348" s="9" t="str">
        <f t="shared" si="74"/>
        <v/>
      </c>
      <c r="AO348" s="9" t="str">
        <f t="shared" si="75"/>
        <v/>
      </c>
      <c r="AP348" s="9" t="str">
        <f t="shared" si="76"/>
        <v/>
      </c>
      <c r="AQ348" s="10" t="str">
        <f t="shared" si="77"/>
        <v/>
      </c>
    </row>
    <row r="349" spans="1:43">
      <c r="A349">
        <v>348</v>
      </c>
      <c r="B349" t="s">
        <v>23</v>
      </c>
      <c r="C349" t="s">
        <v>177</v>
      </c>
      <c r="D349" t="s">
        <v>178</v>
      </c>
      <c r="E349" t="s">
        <v>83</v>
      </c>
      <c r="G349" t="s">
        <v>18</v>
      </c>
      <c r="H349" s="4">
        <v>43414920</v>
      </c>
      <c r="I349" s="5">
        <v>768</v>
      </c>
      <c r="J349" s="5">
        <v>0</v>
      </c>
      <c r="K349" s="5">
        <v>16</v>
      </c>
      <c r="L349">
        <v>7.8</v>
      </c>
      <c r="M349">
        <v>3.8</v>
      </c>
      <c r="N349">
        <v>5.92</v>
      </c>
      <c r="O349" s="6">
        <v>15.6</v>
      </c>
      <c r="P349" s="7">
        <v>1.88</v>
      </c>
      <c r="U349" t="s">
        <v>84</v>
      </c>
      <c r="V349" t="s">
        <v>179</v>
      </c>
      <c r="W349">
        <v>1.9</v>
      </c>
      <c r="X349" t="s">
        <v>84</v>
      </c>
      <c r="Y349" t="s">
        <v>127</v>
      </c>
      <c r="Z349" t="s">
        <v>645</v>
      </c>
      <c r="AA349" t="s">
        <v>101</v>
      </c>
      <c r="AB349" t="s">
        <v>115</v>
      </c>
      <c r="AC349">
        <v>1607.96</v>
      </c>
      <c r="AD349" s="8" t="b">
        <f>AND(
 H349&gt;=Filters!$B$3,
 H349&lt;=Filters!$B$4,
 I349&gt;=Filters!$B$5,
 OR(Filters!$B$6="All",B349=Filters!$B$6),
 F349&gt;=Filters!$B$7,
 F349&lt;=Filters!$B$8,
 OR(Filters!$B$9="All",G349=Filters!$B$9)
)</f>
        <v>0</v>
      </c>
      <c r="AE349">
        <f t="shared" si="65"/>
        <v>6</v>
      </c>
      <c r="AF349">
        <f t="shared" si="66"/>
        <v>7</v>
      </c>
      <c r="AG349">
        <f t="shared" si="67"/>
        <v>7</v>
      </c>
      <c r="AH349" s="9" t="str">
        <f t="shared" si="68"/>
        <v/>
      </c>
      <c r="AI349" s="9" t="str">
        <f t="shared" si="69"/>
        <v/>
      </c>
      <c r="AJ349" s="9" t="str">
        <f t="shared" si="70"/>
        <v/>
      </c>
      <c r="AK349" s="9" t="str">
        <f t="shared" si="71"/>
        <v/>
      </c>
      <c r="AL349" s="9" t="str">
        <f t="shared" si="72"/>
        <v/>
      </c>
      <c r="AM349" s="9" t="str">
        <f t="shared" si="73"/>
        <v/>
      </c>
      <c r="AN349" s="9" t="str">
        <f t="shared" si="74"/>
        <v/>
      </c>
      <c r="AO349" s="9" t="str">
        <f t="shared" si="75"/>
        <v/>
      </c>
      <c r="AP349" s="9" t="str">
        <f t="shared" si="76"/>
        <v/>
      </c>
      <c r="AQ349" s="10" t="str">
        <f t="shared" si="77"/>
        <v/>
      </c>
    </row>
    <row r="350" spans="1:43">
      <c r="A350">
        <v>349</v>
      </c>
      <c r="B350" t="s">
        <v>21</v>
      </c>
      <c r="C350" t="s">
        <v>600</v>
      </c>
      <c r="D350" t="s">
        <v>601</v>
      </c>
      <c r="E350" t="s">
        <v>168</v>
      </c>
      <c r="G350" t="s">
        <v>18</v>
      </c>
      <c r="H350" s="4">
        <v>10125000</v>
      </c>
      <c r="I350" s="5">
        <v>32</v>
      </c>
      <c r="J350" s="5">
        <v>0</v>
      </c>
      <c r="K350" s="5">
        <v>4</v>
      </c>
      <c r="L350">
        <v>1</v>
      </c>
      <c r="M350">
        <v>3.5</v>
      </c>
      <c r="N350">
        <v>4.18</v>
      </c>
      <c r="O350" s="6">
        <v>11.6</v>
      </c>
      <c r="P350" s="7">
        <v>1.5</v>
      </c>
      <c r="U350" t="s">
        <v>84</v>
      </c>
      <c r="V350" t="s">
        <v>198</v>
      </c>
      <c r="W350">
        <v>1.1000000000000001</v>
      </c>
      <c r="X350" t="s">
        <v>84</v>
      </c>
      <c r="Y350" t="s">
        <v>199</v>
      </c>
      <c r="Z350" t="s">
        <v>155</v>
      </c>
      <c r="AA350" t="s">
        <v>472</v>
      </c>
      <c r="AB350" t="s">
        <v>115</v>
      </c>
      <c r="AC350">
        <v>375</v>
      </c>
      <c r="AD350" s="8" t="b">
        <f>AND(
 H350&gt;=Filters!$B$3,
 H350&lt;=Filters!$B$4,
 I350&gt;=Filters!$B$5,
 OR(Filters!$B$6="All",B350=Filters!$B$6),
 F350&gt;=Filters!$B$7,
 F350&lt;=Filters!$B$8,
 OR(Filters!$B$9="All",G350=Filters!$B$9)
)</f>
        <v>0</v>
      </c>
      <c r="AE350">
        <f t="shared" si="65"/>
        <v>6</v>
      </c>
      <c r="AF350">
        <f t="shared" si="66"/>
        <v>7</v>
      </c>
      <c r="AG350">
        <f t="shared" si="67"/>
        <v>7</v>
      </c>
      <c r="AH350" s="9" t="str">
        <f t="shared" si="68"/>
        <v/>
      </c>
      <c r="AI350" s="9" t="str">
        <f t="shared" si="69"/>
        <v/>
      </c>
      <c r="AJ350" s="9" t="str">
        <f t="shared" si="70"/>
        <v/>
      </c>
      <c r="AK350" s="9" t="str">
        <f t="shared" si="71"/>
        <v/>
      </c>
      <c r="AL350" s="9" t="str">
        <f t="shared" si="72"/>
        <v/>
      </c>
      <c r="AM350" s="9" t="str">
        <f t="shared" si="73"/>
        <v/>
      </c>
      <c r="AN350" s="9" t="str">
        <f t="shared" si="74"/>
        <v/>
      </c>
      <c r="AO350" s="9" t="str">
        <f t="shared" si="75"/>
        <v/>
      </c>
      <c r="AP350" s="9" t="str">
        <f t="shared" si="76"/>
        <v/>
      </c>
      <c r="AQ350" s="10" t="str">
        <f t="shared" si="77"/>
        <v/>
      </c>
    </row>
    <row r="351" spans="1:43">
      <c r="A351">
        <v>350</v>
      </c>
      <c r="B351" t="s">
        <v>23</v>
      </c>
      <c r="C351" t="s">
        <v>646</v>
      </c>
      <c r="D351" t="s">
        <v>175</v>
      </c>
      <c r="E351" t="s">
        <v>83</v>
      </c>
      <c r="G351" t="s">
        <v>18</v>
      </c>
      <c r="H351" s="4">
        <v>17901000</v>
      </c>
      <c r="I351" s="5">
        <v>0</v>
      </c>
      <c r="J351" s="5">
        <v>1024</v>
      </c>
      <c r="K351" s="5">
        <v>8</v>
      </c>
      <c r="L351">
        <v>5.2</v>
      </c>
      <c r="M351">
        <v>6.5</v>
      </c>
      <c r="N351">
        <v>5.92</v>
      </c>
      <c r="O351" s="6">
        <v>15.6</v>
      </c>
      <c r="P351" s="7">
        <v>1.9</v>
      </c>
      <c r="U351" t="s">
        <v>84</v>
      </c>
      <c r="V351" t="s">
        <v>126</v>
      </c>
      <c r="W351">
        <v>1.6</v>
      </c>
      <c r="X351" t="s">
        <v>104</v>
      </c>
      <c r="Y351" t="s">
        <v>176</v>
      </c>
      <c r="Z351" t="s">
        <v>146</v>
      </c>
      <c r="AA351" t="s">
        <v>101</v>
      </c>
      <c r="AB351" t="s">
        <v>115</v>
      </c>
      <c r="AC351">
        <v>663</v>
      </c>
      <c r="AD351" s="8" t="b">
        <f>AND(
 H351&gt;=Filters!$B$3,
 H351&lt;=Filters!$B$4,
 I351&gt;=Filters!$B$5,
 OR(Filters!$B$6="All",B351=Filters!$B$6),
 F351&gt;=Filters!$B$7,
 F351&lt;=Filters!$B$8,
 OR(Filters!$B$9="All",G351=Filters!$B$9)
)</f>
        <v>0</v>
      </c>
      <c r="AE351">
        <f t="shared" si="65"/>
        <v>6</v>
      </c>
      <c r="AF351">
        <f t="shared" si="66"/>
        <v>7</v>
      </c>
      <c r="AG351">
        <f t="shared" si="67"/>
        <v>7</v>
      </c>
      <c r="AH351" s="9" t="str">
        <f t="shared" si="68"/>
        <v/>
      </c>
      <c r="AI351" s="9" t="str">
        <f t="shared" si="69"/>
        <v/>
      </c>
      <c r="AJ351" s="9" t="str">
        <f t="shared" si="70"/>
        <v/>
      </c>
      <c r="AK351" s="9" t="str">
        <f t="shared" si="71"/>
        <v/>
      </c>
      <c r="AL351" s="9" t="str">
        <f t="shared" si="72"/>
        <v/>
      </c>
      <c r="AM351" s="9" t="str">
        <f t="shared" si="73"/>
        <v/>
      </c>
      <c r="AN351" s="9" t="str">
        <f t="shared" si="74"/>
        <v/>
      </c>
      <c r="AO351" s="9" t="str">
        <f t="shared" si="75"/>
        <v/>
      </c>
      <c r="AP351" s="9" t="str">
        <f t="shared" si="76"/>
        <v/>
      </c>
      <c r="AQ351" s="10" t="str">
        <f t="shared" si="77"/>
        <v/>
      </c>
    </row>
    <row r="352" spans="1:43">
      <c r="A352">
        <v>351</v>
      </c>
      <c r="B352" t="s">
        <v>23</v>
      </c>
      <c r="C352" t="s">
        <v>437</v>
      </c>
      <c r="D352" t="s">
        <v>438</v>
      </c>
      <c r="E352" t="s">
        <v>97</v>
      </c>
      <c r="G352" t="s">
        <v>18</v>
      </c>
      <c r="H352" s="4">
        <v>54740340</v>
      </c>
      <c r="I352" s="5">
        <v>512</v>
      </c>
      <c r="J352" s="5">
        <v>0</v>
      </c>
      <c r="K352" s="5">
        <v>16</v>
      </c>
      <c r="L352">
        <v>9.6</v>
      </c>
      <c r="M352">
        <v>9.1999999999999993</v>
      </c>
      <c r="N352">
        <v>9.7200000000000006</v>
      </c>
      <c r="O352" s="6">
        <v>15.6</v>
      </c>
      <c r="P352" s="7">
        <v>2.06</v>
      </c>
      <c r="U352" t="s">
        <v>84</v>
      </c>
      <c r="V352" t="s">
        <v>210</v>
      </c>
      <c r="W352">
        <v>2.8</v>
      </c>
      <c r="X352" t="s">
        <v>122</v>
      </c>
      <c r="Y352" t="s">
        <v>160</v>
      </c>
      <c r="Z352" t="s">
        <v>106</v>
      </c>
      <c r="AA352" t="s">
        <v>439</v>
      </c>
      <c r="AB352" t="s">
        <v>115</v>
      </c>
      <c r="AC352">
        <v>2027.42</v>
      </c>
      <c r="AD352" s="8" t="b">
        <f>AND(
 H352&gt;=Filters!$B$3,
 H352&lt;=Filters!$B$4,
 I352&gt;=Filters!$B$5,
 OR(Filters!$B$6="All",B352=Filters!$B$6),
 F352&gt;=Filters!$B$7,
 F352&lt;=Filters!$B$8,
 OR(Filters!$B$9="All",G352=Filters!$B$9)
)</f>
        <v>0</v>
      </c>
      <c r="AE352">
        <f t="shared" si="65"/>
        <v>6</v>
      </c>
      <c r="AF352">
        <f t="shared" si="66"/>
        <v>7</v>
      </c>
      <c r="AG352">
        <f t="shared" si="67"/>
        <v>7</v>
      </c>
      <c r="AH352" s="9" t="str">
        <f t="shared" si="68"/>
        <v/>
      </c>
      <c r="AI352" s="9" t="str">
        <f t="shared" si="69"/>
        <v/>
      </c>
      <c r="AJ352" s="9" t="str">
        <f t="shared" si="70"/>
        <v/>
      </c>
      <c r="AK352" s="9" t="str">
        <f t="shared" si="71"/>
        <v/>
      </c>
      <c r="AL352" s="9" t="str">
        <f t="shared" si="72"/>
        <v/>
      </c>
      <c r="AM352" s="9" t="str">
        <f t="shared" si="73"/>
        <v/>
      </c>
      <c r="AN352" s="9" t="str">
        <f t="shared" si="74"/>
        <v/>
      </c>
      <c r="AO352" s="9" t="str">
        <f t="shared" si="75"/>
        <v/>
      </c>
      <c r="AP352" s="9" t="str">
        <f t="shared" si="76"/>
        <v/>
      </c>
      <c r="AQ352" s="10" t="str">
        <f t="shared" si="77"/>
        <v/>
      </c>
    </row>
    <row r="353" spans="1:43">
      <c r="A353">
        <v>352</v>
      </c>
      <c r="B353" t="s">
        <v>26</v>
      </c>
      <c r="C353" t="s">
        <v>635</v>
      </c>
      <c r="D353" t="s">
        <v>636</v>
      </c>
      <c r="E353" t="s">
        <v>97</v>
      </c>
      <c r="G353" t="s">
        <v>18</v>
      </c>
      <c r="H353" s="4">
        <v>35208000</v>
      </c>
      <c r="I353" s="5">
        <v>256</v>
      </c>
      <c r="J353" s="5">
        <v>0</v>
      </c>
      <c r="K353" s="5">
        <v>8</v>
      </c>
      <c r="L353">
        <v>9.4</v>
      </c>
      <c r="M353">
        <v>3.5</v>
      </c>
      <c r="N353">
        <v>5.92</v>
      </c>
      <c r="O353" s="6">
        <v>15.6</v>
      </c>
      <c r="P353" s="7">
        <v>1.84</v>
      </c>
      <c r="U353" t="s">
        <v>84</v>
      </c>
      <c r="V353" t="s">
        <v>140</v>
      </c>
      <c r="W353">
        <v>2.7</v>
      </c>
      <c r="X353" t="s">
        <v>84</v>
      </c>
      <c r="Y353" t="s">
        <v>99</v>
      </c>
      <c r="Z353" t="s">
        <v>100</v>
      </c>
      <c r="AA353" t="s">
        <v>101</v>
      </c>
      <c r="AB353" t="s">
        <v>115</v>
      </c>
      <c r="AC353">
        <v>1304</v>
      </c>
      <c r="AD353" s="8" t="b">
        <f>AND(
 H353&gt;=Filters!$B$3,
 H353&lt;=Filters!$B$4,
 I353&gt;=Filters!$B$5,
 OR(Filters!$B$6="All",B353=Filters!$B$6),
 F353&gt;=Filters!$B$7,
 F353&lt;=Filters!$B$8,
 OR(Filters!$B$9="All",G353=Filters!$B$9)
)</f>
        <v>0</v>
      </c>
      <c r="AE353">
        <f t="shared" si="65"/>
        <v>6</v>
      </c>
      <c r="AF353">
        <f t="shared" si="66"/>
        <v>7</v>
      </c>
      <c r="AG353">
        <f t="shared" si="67"/>
        <v>7</v>
      </c>
      <c r="AH353" s="9" t="str">
        <f t="shared" si="68"/>
        <v/>
      </c>
      <c r="AI353" s="9" t="str">
        <f t="shared" si="69"/>
        <v/>
      </c>
      <c r="AJ353" s="9" t="str">
        <f t="shared" si="70"/>
        <v/>
      </c>
      <c r="AK353" s="9" t="str">
        <f t="shared" si="71"/>
        <v/>
      </c>
      <c r="AL353" s="9" t="str">
        <f t="shared" si="72"/>
        <v/>
      </c>
      <c r="AM353" s="9" t="str">
        <f t="shared" si="73"/>
        <v/>
      </c>
      <c r="AN353" s="9" t="str">
        <f t="shared" si="74"/>
        <v/>
      </c>
      <c r="AO353" s="9" t="str">
        <f t="shared" si="75"/>
        <v/>
      </c>
      <c r="AP353" s="9" t="str">
        <f t="shared" si="76"/>
        <v/>
      </c>
      <c r="AQ353" s="10" t="str">
        <f t="shared" si="77"/>
        <v/>
      </c>
    </row>
    <row r="354" spans="1:43">
      <c r="A354">
        <v>353</v>
      </c>
      <c r="B354" t="s">
        <v>30</v>
      </c>
      <c r="C354" t="s">
        <v>647</v>
      </c>
      <c r="D354" t="s">
        <v>648</v>
      </c>
      <c r="E354" t="s">
        <v>158</v>
      </c>
      <c r="G354" t="s">
        <v>18</v>
      </c>
      <c r="H354" s="4">
        <v>38043000</v>
      </c>
      <c r="I354" s="5">
        <v>128</v>
      </c>
      <c r="J354" s="5">
        <v>1024</v>
      </c>
      <c r="K354" s="5">
        <v>8</v>
      </c>
      <c r="L354">
        <v>9.6</v>
      </c>
      <c r="M354">
        <v>9.1999999999999993</v>
      </c>
      <c r="N354">
        <v>5.83</v>
      </c>
      <c r="O354" s="6">
        <v>17.3</v>
      </c>
      <c r="P354" s="7">
        <v>2.7</v>
      </c>
      <c r="U354" t="s">
        <v>84</v>
      </c>
      <c r="V354" t="s">
        <v>210</v>
      </c>
      <c r="W354">
        <v>2.8</v>
      </c>
      <c r="X354" t="s">
        <v>122</v>
      </c>
      <c r="Y354" t="s">
        <v>211</v>
      </c>
      <c r="Z354" t="s">
        <v>161</v>
      </c>
      <c r="AA354" t="s">
        <v>101</v>
      </c>
      <c r="AB354" t="s">
        <v>115</v>
      </c>
      <c r="AC354">
        <v>1409</v>
      </c>
      <c r="AD354" s="8" t="b">
        <f>AND(
 H354&gt;=Filters!$B$3,
 H354&lt;=Filters!$B$4,
 I354&gt;=Filters!$B$5,
 OR(Filters!$B$6="All",B354=Filters!$B$6),
 F354&gt;=Filters!$B$7,
 F354&lt;=Filters!$B$8,
 OR(Filters!$B$9="All",G354=Filters!$B$9)
)</f>
        <v>0</v>
      </c>
      <c r="AE354">
        <f t="shared" si="65"/>
        <v>6</v>
      </c>
      <c r="AF354">
        <f t="shared" si="66"/>
        <v>7</v>
      </c>
      <c r="AG354">
        <f t="shared" si="67"/>
        <v>7</v>
      </c>
      <c r="AH354" s="9" t="str">
        <f t="shared" si="68"/>
        <v/>
      </c>
      <c r="AI354" s="9" t="str">
        <f t="shared" si="69"/>
        <v/>
      </c>
      <c r="AJ354" s="9" t="str">
        <f t="shared" si="70"/>
        <v/>
      </c>
      <c r="AK354" s="9" t="str">
        <f t="shared" si="71"/>
        <v/>
      </c>
      <c r="AL354" s="9" t="str">
        <f t="shared" si="72"/>
        <v/>
      </c>
      <c r="AM354" s="9" t="str">
        <f t="shared" si="73"/>
        <v/>
      </c>
      <c r="AN354" s="9" t="str">
        <f t="shared" si="74"/>
        <v/>
      </c>
      <c r="AO354" s="9" t="str">
        <f t="shared" si="75"/>
        <v/>
      </c>
      <c r="AP354" s="9" t="str">
        <f t="shared" si="76"/>
        <v/>
      </c>
      <c r="AQ354" s="10" t="str">
        <f t="shared" si="77"/>
        <v/>
      </c>
    </row>
    <row r="355" spans="1:43">
      <c r="A355">
        <v>354</v>
      </c>
      <c r="B355" t="s">
        <v>26</v>
      </c>
      <c r="C355" t="s">
        <v>649</v>
      </c>
      <c r="D355" t="s">
        <v>650</v>
      </c>
      <c r="E355" t="s">
        <v>468</v>
      </c>
      <c r="G355" t="s">
        <v>18</v>
      </c>
      <c r="H355" s="4">
        <v>46933290</v>
      </c>
      <c r="I355" s="5">
        <v>256</v>
      </c>
      <c r="J355" s="5">
        <v>0</v>
      </c>
      <c r="K355" s="5">
        <v>8</v>
      </c>
      <c r="L355">
        <v>9.6</v>
      </c>
      <c r="M355">
        <v>8</v>
      </c>
      <c r="N355">
        <v>5.92</v>
      </c>
      <c r="O355" s="6">
        <v>15.6</v>
      </c>
      <c r="P355" s="7">
        <v>2.6</v>
      </c>
      <c r="U355" t="s">
        <v>84</v>
      </c>
      <c r="V355" t="s">
        <v>210</v>
      </c>
      <c r="W355">
        <v>2.8</v>
      </c>
      <c r="X355" t="s">
        <v>122</v>
      </c>
      <c r="Y355" t="s">
        <v>470</v>
      </c>
      <c r="Z355" t="s">
        <v>100</v>
      </c>
      <c r="AA355" t="s">
        <v>101</v>
      </c>
      <c r="AB355" t="s">
        <v>115</v>
      </c>
      <c r="AC355">
        <v>1738.27</v>
      </c>
      <c r="AD355" s="8" t="b">
        <f>AND(
 H355&gt;=Filters!$B$3,
 H355&lt;=Filters!$B$4,
 I355&gt;=Filters!$B$5,
 OR(Filters!$B$6="All",B355=Filters!$B$6),
 F355&gt;=Filters!$B$7,
 F355&lt;=Filters!$B$8,
 OR(Filters!$B$9="All",G355=Filters!$B$9)
)</f>
        <v>0</v>
      </c>
      <c r="AE355">
        <f t="shared" si="65"/>
        <v>6</v>
      </c>
      <c r="AF355">
        <f t="shared" si="66"/>
        <v>7</v>
      </c>
      <c r="AG355">
        <f t="shared" si="67"/>
        <v>7</v>
      </c>
      <c r="AH355" s="9" t="str">
        <f t="shared" si="68"/>
        <v/>
      </c>
      <c r="AI355" s="9" t="str">
        <f t="shared" si="69"/>
        <v/>
      </c>
      <c r="AJ355" s="9" t="str">
        <f t="shared" si="70"/>
        <v/>
      </c>
      <c r="AK355" s="9" t="str">
        <f t="shared" si="71"/>
        <v/>
      </c>
      <c r="AL355" s="9" t="str">
        <f t="shared" si="72"/>
        <v/>
      </c>
      <c r="AM355" s="9" t="str">
        <f t="shared" si="73"/>
        <v/>
      </c>
      <c r="AN355" s="9" t="str">
        <f t="shared" si="74"/>
        <v/>
      </c>
      <c r="AO355" s="9" t="str">
        <f t="shared" si="75"/>
        <v/>
      </c>
      <c r="AP355" s="9" t="str">
        <f t="shared" si="76"/>
        <v/>
      </c>
      <c r="AQ355" s="10" t="str">
        <f t="shared" si="77"/>
        <v/>
      </c>
    </row>
    <row r="356" spans="1:43">
      <c r="A356">
        <v>355</v>
      </c>
      <c r="B356" t="s">
        <v>35</v>
      </c>
      <c r="C356" t="s">
        <v>651</v>
      </c>
      <c r="D356" t="s">
        <v>652</v>
      </c>
      <c r="E356" t="s">
        <v>97</v>
      </c>
      <c r="G356" t="s">
        <v>18</v>
      </c>
      <c r="H356" s="4">
        <v>37881000</v>
      </c>
      <c r="I356" s="5">
        <v>512</v>
      </c>
      <c r="J356" s="5">
        <v>0</v>
      </c>
      <c r="K356" s="5">
        <v>16</v>
      </c>
      <c r="L356">
        <v>9</v>
      </c>
      <c r="M356">
        <v>8.5</v>
      </c>
      <c r="N356">
        <v>6.32</v>
      </c>
      <c r="O356" s="6">
        <v>15.6</v>
      </c>
      <c r="P356" s="7">
        <v>2.4</v>
      </c>
      <c r="U356" t="s">
        <v>84</v>
      </c>
      <c r="V356" t="s">
        <v>485</v>
      </c>
      <c r="W356">
        <v>2.5</v>
      </c>
      <c r="X356" t="s">
        <v>122</v>
      </c>
      <c r="Y356" t="s">
        <v>549</v>
      </c>
      <c r="Z356" t="s">
        <v>106</v>
      </c>
      <c r="AA356" t="s">
        <v>128</v>
      </c>
      <c r="AB356" t="s">
        <v>115</v>
      </c>
      <c r="AC356">
        <v>1403</v>
      </c>
      <c r="AD356" s="8" t="b">
        <f>AND(
 H356&gt;=Filters!$B$3,
 H356&lt;=Filters!$B$4,
 I356&gt;=Filters!$B$5,
 OR(Filters!$B$6="All",B356=Filters!$B$6),
 F356&gt;=Filters!$B$7,
 F356&lt;=Filters!$B$8,
 OR(Filters!$B$9="All",G356=Filters!$B$9)
)</f>
        <v>0</v>
      </c>
      <c r="AE356">
        <f t="shared" si="65"/>
        <v>6</v>
      </c>
      <c r="AF356">
        <f t="shared" si="66"/>
        <v>7</v>
      </c>
      <c r="AG356">
        <f t="shared" si="67"/>
        <v>7</v>
      </c>
      <c r="AH356" s="9" t="str">
        <f t="shared" si="68"/>
        <v/>
      </c>
      <c r="AI356" s="9" t="str">
        <f t="shared" si="69"/>
        <v/>
      </c>
      <c r="AJ356" s="9" t="str">
        <f t="shared" si="70"/>
        <v/>
      </c>
      <c r="AK356" s="9" t="str">
        <f t="shared" si="71"/>
        <v/>
      </c>
      <c r="AL356" s="9" t="str">
        <f t="shared" si="72"/>
        <v/>
      </c>
      <c r="AM356" s="9" t="str">
        <f t="shared" si="73"/>
        <v/>
      </c>
      <c r="AN356" s="9" t="str">
        <f t="shared" si="74"/>
        <v/>
      </c>
      <c r="AO356" s="9" t="str">
        <f t="shared" si="75"/>
        <v/>
      </c>
      <c r="AP356" s="9" t="str">
        <f t="shared" si="76"/>
        <v/>
      </c>
      <c r="AQ356" s="10" t="str">
        <f t="shared" si="77"/>
        <v/>
      </c>
    </row>
    <row r="357" spans="1:43">
      <c r="A357">
        <v>356</v>
      </c>
      <c r="B357" t="s">
        <v>23</v>
      </c>
      <c r="C357" t="s">
        <v>174</v>
      </c>
      <c r="D357" t="s">
        <v>175</v>
      </c>
      <c r="E357" t="s">
        <v>97</v>
      </c>
      <c r="G357" t="s">
        <v>18</v>
      </c>
      <c r="H357" s="4">
        <v>26214300</v>
      </c>
      <c r="I357" s="5">
        <v>128</v>
      </c>
      <c r="J357" s="5">
        <v>2048</v>
      </c>
      <c r="K357" s="5">
        <v>8</v>
      </c>
      <c r="L357">
        <v>7.6</v>
      </c>
      <c r="M357">
        <v>6.5</v>
      </c>
      <c r="N357">
        <v>5.92</v>
      </c>
      <c r="O357" s="6">
        <v>15.6</v>
      </c>
      <c r="P357" s="7">
        <v>2.02</v>
      </c>
      <c r="U357" t="s">
        <v>84</v>
      </c>
      <c r="V357" t="s">
        <v>121</v>
      </c>
      <c r="W357">
        <v>1.8</v>
      </c>
      <c r="X357" t="s">
        <v>104</v>
      </c>
      <c r="Y357" t="s">
        <v>176</v>
      </c>
      <c r="Z357" t="s">
        <v>519</v>
      </c>
      <c r="AA357" t="s">
        <v>101</v>
      </c>
      <c r="AB357" t="s">
        <v>115</v>
      </c>
      <c r="AC357">
        <v>970.9</v>
      </c>
      <c r="AD357" s="8" t="b">
        <f>AND(
 H357&gt;=Filters!$B$3,
 H357&lt;=Filters!$B$4,
 I357&gt;=Filters!$B$5,
 OR(Filters!$B$6="All",B357=Filters!$B$6),
 F357&gt;=Filters!$B$7,
 F357&lt;=Filters!$B$8,
 OR(Filters!$B$9="All",G357=Filters!$B$9)
)</f>
        <v>0</v>
      </c>
      <c r="AE357">
        <f t="shared" si="65"/>
        <v>6</v>
      </c>
      <c r="AF357">
        <f t="shared" si="66"/>
        <v>7</v>
      </c>
      <c r="AG357">
        <f t="shared" si="67"/>
        <v>7</v>
      </c>
      <c r="AH357" s="9" t="str">
        <f t="shared" si="68"/>
        <v/>
      </c>
      <c r="AI357" s="9" t="str">
        <f t="shared" si="69"/>
        <v/>
      </c>
      <c r="AJ357" s="9" t="str">
        <f t="shared" si="70"/>
        <v/>
      </c>
      <c r="AK357" s="9" t="str">
        <f t="shared" si="71"/>
        <v/>
      </c>
      <c r="AL357" s="9" t="str">
        <f t="shared" si="72"/>
        <v/>
      </c>
      <c r="AM357" s="9" t="str">
        <f t="shared" si="73"/>
        <v/>
      </c>
      <c r="AN357" s="9" t="str">
        <f t="shared" si="74"/>
        <v/>
      </c>
      <c r="AO357" s="9" t="str">
        <f t="shared" si="75"/>
        <v/>
      </c>
      <c r="AP357" s="9" t="str">
        <f t="shared" si="76"/>
        <v/>
      </c>
      <c r="AQ357" s="10" t="str">
        <f t="shared" si="77"/>
        <v/>
      </c>
    </row>
    <row r="358" spans="1:43">
      <c r="A358">
        <v>357</v>
      </c>
      <c r="B358" t="s">
        <v>29</v>
      </c>
      <c r="C358" t="s">
        <v>588</v>
      </c>
      <c r="D358" t="s">
        <v>589</v>
      </c>
      <c r="E358" t="s">
        <v>97</v>
      </c>
      <c r="G358" t="s">
        <v>18</v>
      </c>
      <c r="H358" s="4">
        <v>8693730</v>
      </c>
      <c r="I358" s="5">
        <v>0</v>
      </c>
      <c r="J358" s="5">
        <v>1024</v>
      </c>
      <c r="K358" s="5">
        <v>4</v>
      </c>
      <c r="L358">
        <v>1</v>
      </c>
      <c r="M358">
        <v>3.5</v>
      </c>
      <c r="N358">
        <v>3.92</v>
      </c>
      <c r="O358" s="6">
        <v>15.6</v>
      </c>
      <c r="P358" s="7">
        <v>2.2000000000000002</v>
      </c>
      <c r="U358" t="s">
        <v>84</v>
      </c>
      <c r="V358" t="s">
        <v>198</v>
      </c>
      <c r="W358">
        <v>1.1000000000000001</v>
      </c>
      <c r="X358" t="s">
        <v>84</v>
      </c>
      <c r="Y358" t="s">
        <v>199</v>
      </c>
      <c r="Z358" t="s">
        <v>146</v>
      </c>
      <c r="AA358" t="s">
        <v>114</v>
      </c>
      <c r="AB358" t="s">
        <v>102</v>
      </c>
      <c r="AC358">
        <v>321.99</v>
      </c>
      <c r="AD358" s="8" t="b">
        <f>AND(
 H358&gt;=Filters!$B$3,
 H358&lt;=Filters!$B$4,
 I358&gt;=Filters!$B$5,
 OR(Filters!$B$6="All",B358=Filters!$B$6),
 F358&gt;=Filters!$B$7,
 F358&lt;=Filters!$B$8,
 OR(Filters!$B$9="All",G358=Filters!$B$9)
)</f>
        <v>0</v>
      </c>
      <c r="AE358">
        <f t="shared" si="65"/>
        <v>6</v>
      </c>
      <c r="AF358">
        <f t="shared" si="66"/>
        <v>7</v>
      </c>
      <c r="AG358">
        <f t="shared" si="67"/>
        <v>7</v>
      </c>
      <c r="AH358" s="9" t="str">
        <f t="shared" si="68"/>
        <v/>
      </c>
      <c r="AI358" s="9" t="str">
        <f t="shared" si="69"/>
        <v/>
      </c>
      <c r="AJ358" s="9" t="str">
        <f t="shared" si="70"/>
        <v/>
      </c>
      <c r="AK358" s="9" t="str">
        <f t="shared" si="71"/>
        <v/>
      </c>
      <c r="AL358" s="9" t="str">
        <f t="shared" si="72"/>
        <v/>
      </c>
      <c r="AM358" s="9" t="str">
        <f t="shared" si="73"/>
        <v/>
      </c>
      <c r="AN358" s="9" t="str">
        <f t="shared" si="74"/>
        <v/>
      </c>
      <c r="AO358" s="9" t="str">
        <f t="shared" si="75"/>
        <v/>
      </c>
      <c r="AP358" s="9" t="str">
        <f t="shared" si="76"/>
        <v/>
      </c>
      <c r="AQ358" s="10" t="str">
        <f t="shared" si="77"/>
        <v/>
      </c>
    </row>
    <row r="359" spans="1:43">
      <c r="A359">
        <v>358</v>
      </c>
      <c r="B359" t="s">
        <v>23</v>
      </c>
      <c r="C359" t="s">
        <v>208</v>
      </c>
      <c r="D359" t="s">
        <v>209</v>
      </c>
      <c r="E359" t="s">
        <v>158</v>
      </c>
      <c r="G359" t="s">
        <v>18</v>
      </c>
      <c r="H359" s="4">
        <v>26973000</v>
      </c>
      <c r="I359" s="5">
        <v>0</v>
      </c>
      <c r="J359" s="5">
        <v>1024</v>
      </c>
      <c r="K359" s="5">
        <v>8</v>
      </c>
      <c r="L359">
        <v>7</v>
      </c>
      <c r="M359">
        <v>9.1999999999999993</v>
      </c>
      <c r="N359">
        <v>5.92</v>
      </c>
      <c r="O359" s="6">
        <v>15.6</v>
      </c>
      <c r="P359" s="7">
        <v>2.65</v>
      </c>
      <c r="U359" t="s">
        <v>84</v>
      </c>
      <c r="V359" t="s">
        <v>159</v>
      </c>
      <c r="W359">
        <v>2.5</v>
      </c>
      <c r="X359" t="s">
        <v>122</v>
      </c>
      <c r="Y359" t="s">
        <v>160</v>
      </c>
      <c r="Z359" t="s">
        <v>146</v>
      </c>
      <c r="AA359" t="s">
        <v>101</v>
      </c>
      <c r="AB359" t="s">
        <v>115</v>
      </c>
      <c r="AC359">
        <v>999</v>
      </c>
      <c r="AD359" s="8" t="b">
        <f>AND(
 H359&gt;=Filters!$B$3,
 H359&lt;=Filters!$B$4,
 I359&gt;=Filters!$B$5,
 OR(Filters!$B$6="All",B359=Filters!$B$6),
 F359&gt;=Filters!$B$7,
 F359&lt;=Filters!$B$8,
 OR(Filters!$B$9="All",G359=Filters!$B$9)
)</f>
        <v>0</v>
      </c>
      <c r="AE359">
        <f t="shared" si="65"/>
        <v>6</v>
      </c>
      <c r="AF359">
        <f t="shared" si="66"/>
        <v>7</v>
      </c>
      <c r="AG359">
        <f t="shared" si="67"/>
        <v>7</v>
      </c>
      <c r="AH359" s="9" t="str">
        <f t="shared" si="68"/>
        <v/>
      </c>
      <c r="AI359" s="9" t="str">
        <f t="shared" si="69"/>
        <v/>
      </c>
      <c r="AJ359" s="9" t="str">
        <f t="shared" si="70"/>
        <v/>
      </c>
      <c r="AK359" s="9" t="str">
        <f t="shared" si="71"/>
        <v/>
      </c>
      <c r="AL359" s="9" t="str">
        <f t="shared" si="72"/>
        <v/>
      </c>
      <c r="AM359" s="9" t="str">
        <f t="shared" si="73"/>
        <v/>
      </c>
      <c r="AN359" s="9" t="str">
        <f t="shared" si="74"/>
        <v/>
      </c>
      <c r="AO359" s="9" t="str">
        <f t="shared" si="75"/>
        <v/>
      </c>
      <c r="AP359" s="9" t="str">
        <f t="shared" si="76"/>
        <v/>
      </c>
      <c r="AQ359" s="10" t="str">
        <f t="shared" si="77"/>
        <v/>
      </c>
    </row>
    <row r="360" spans="1:43">
      <c r="A360">
        <v>359</v>
      </c>
      <c r="B360" t="s">
        <v>23</v>
      </c>
      <c r="C360" t="s">
        <v>132</v>
      </c>
      <c r="D360" t="s">
        <v>133</v>
      </c>
      <c r="E360" t="s">
        <v>97</v>
      </c>
      <c r="G360" t="s">
        <v>18</v>
      </c>
      <c r="H360" s="4">
        <v>15048990</v>
      </c>
      <c r="I360" s="5">
        <v>0</v>
      </c>
      <c r="J360" s="5">
        <v>2048</v>
      </c>
      <c r="K360" s="5">
        <v>8</v>
      </c>
      <c r="L360">
        <v>7</v>
      </c>
      <c r="M360">
        <v>3.5</v>
      </c>
      <c r="N360">
        <v>4.22</v>
      </c>
      <c r="O360" s="6">
        <v>15.6</v>
      </c>
      <c r="P360" s="7">
        <v>2.36</v>
      </c>
      <c r="U360" t="s">
        <v>84</v>
      </c>
      <c r="V360" t="s">
        <v>98</v>
      </c>
      <c r="W360">
        <v>2.5</v>
      </c>
      <c r="X360" t="s">
        <v>84</v>
      </c>
      <c r="Y360" t="s">
        <v>99</v>
      </c>
      <c r="Z360" t="s">
        <v>283</v>
      </c>
      <c r="AA360" t="s">
        <v>472</v>
      </c>
      <c r="AB360" t="s">
        <v>115</v>
      </c>
      <c r="AC360">
        <v>557.37</v>
      </c>
      <c r="AD360" s="8" t="b">
        <f>AND(
 H360&gt;=Filters!$B$3,
 H360&lt;=Filters!$B$4,
 I360&gt;=Filters!$B$5,
 OR(Filters!$B$6="All",B360=Filters!$B$6),
 F360&gt;=Filters!$B$7,
 F360&lt;=Filters!$B$8,
 OR(Filters!$B$9="All",G360=Filters!$B$9)
)</f>
        <v>0</v>
      </c>
      <c r="AE360">
        <f t="shared" si="65"/>
        <v>6</v>
      </c>
      <c r="AF360">
        <f t="shared" si="66"/>
        <v>7</v>
      </c>
      <c r="AG360">
        <f t="shared" si="67"/>
        <v>7</v>
      </c>
      <c r="AH360" s="9" t="str">
        <f t="shared" si="68"/>
        <v/>
      </c>
      <c r="AI360" s="9" t="str">
        <f t="shared" si="69"/>
        <v/>
      </c>
      <c r="AJ360" s="9" t="str">
        <f t="shared" si="70"/>
        <v/>
      </c>
      <c r="AK360" s="9" t="str">
        <f t="shared" si="71"/>
        <v/>
      </c>
      <c r="AL360" s="9" t="str">
        <f t="shared" si="72"/>
        <v/>
      </c>
      <c r="AM360" s="9" t="str">
        <f t="shared" si="73"/>
        <v/>
      </c>
      <c r="AN360" s="9" t="str">
        <f t="shared" si="74"/>
        <v/>
      </c>
      <c r="AO360" s="9" t="str">
        <f t="shared" si="75"/>
        <v/>
      </c>
      <c r="AP360" s="9" t="str">
        <f t="shared" si="76"/>
        <v/>
      </c>
      <c r="AQ360" s="10" t="str">
        <f t="shared" si="77"/>
        <v/>
      </c>
    </row>
    <row r="361" spans="1:43">
      <c r="A361">
        <v>360</v>
      </c>
      <c r="B361" t="s">
        <v>23</v>
      </c>
      <c r="C361" t="s">
        <v>653</v>
      </c>
      <c r="D361" t="s">
        <v>654</v>
      </c>
      <c r="E361" t="s">
        <v>97</v>
      </c>
      <c r="G361" t="s">
        <v>18</v>
      </c>
      <c r="H361" s="4">
        <v>38529000</v>
      </c>
      <c r="I361" s="5">
        <v>256</v>
      </c>
      <c r="J361" s="5">
        <v>0</v>
      </c>
      <c r="K361" s="5">
        <v>8</v>
      </c>
      <c r="L361">
        <v>7.2</v>
      </c>
      <c r="M361">
        <v>3.5</v>
      </c>
      <c r="N361">
        <v>6</v>
      </c>
      <c r="O361" s="6">
        <v>14</v>
      </c>
      <c r="P361" s="7">
        <v>1.36</v>
      </c>
      <c r="U361" t="s">
        <v>84</v>
      </c>
      <c r="V361" t="s">
        <v>633</v>
      </c>
      <c r="W361">
        <v>2.6</v>
      </c>
      <c r="X361" t="s">
        <v>84</v>
      </c>
      <c r="Y361" t="s">
        <v>99</v>
      </c>
      <c r="Z361" t="s">
        <v>100</v>
      </c>
      <c r="AA361" t="s">
        <v>101</v>
      </c>
      <c r="AB361" t="s">
        <v>115</v>
      </c>
      <c r="AC361">
        <v>1427</v>
      </c>
      <c r="AD361" s="8" t="b">
        <f>AND(
 H361&gt;=Filters!$B$3,
 H361&lt;=Filters!$B$4,
 I361&gt;=Filters!$B$5,
 OR(Filters!$B$6="All",B361=Filters!$B$6),
 F361&gt;=Filters!$B$7,
 F361&lt;=Filters!$B$8,
 OR(Filters!$B$9="All",G361=Filters!$B$9)
)</f>
        <v>0</v>
      </c>
      <c r="AE361">
        <f t="shared" si="65"/>
        <v>6</v>
      </c>
      <c r="AF361">
        <f t="shared" si="66"/>
        <v>7</v>
      </c>
      <c r="AG361">
        <f t="shared" si="67"/>
        <v>7</v>
      </c>
      <c r="AH361" s="9" t="str">
        <f t="shared" si="68"/>
        <v/>
      </c>
      <c r="AI361" s="9" t="str">
        <f t="shared" si="69"/>
        <v/>
      </c>
      <c r="AJ361" s="9" t="str">
        <f t="shared" si="70"/>
        <v/>
      </c>
      <c r="AK361" s="9" t="str">
        <f t="shared" si="71"/>
        <v/>
      </c>
      <c r="AL361" s="9" t="str">
        <f t="shared" si="72"/>
        <v/>
      </c>
      <c r="AM361" s="9" t="str">
        <f t="shared" si="73"/>
        <v/>
      </c>
      <c r="AN361" s="9" t="str">
        <f t="shared" si="74"/>
        <v/>
      </c>
      <c r="AO361" s="9" t="str">
        <f t="shared" si="75"/>
        <v/>
      </c>
      <c r="AP361" s="9" t="str">
        <f t="shared" si="76"/>
        <v/>
      </c>
      <c r="AQ361" s="10" t="str">
        <f t="shared" si="77"/>
        <v/>
      </c>
    </row>
    <row r="362" spans="1:43">
      <c r="A362">
        <v>361</v>
      </c>
      <c r="B362" t="s">
        <v>26</v>
      </c>
      <c r="C362" t="s">
        <v>95</v>
      </c>
      <c r="D362" t="s">
        <v>96</v>
      </c>
      <c r="E362" t="s">
        <v>97</v>
      </c>
      <c r="G362" t="s">
        <v>18</v>
      </c>
      <c r="H362" s="4">
        <v>11853000</v>
      </c>
      <c r="I362" s="5">
        <v>0</v>
      </c>
      <c r="J362" s="5">
        <v>500</v>
      </c>
      <c r="K362" s="5">
        <v>4</v>
      </c>
      <c r="L362">
        <v>4</v>
      </c>
      <c r="M362">
        <v>3.5</v>
      </c>
      <c r="N362">
        <v>3.92</v>
      </c>
      <c r="O362" s="6">
        <v>15.6</v>
      </c>
      <c r="P362" s="7">
        <v>1.86</v>
      </c>
      <c r="U362" t="s">
        <v>84</v>
      </c>
      <c r="V362" t="s">
        <v>129</v>
      </c>
      <c r="W362">
        <v>2</v>
      </c>
      <c r="X362" t="s">
        <v>84</v>
      </c>
      <c r="Y362" t="s">
        <v>130</v>
      </c>
      <c r="Z362" t="s">
        <v>113</v>
      </c>
      <c r="AA362" t="s">
        <v>114</v>
      </c>
      <c r="AB362" t="s">
        <v>115</v>
      </c>
      <c r="AC362">
        <v>439</v>
      </c>
      <c r="AD362" s="8" t="b">
        <f>AND(
 H362&gt;=Filters!$B$3,
 H362&lt;=Filters!$B$4,
 I362&gt;=Filters!$B$5,
 OR(Filters!$B$6="All",B362=Filters!$B$6),
 F362&gt;=Filters!$B$7,
 F362&lt;=Filters!$B$8,
 OR(Filters!$B$9="All",G362=Filters!$B$9)
)</f>
        <v>0</v>
      </c>
      <c r="AE362">
        <f t="shared" si="65"/>
        <v>6</v>
      </c>
      <c r="AF362">
        <f t="shared" si="66"/>
        <v>7</v>
      </c>
      <c r="AG362">
        <f t="shared" si="67"/>
        <v>7</v>
      </c>
      <c r="AH362" s="9" t="str">
        <f t="shared" si="68"/>
        <v/>
      </c>
      <c r="AI362" s="9" t="str">
        <f t="shared" si="69"/>
        <v/>
      </c>
      <c r="AJ362" s="9" t="str">
        <f t="shared" si="70"/>
        <v/>
      </c>
      <c r="AK362" s="9" t="str">
        <f t="shared" si="71"/>
        <v/>
      </c>
      <c r="AL362" s="9" t="str">
        <f t="shared" si="72"/>
        <v/>
      </c>
      <c r="AM362" s="9" t="str">
        <f t="shared" si="73"/>
        <v/>
      </c>
      <c r="AN362" s="9" t="str">
        <f t="shared" si="74"/>
        <v/>
      </c>
      <c r="AO362" s="9" t="str">
        <f t="shared" si="75"/>
        <v/>
      </c>
      <c r="AP362" s="9" t="str">
        <f t="shared" si="76"/>
        <v/>
      </c>
      <c r="AQ362" s="10" t="str">
        <f t="shared" si="77"/>
        <v/>
      </c>
    </row>
    <row r="363" spans="1:43">
      <c r="A363">
        <v>362</v>
      </c>
      <c r="B363" t="s">
        <v>21</v>
      </c>
      <c r="C363" t="s">
        <v>655</v>
      </c>
      <c r="D363" t="s">
        <v>656</v>
      </c>
      <c r="E363" t="s">
        <v>97</v>
      </c>
      <c r="G363" t="s">
        <v>18</v>
      </c>
      <c r="H363" s="4">
        <v>25515000</v>
      </c>
      <c r="I363" s="5">
        <v>256</v>
      </c>
      <c r="J363" s="5">
        <v>0</v>
      </c>
      <c r="K363" s="5">
        <v>8</v>
      </c>
      <c r="L363">
        <v>7</v>
      </c>
      <c r="M363">
        <v>3.5</v>
      </c>
      <c r="N363">
        <v>6</v>
      </c>
      <c r="O363" s="6">
        <v>14</v>
      </c>
      <c r="P363" s="7">
        <v>2</v>
      </c>
      <c r="U363" t="s">
        <v>84</v>
      </c>
      <c r="V363" t="s">
        <v>98</v>
      </c>
      <c r="W363">
        <v>2.5</v>
      </c>
      <c r="X363" t="s">
        <v>84</v>
      </c>
      <c r="Y363" t="s">
        <v>99</v>
      </c>
      <c r="Z363" t="s">
        <v>100</v>
      </c>
      <c r="AA363" t="s">
        <v>101</v>
      </c>
      <c r="AB363" t="s">
        <v>115</v>
      </c>
      <c r="AC363">
        <v>945</v>
      </c>
      <c r="AD363" s="8" t="b">
        <f>AND(
 H363&gt;=Filters!$B$3,
 H363&lt;=Filters!$B$4,
 I363&gt;=Filters!$B$5,
 OR(Filters!$B$6="All",B363=Filters!$B$6),
 F363&gt;=Filters!$B$7,
 F363&lt;=Filters!$B$8,
 OR(Filters!$B$9="All",G363=Filters!$B$9)
)</f>
        <v>0</v>
      </c>
      <c r="AE363">
        <f t="shared" si="65"/>
        <v>6</v>
      </c>
      <c r="AF363">
        <f t="shared" si="66"/>
        <v>7</v>
      </c>
      <c r="AG363">
        <f t="shared" si="67"/>
        <v>7</v>
      </c>
      <c r="AH363" s="9" t="str">
        <f t="shared" si="68"/>
        <v/>
      </c>
      <c r="AI363" s="9" t="str">
        <f t="shared" si="69"/>
        <v/>
      </c>
      <c r="AJ363" s="9" t="str">
        <f t="shared" si="70"/>
        <v/>
      </c>
      <c r="AK363" s="9" t="str">
        <f t="shared" si="71"/>
        <v/>
      </c>
      <c r="AL363" s="9" t="str">
        <f t="shared" si="72"/>
        <v/>
      </c>
      <c r="AM363" s="9" t="str">
        <f t="shared" si="73"/>
        <v/>
      </c>
      <c r="AN363" s="9" t="str">
        <f t="shared" si="74"/>
        <v/>
      </c>
      <c r="AO363" s="9" t="str">
        <f t="shared" si="75"/>
        <v/>
      </c>
      <c r="AP363" s="9" t="str">
        <f t="shared" si="76"/>
        <v/>
      </c>
      <c r="AQ363" s="10" t="str">
        <f t="shared" si="77"/>
        <v/>
      </c>
    </row>
    <row r="364" spans="1:43">
      <c r="A364">
        <v>363</v>
      </c>
      <c r="B364" t="s">
        <v>29</v>
      </c>
      <c r="C364" t="s">
        <v>479</v>
      </c>
      <c r="D364" t="s">
        <v>480</v>
      </c>
      <c r="E364" t="s">
        <v>97</v>
      </c>
      <c r="G364" t="s">
        <v>18</v>
      </c>
      <c r="H364" s="4">
        <v>19413000</v>
      </c>
      <c r="I364" s="5">
        <v>128</v>
      </c>
      <c r="J364" s="5">
        <v>1024</v>
      </c>
      <c r="K364" s="5">
        <v>6</v>
      </c>
      <c r="L364">
        <v>7</v>
      </c>
      <c r="M364">
        <v>9.1999999999999993</v>
      </c>
      <c r="N364">
        <v>5.83</v>
      </c>
      <c r="O364" s="6">
        <v>17.3</v>
      </c>
      <c r="P364" s="7">
        <v>2.8</v>
      </c>
      <c r="U364" t="s">
        <v>84</v>
      </c>
      <c r="V364" t="s">
        <v>98</v>
      </c>
      <c r="W364">
        <v>2.5</v>
      </c>
      <c r="X364" t="s">
        <v>122</v>
      </c>
      <c r="Y364" t="s">
        <v>294</v>
      </c>
      <c r="Z364" t="s">
        <v>161</v>
      </c>
      <c r="AA364" t="s">
        <v>452</v>
      </c>
      <c r="AB364" t="s">
        <v>115</v>
      </c>
      <c r="AC364">
        <v>719</v>
      </c>
      <c r="AD364" s="8" t="b">
        <f>AND(
 H364&gt;=Filters!$B$3,
 H364&lt;=Filters!$B$4,
 I364&gt;=Filters!$B$5,
 OR(Filters!$B$6="All",B364=Filters!$B$6),
 F364&gt;=Filters!$B$7,
 F364&lt;=Filters!$B$8,
 OR(Filters!$B$9="All",G364=Filters!$B$9)
)</f>
        <v>0</v>
      </c>
      <c r="AE364">
        <f t="shared" si="65"/>
        <v>6</v>
      </c>
      <c r="AF364">
        <f t="shared" si="66"/>
        <v>7</v>
      </c>
      <c r="AG364">
        <f t="shared" si="67"/>
        <v>7</v>
      </c>
      <c r="AH364" s="9" t="str">
        <f t="shared" si="68"/>
        <v/>
      </c>
      <c r="AI364" s="9" t="str">
        <f t="shared" si="69"/>
        <v/>
      </c>
      <c r="AJ364" s="9" t="str">
        <f t="shared" si="70"/>
        <v/>
      </c>
      <c r="AK364" s="9" t="str">
        <f t="shared" si="71"/>
        <v/>
      </c>
      <c r="AL364" s="9" t="str">
        <f t="shared" si="72"/>
        <v/>
      </c>
      <c r="AM364" s="9" t="str">
        <f t="shared" si="73"/>
        <v/>
      </c>
      <c r="AN364" s="9" t="str">
        <f t="shared" si="74"/>
        <v/>
      </c>
      <c r="AO364" s="9" t="str">
        <f t="shared" si="75"/>
        <v/>
      </c>
      <c r="AP364" s="9" t="str">
        <f t="shared" si="76"/>
        <v/>
      </c>
      <c r="AQ364" s="10" t="str">
        <f t="shared" si="77"/>
        <v/>
      </c>
    </row>
    <row r="365" spans="1:43">
      <c r="A365">
        <v>364</v>
      </c>
      <c r="B365" t="s">
        <v>26</v>
      </c>
      <c r="C365" t="s">
        <v>95</v>
      </c>
      <c r="D365" t="s">
        <v>96</v>
      </c>
      <c r="E365" t="s">
        <v>97</v>
      </c>
      <c r="G365" t="s">
        <v>18</v>
      </c>
      <c r="H365" s="4">
        <v>17253000</v>
      </c>
      <c r="I365" s="5">
        <v>0</v>
      </c>
      <c r="J365" s="5">
        <v>1024</v>
      </c>
      <c r="K365" s="5">
        <v>8</v>
      </c>
      <c r="L365">
        <v>7</v>
      </c>
      <c r="M365">
        <v>3.5</v>
      </c>
      <c r="N365">
        <v>5.92</v>
      </c>
      <c r="O365" s="6">
        <v>15.6</v>
      </c>
      <c r="P365" s="7">
        <v>1.86</v>
      </c>
      <c r="U365" t="s">
        <v>84</v>
      </c>
      <c r="V365" t="s">
        <v>98</v>
      </c>
      <c r="W365">
        <v>2.5</v>
      </c>
      <c r="X365" t="s">
        <v>84</v>
      </c>
      <c r="Y365" t="s">
        <v>99</v>
      </c>
      <c r="Z365" t="s">
        <v>146</v>
      </c>
      <c r="AA365" t="s">
        <v>101</v>
      </c>
      <c r="AB365" t="s">
        <v>115</v>
      </c>
      <c r="AC365">
        <v>639</v>
      </c>
      <c r="AD365" s="8" t="b">
        <f>AND(
 H365&gt;=Filters!$B$3,
 H365&lt;=Filters!$B$4,
 I365&gt;=Filters!$B$5,
 OR(Filters!$B$6="All",B365=Filters!$B$6),
 F365&gt;=Filters!$B$7,
 F365&lt;=Filters!$B$8,
 OR(Filters!$B$9="All",G365=Filters!$B$9)
)</f>
        <v>0</v>
      </c>
      <c r="AE365">
        <f t="shared" si="65"/>
        <v>6</v>
      </c>
      <c r="AF365">
        <f t="shared" si="66"/>
        <v>7</v>
      </c>
      <c r="AG365">
        <f t="shared" si="67"/>
        <v>7</v>
      </c>
      <c r="AH365" s="9" t="str">
        <f t="shared" si="68"/>
        <v/>
      </c>
      <c r="AI365" s="9" t="str">
        <f t="shared" si="69"/>
        <v/>
      </c>
      <c r="AJ365" s="9" t="str">
        <f t="shared" si="70"/>
        <v/>
      </c>
      <c r="AK365" s="9" t="str">
        <f t="shared" si="71"/>
        <v/>
      </c>
      <c r="AL365" s="9" t="str">
        <f t="shared" si="72"/>
        <v/>
      </c>
      <c r="AM365" s="9" t="str">
        <f t="shared" si="73"/>
        <v/>
      </c>
      <c r="AN365" s="9" t="str">
        <f t="shared" si="74"/>
        <v/>
      </c>
      <c r="AO365" s="9" t="str">
        <f t="shared" si="75"/>
        <v/>
      </c>
      <c r="AP365" s="9" t="str">
        <f t="shared" si="76"/>
        <v/>
      </c>
      <c r="AQ365" s="10" t="str">
        <f t="shared" si="77"/>
        <v/>
      </c>
    </row>
    <row r="366" spans="1:43">
      <c r="A366">
        <v>365</v>
      </c>
      <c r="B366" t="s">
        <v>29</v>
      </c>
      <c r="C366" t="s">
        <v>221</v>
      </c>
      <c r="D366" t="s">
        <v>222</v>
      </c>
      <c r="E366" t="s">
        <v>97</v>
      </c>
      <c r="G366" t="s">
        <v>18</v>
      </c>
      <c r="H366" s="4">
        <v>13473000</v>
      </c>
      <c r="I366" s="5">
        <v>256</v>
      </c>
      <c r="J366" s="5">
        <v>0</v>
      </c>
      <c r="K366" s="5">
        <v>8</v>
      </c>
      <c r="L366">
        <v>4</v>
      </c>
      <c r="M366">
        <v>6.5</v>
      </c>
      <c r="N366">
        <v>3.92</v>
      </c>
      <c r="O366" s="6">
        <v>15.6</v>
      </c>
      <c r="P366" s="7">
        <v>2.2000000000000002</v>
      </c>
      <c r="U366" t="s">
        <v>84</v>
      </c>
      <c r="V366" t="s">
        <v>129</v>
      </c>
      <c r="W366">
        <v>2</v>
      </c>
      <c r="X366" t="s">
        <v>122</v>
      </c>
      <c r="Y366" t="s">
        <v>230</v>
      </c>
      <c r="Z366" t="s">
        <v>100</v>
      </c>
      <c r="AA366" t="s">
        <v>114</v>
      </c>
      <c r="AB366" t="s">
        <v>102</v>
      </c>
      <c r="AC366">
        <v>499</v>
      </c>
      <c r="AD366" s="8" t="b">
        <f>AND(
 H366&gt;=Filters!$B$3,
 H366&lt;=Filters!$B$4,
 I366&gt;=Filters!$B$5,
 OR(Filters!$B$6="All",B366=Filters!$B$6),
 F366&gt;=Filters!$B$7,
 F366&lt;=Filters!$B$8,
 OR(Filters!$B$9="All",G366=Filters!$B$9)
)</f>
        <v>1</v>
      </c>
      <c r="AE366">
        <f t="shared" si="65"/>
        <v>6</v>
      </c>
      <c r="AF366">
        <f t="shared" si="66"/>
        <v>7</v>
      </c>
      <c r="AG366">
        <f t="shared" si="67"/>
        <v>7</v>
      </c>
      <c r="AH366" s="9">
        <f t="shared" si="68"/>
        <v>0.33333333333333331</v>
      </c>
      <c r="AI366" s="9">
        <f t="shared" si="69"/>
        <v>0.80952380952380942</v>
      </c>
      <c r="AJ366" s="9">
        <f t="shared" si="70"/>
        <v>0.63095238095238093</v>
      </c>
      <c r="AK366" s="9">
        <f t="shared" si="71"/>
        <v>0.32380952380952377</v>
      </c>
      <c r="AL366" s="9">
        <f t="shared" si="72"/>
        <v>0.88095238095238082</v>
      </c>
      <c r="AM366" s="9">
        <f t="shared" si="73"/>
        <v>0.5714285714285714</v>
      </c>
      <c r="AN366" s="9">
        <f t="shared" si="74"/>
        <v>0.69047619047619047</v>
      </c>
      <c r="AO366" s="9">
        <f t="shared" si="75"/>
        <v>0.69047619047619047</v>
      </c>
      <c r="AP366" s="9">
        <f t="shared" si="76"/>
        <v>0.59641505758064006</v>
      </c>
      <c r="AQ366" s="10">
        <f t="shared" si="77"/>
        <v>0.59641542358064004</v>
      </c>
    </row>
    <row r="367" spans="1:43">
      <c r="A367">
        <v>366</v>
      </c>
      <c r="B367" t="s">
        <v>26</v>
      </c>
      <c r="C367" t="s">
        <v>657</v>
      </c>
      <c r="D367" t="s">
        <v>658</v>
      </c>
      <c r="E367" t="s">
        <v>97</v>
      </c>
      <c r="G367" t="s">
        <v>18</v>
      </c>
      <c r="H367" s="4">
        <v>10503000</v>
      </c>
      <c r="I367" s="5">
        <v>0</v>
      </c>
      <c r="J367" s="5">
        <v>2048</v>
      </c>
      <c r="K367" s="5">
        <v>8</v>
      </c>
      <c r="L367">
        <v>2.2000000000000002</v>
      </c>
      <c r="M367">
        <v>3.5</v>
      </c>
      <c r="N367">
        <v>3.92</v>
      </c>
      <c r="O367" s="6">
        <v>15.6</v>
      </c>
      <c r="P367" s="7">
        <v>2.04</v>
      </c>
      <c r="U367" t="s">
        <v>84</v>
      </c>
      <c r="V367" t="s">
        <v>611</v>
      </c>
      <c r="W367">
        <v>1.6</v>
      </c>
      <c r="X367" t="s">
        <v>84</v>
      </c>
      <c r="Y367" t="s">
        <v>612</v>
      </c>
      <c r="Z367" t="s">
        <v>283</v>
      </c>
      <c r="AA367" t="s">
        <v>114</v>
      </c>
      <c r="AB367" t="s">
        <v>115</v>
      </c>
      <c r="AC367">
        <v>389</v>
      </c>
      <c r="AD367" s="8" t="b">
        <f>AND(
 H367&gt;=Filters!$B$3,
 H367&lt;=Filters!$B$4,
 I367&gt;=Filters!$B$5,
 OR(Filters!$B$6="All",B367=Filters!$B$6),
 F367&gt;=Filters!$B$7,
 F367&lt;=Filters!$B$8,
 OR(Filters!$B$9="All",G367=Filters!$B$9)
)</f>
        <v>0</v>
      </c>
      <c r="AE367">
        <f t="shared" si="65"/>
        <v>6</v>
      </c>
      <c r="AF367">
        <f t="shared" si="66"/>
        <v>7</v>
      </c>
      <c r="AG367">
        <f t="shared" si="67"/>
        <v>7</v>
      </c>
      <c r="AH367" s="9" t="str">
        <f t="shared" si="68"/>
        <v/>
      </c>
      <c r="AI367" s="9" t="str">
        <f t="shared" si="69"/>
        <v/>
      </c>
      <c r="AJ367" s="9" t="str">
        <f t="shared" si="70"/>
        <v/>
      </c>
      <c r="AK367" s="9" t="str">
        <f t="shared" si="71"/>
        <v/>
      </c>
      <c r="AL367" s="9" t="str">
        <f t="shared" si="72"/>
        <v/>
      </c>
      <c r="AM367" s="9" t="str">
        <f t="shared" si="73"/>
        <v/>
      </c>
      <c r="AN367" s="9" t="str">
        <f t="shared" si="74"/>
        <v/>
      </c>
      <c r="AO367" s="9" t="str">
        <f t="shared" si="75"/>
        <v/>
      </c>
      <c r="AP367" s="9" t="str">
        <f t="shared" si="76"/>
        <v/>
      </c>
      <c r="AQ367" s="10" t="str">
        <f t="shared" si="77"/>
        <v/>
      </c>
    </row>
    <row r="368" spans="1:43">
      <c r="A368">
        <v>367</v>
      </c>
      <c r="B368" t="s">
        <v>23</v>
      </c>
      <c r="C368" t="s">
        <v>202</v>
      </c>
      <c r="D368" t="s">
        <v>203</v>
      </c>
      <c r="E368" t="s">
        <v>97</v>
      </c>
      <c r="G368" t="s">
        <v>18</v>
      </c>
      <c r="H368" s="4">
        <v>29295000</v>
      </c>
      <c r="I368" s="5">
        <v>128</v>
      </c>
      <c r="J368" s="5">
        <v>1024</v>
      </c>
      <c r="K368" s="5">
        <v>8</v>
      </c>
      <c r="L368">
        <v>5.2</v>
      </c>
      <c r="M368">
        <v>6.5</v>
      </c>
      <c r="N368">
        <v>5.83</v>
      </c>
      <c r="O368" s="6">
        <v>17.3</v>
      </c>
      <c r="P368" s="7">
        <v>2.8</v>
      </c>
      <c r="U368" t="s">
        <v>84</v>
      </c>
      <c r="V368" t="s">
        <v>126</v>
      </c>
      <c r="W368">
        <v>1.6</v>
      </c>
      <c r="X368" t="s">
        <v>104</v>
      </c>
      <c r="Y368" t="s">
        <v>176</v>
      </c>
      <c r="Z368" t="s">
        <v>161</v>
      </c>
      <c r="AA368" t="s">
        <v>101</v>
      </c>
      <c r="AB368" t="s">
        <v>115</v>
      </c>
      <c r="AC368">
        <v>1085</v>
      </c>
      <c r="AD368" s="8" t="b">
        <f>AND(
 H368&gt;=Filters!$B$3,
 H368&lt;=Filters!$B$4,
 I368&gt;=Filters!$B$5,
 OR(Filters!$B$6="All",B368=Filters!$B$6),
 F368&gt;=Filters!$B$7,
 F368&lt;=Filters!$B$8,
 OR(Filters!$B$9="All",G368=Filters!$B$9)
)</f>
        <v>0</v>
      </c>
      <c r="AE368">
        <f t="shared" si="65"/>
        <v>6</v>
      </c>
      <c r="AF368">
        <f t="shared" si="66"/>
        <v>7</v>
      </c>
      <c r="AG368">
        <f t="shared" si="67"/>
        <v>7</v>
      </c>
      <c r="AH368" s="9" t="str">
        <f t="shared" si="68"/>
        <v/>
      </c>
      <c r="AI368" s="9" t="str">
        <f t="shared" si="69"/>
        <v/>
      </c>
      <c r="AJ368" s="9" t="str">
        <f t="shared" si="70"/>
        <v/>
      </c>
      <c r="AK368" s="9" t="str">
        <f t="shared" si="71"/>
        <v/>
      </c>
      <c r="AL368" s="9" t="str">
        <f t="shared" si="72"/>
        <v/>
      </c>
      <c r="AM368" s="9" t="str">
        <f t="shared" si="73"/>
        <v/>
      </c>
      <c r="AN368" s="9" t="str">
        <f t="shared" si="74"/>
        <v/>
      </c>
      <c r="AO368" s="9" t="str">
        <f t="shared" si="75"/>
        <v/>
      </c>
      <c r="AP368" s="9" t="str">
        <f t="shared" si="76"/>
        <v/>
      </c>
      <c r="AQ368" s="10" t="str">
        <f t="shared" si="77"/>
        <v/>
      </c>
    </row>
    <row r="369" spans="1:43">
      <c r="A369">
        <v>368</v>
      </c>
      <c r="B369" t="s">
        <v>29</v>
      </c>
      <c r="C369" t="s">
        <v>156</v>
      </c>
      <c r="D369" t="s">
        <v>157</v>
      </c>
      <c r="E369" t="s">
        <v>158</v>
      </c>
      <c r="G369" t="s">
        <v>18</v>
      </c>
      <c r="H369" s="4">
        <v>21843000</v>
      </c>
      <c r="I369" s="5">
        <v>128</v>
      </c>
      <c r="J369" s="5">
        <v>1024</v>
      </c>
      <c r="K369" s="5">
        <v>8</v>
      </c>
      <c r="L369">
        <v>7</v>
      </c>
      <c r="M369">
        <v>9.1999999999999993</v>
      </c>
      <c r="N369">
        <v>6.32</v>
      </c>
      <c r="O369" s="6">
        <v>15.6</v>
      </c>
      <c r="P369" s="7">
        <v>2.4</v>
      </c>
      <c r="U369" t="s">
        <v>84</v>
      </c>
      <c r="V369" t="s">
        <v>159</v>
      </c>
      <c r="W369">
        <v>2.5</v>
      </c>
      <c r="X369" t="s">
        <v>122</v>
      </c>
      <c r="Y369" t="s">
        <v>160</v>
      </c>
      <c r="Z369" t="s">
        <v>161</v>
      </c>
      <c r="AA369" t="s">
        <v>128</v>
      </c>
      <c r="AB369" t="s">
        <v>102</v>
      </c>
      <c r="AC369">
        <v>809</v>
      </c>
      <c r="AD369" s="8" t="b">
        <f>AND(
 H369&gt;=Filters!$B$3,
 H369&lt;=Filters!$B$4,
 I369&gt;=Filters!$B$5,
 OR(Filters!$B$6="All",B369=Filters!$B$6),
 F369&gt;=Filters!$B$7,
 F369&lt;=Filters!$B$8,
 OR(Filters!$B$9="All",G369=Filters!$B$9)
)</f>
        <v>0</v>
      </c>
      <c r="AE369">
        <f t="shared" si="65"/>
        <v>6</v>
      </c>
      <c r="AF369">
        <f t="shared" si="66"/>
        <v>7</v>
      </c>
      <c r="AG369">
        <f t="shared" si="67"/>
        <v>7</v>
      </c>
      <c r="AH369" s="9" t="str">
        <f t="shared" si="68"/>
        <v/>
      </c>
      <c r="AI369" s="9" t="str">
        <f t="shared" si="69"/>
        <v/>
      </c>
      <c r="AJ369" s="9" t="str">
        <f t="shared" si="70"/>
        <v/>
      </c>
      <c r="AK369" s="9" t="str">
        <f t="shared" si="71"/>
        <v/>
      </c>
      <c r="AL369" s="9" t="str">
        <f t="shared" si="72"/>
        <v/>
      </c>
      <c r="AM369" s="9" t="str">
        <f t="shared" si="73"/>
        <v/>
      </c>
      <c r="AN369" s="9" t="str">
        <f t="shared" si="74"/>
        <v/>
      </c>
      <c r="AO369" s="9" t="str">
        <f t="shared" si="75"/>
        <v/>
      </c>
      <c r="AP369" s="9" t="str">
        <f t="shared" si="76"/>
        <v/>
      </c>
      <c r="AQ369" s="10" t="str">
        <f t="shared" si="77"/>
        <v/>
      </c>
    </row>
    <row r="370" spans="1:43">
      <c r="A370">
        <v>369</v>
      </c>
      <c r="B370" t="s">
        <v>23</v>
      </c>
      <c r="C370" t="s">
        <v>356</v>
      </c>
      <c r="D370" t="s">
        <v>357</v>
      </c>
      <c r="E370" t="s">
        <v>97</v>
      </c>
      <c r="G370" t="s">
        <v>18</v>
      </c>
      <c r="H370" s="4">
        <v>24273000</v>
      </c>
      <c r="I370" s="5">
        <v>256</v>
      </c>
      <c r="J370" s="5">
        <v>0</v>
      </c>
      <c r="K370" s="5">
        <v>8</v>
      </c>
      <c r="L370">
        <v>9.4</v>
      </c>
      <c r="M370">
        <v>6.5</v>
      </c>
      <c r="N370">
        <v>5.92</v>
      </c>
      <c r="O370" s="6">
        <v>15.6</v>
      </c>
      <c r="P370" s="7">
        <v>2.33</v>
      </c>
      <c r="U370" t="s">
        <v>84</v>
      </c>
      <c r="V370" t="s">
        <v>140</v>
      </c>
      <c r="W370">
        <v>2.7</v>
      </c>
      <c r="X370" t="s">
        <v>104</v>
      </c>
      <c r="Y370" t="s">
        <v>358</v>
      </c>
      <c r="Z370" t="s">
        <v>100</v>
      </c>
      <c r="AA370" t="s">
        <v>101</v>
      </c>
      <c r="AB370" t="s">
        <v>115</v>
      </c>
      <c r="AC370">
        <v>899</v>
      </c>
      <c r="AD370" s="8" t="b">
        <f>AND(
 H370&gt;=Filters!$B$3,
 H370&lt;=Filters!$B$4,
 I370&gt;=Filters!$B$5,
 OR(Filters!$B$6="All",B370=Filters!$B$6),
 F370&gt;=Filters!$B$7,
 F370&lt;=Filters!$B$8,
 OR(Filters!$B$9="All",G370=Filters!$B$9)
)</f>
        <v>1</v>
      </c>
      <c r="AE370">
        <f t="shared" si="65"/>
        <v>6</v>
      </c>
      <c r="AF370">
        <f t="shared" si="66"/>
        <v>7</v>
      </c>
      <c r="AG370">
        <f t="shared" si="67"/>
        <v>7</v>
      </c>
      <c r="AH370" s="9">
        <f t="shared" si="68"/>
        <v>0.97619047619047628</v>
      </c>
      <c r="AI370" s="9">
        <f t="shared" si="69"/>
        <v>0.80952380952380942</v>
      </c>
      <c r="AJ370" s="9">
        <f t="shared" si="70"/>
        <v>0.63095238095238093</v>
      </c>
      <c r="AK370" s="9">
        <f t="shared" si="71"/>
        <v>0.56190476190476191</v>
      </c>
      <c r="AL370" s="9">
        <f t="shared" si="72"/>
        <v>0.8654761904761904</v>
      </c>
      <c r="AM370" s="9">
        <f t="shared" si="73"/>
        <v>0.5714285714285714</v>
      </c>
      <c r="AN370" s="9">
        <f t="shared" si="74"/>
        <v>0.69047619047619047</v>
      </c>
      <c r="AO370" s="9">
        <f t="shared" si="75"/>
        <v>0.69047619047619047</v>
      </c>
      <c r="AP370" s="9">
        <f t="shared" si="76"/>
        <v>0.74950257194175929</v>
      </c>
      <c r="AQ370" s="10">
        <f t="shared" si="77"/>
        <v>0.74950294194175926</v>
      </c>
    </row>
    <row r="371" spans="1:43">
      <c r="A371">
        <v>370</v>
      </c>
      <c r="B371" t="s">
        <v>26</v>
      </c>
      <c r="C371" t="s">
        <v>659</v>
      </c>
      <c r="D371" t="s">
        <v>660</v>
      </c>
      <c r="E371" t="s">
        <v>83</v>
      </c>
      <c r="G371" t="s">
        <v>18</v>
      </c>
      <c r="H371" s="4">
        <v>47250000</v>
      </c>
      <c r="I371" s="5">
        <v>256</v>
      </c>
      <c r="J371" s="5">
        <v>0</v>
      </c>
      <c r="K371" s="5">
        <v>8</v>
      </c>
      <c r="L371">
        <v>9.4</v>
      </c>
      <c r="M371">
        <v>3.5</v>
      </c>
      <c r="N371">
        <v>6.4</v>
      </c>
      <c r="O371" s="6">
        <v>14</v>
      </c>
      <c r="P371" s="7">
        <v>1.36</v>
      </c>
      <c r="U371" t="s">
        <v>84</v>
      </c>
      <c r="V371" t="s">
        <v>140</v>
      </c>
      <c r="W371">
        <v>2.7</v>
      </c>
      <c r="X371" t="s">
        <v>84</v>
      </c>
      <c r="Y371" t="s">
        <v>99</v>
      </c>
      <c r="Z371" t="s">
        <v>100</v>
      </c>
      <c r="AA371" t="s">
        <v>128</v>
      </c>
      <c r="AB371" t="s">
        <v>115</v>
      </c>
      <c r="AC371">
        <v>1750</v>
      </c>
      <c r="AD371" s="8" t="b">
        <f>AND(
 H371&gt;=Filters!$B$3,
 H371&lt;=Filters!$B$4,
 I371&gt;=Filters!$B$5,
 OR(Filters!$B$6="All",B371=Filters!$B$6),
 F371&gt;=Filters!$B$7,
 F371&lt;=Filters!$B$8,
 OR(Filters!$B$9="All",G371=Filters!$B$9)
)</f>
        <v>0</v>
      </c>
      <c r="AE371">
        <f t="shared" si="65"/>
        <v>6</v>
      </c>
      <c r="AF371">
        <f t="shared" si="66"/>
        <v>7</v>
      </c>
      <c r="AG371">
        <f t="shared" si="67"/>
        <v>7</v>
      </c>
      <c r="AH371" s="9" t="str">
        <f t="shared" si="68"/>
        <v/>
      </c>
      <c r="AI371" s="9" t="str">
        <f t="shared" si="69"/>
        <v/>
      </c>
      <c r="AJ371" s="9" t="str">
        <f t="shared" si="70"/>
        <v/>
      </c>
      <c r="AK371" s="9" t="str">
        <f t="shared" si="71"/>
        <v/>
      </c>
      <c r="AL371" s="9" t="str">
        <f t="shared" si="72"/>
        <v/>
      </c>
      <c r="AM371" s="9" t="str">
        <f t="shared" si="73"/>
        <v/>
      </c>
      <c r="AN371" s="9" t="str">
        <f t="shared" si="74"/>
        <v/>
      </c>
      <c r="AO371" s="9" t="str">
        <f t="shared" si="75"/>
        <v/>
      </c>
      <c r="AP371" s="9" t="str">
        <f t="shared" si="76"/>
        <v/>
      </c>
      <c r="AQ371" s="10" t="str">
        <f t="shared" si="77"/>
        <v/>
      </c>
    </row>
    <row r="372" spans="1:43">
      <c r="A372">
        <v>371</v>
      </c>
      <c r="B372" t="s">
        <v>21</v>
      </c>
      <c r="C372" t="s">
        <v>405</v>
      </c>
      <c r="D372" t="s">
        <v>406</v>
      </c>
      <c r="E372" t="s">
        <v>168</v>
      </c>
      <c r="G372" t="s">
        <v>18</v>
      </c>
      <c r="H372" s="4">
        <v>29673000</v>
      </c>
      <c r="I372" s="5">
        <v>512</v>
      </c>
      <c r="J372" s="5">
        <v>2048</v>
      </c>
      <c r="K372" s="5">
        <v>12</v>
      </c>
      <c r="L372">
        <v>9.4</v>
      </c>
      <c r="M372">
        <v>6.5</v>
      </c>
      <c r="N372">
        <v>6.22</v>
      </c>
      <c r="O372" s="6">
        <v>15.6</v>
      </c>
      <c r="P372" s="7">
        <v>2.2599999999999998</v>
      </c>
      <c r="U372" t="s">
        <v>84</v>
      </c>
      <c r="V372" t="s">
        <v>140</v>
      </c>
      <c r="W372">
        <v>2.7</v>
      </c>
      <c r="X372" t="s">
        <v>122</v>
      </c>
      <c r="Y372" t="s">
        <v>661</v>
      </c>
      <c r="Z372" t="s">
        <v>662</v>
      </c>
      <c r="AA372" t="s">
        <v>169</v>
      </c>
      <c r="AB372" t="s">
        <v>115</v>
      </c>
      <c r="AC372">
        <v>1099</v>
      </c>
      <c r="AD372" s="8" t="b">
        <f>AND(
 H372&gt;=Filters!$B$3,
 H372&lt;=Filters!$B$4,
 I372&gt;=Filters!$B$5,
 OR(Filters!$B$6="All",B372=Filters!$B$6),
 F372&gt;=Filters!$B$7,
 F372&lt;=Filters!$B$8,
 OR(Filters!$B$9="All",G372=Filters!$B$9)
)</f>
        <v>0</v>
      </c>
      <c r="AE372">
        <f t="shared" si="65"/>
        <v>6</v>
      </c>
      <c r="AF372">
        <f t="shared" si="66"/>
        <v>7</v>
      </c>
      <c r="AG372">
        <f t="shared" si="67"/>
        <v>7</v>
      </c>
      <c r="AH372" s="9" t="str">
        <f t="shared" si="68"/>
        <v/>
      </c>
      <c r="AI372" s="9" t="str">
        <f t="shared" si="69"/>
        <v/>
      </c>
      <c r="AJ372" s="9" t="str">
        <f t="shared" si="70"/>
        <v/>
      </c>
      <c r="AK372" s="9" t="str">
        <f t="shared" si="71"/>
        <v/>
      </c>
      <c r="AL372" s="9" t="str">
        <f t="shared" si="72"/>
        <v/>
      </c>
      <c r="AM372" s="9" t="str">
        <f t="shared" si="73"/>
        <v/>
      </c>
      <c r="AN372" s="9" t="str">
        <f t="shared" si="74"/>
        <v/>
      </c>
      <c r="AO372" s="9" t="str">
        <f t="shared" si="75"/>
        <v/>
      </c>
      <c r="AP372" s="9" t="str">
        <f t="shared" si="76"/>
        <v/>
      </c>
      <c r="AQ372" s="10" t="str">
        <f t="shared" si="77"/>
        <v/>
      </c>
    </row>
    <row r="373" spans="1:43">
      <c r="A373">
        <v>372</v>
      </c>
      <c r="B373" t="s">
        <v>17</v>
      </c>
      <c r="C373" t="s">
        <v>109</v>
      </c>
      <c r="D373" t="s">
        <v>110</v>
      </c>
      <c r="E373" t="s">
        <v>97</v>
      </c>
      <c r="G373" t="s">
        <v>18</v>
      </c>
      <c r="H373" s="4">
        <v>11502000</v>
      </c>
      <c r="I373" s="5">
        <v>128</v>
      </c>
      <c r="J373" s="5">
        <v>0</v>
      </c>
      <c r="K373" s="5">
        <v>4</v>
      </c>
      <c r="L373">
        <v>7</v>
      </c>
      <c r="M373">
        <v>6.5</v>
      </c>
      <c r="N373">
        <v>3.92</v>
      </c>
      <c r="O373" s="6">
        <v>15.6</v>
      </c>
      <c r="P373" s="7">
        <v>2.1</v>
      </c>
      <c r="U373" t="s">
        <v>104</v>
      </c>
      <c r="V373" t="s">
        <v>111</v>
      </c>
      <c r="W373">
        <v>3</v>
      </c>
      <c r="X373" t="s">
        <v>104</v>
      </c>
      <c r="Y373" t="s">
        <v>112</v>
      </c>
      <c r="Z373" t="s">
        <v>87</v>
      </c>
      <c r="AA373" t="s">
        <v>114</v>
      </c>
      <c r="AB373" t="s">
        <v>115</v>
      </c>
      <c r="AC373">
        <v>426</v>
      </c>
      <c r="AD373" s="8" t="b">
        <f>AND(
 H373&gt;=Filters!$B$3,
 H373&lt;=Filters!$B$4,
 I373&gt;=Filters!$B$5,
 OR(Filters!$B$6="All",B373=Filters!$B$6),
 F373&gt;=Filters!$B$7,
 F373&lt;=Filters!$B$8,
 OR(Filters!$B$9="All",G373=Filters!$B$9)
)</f>
        <v>0</v>
      </c>
      <c r="AE373">
        <f t="shared" si="65"/>
        <v>6</v>
      </c>
      <c r="AF373">
        <f t="shared" si="66"/>
        <v>7</v>
      </c>
      <c r="AG373">
        <f t="shared" si="67"/>
        <v>7</v>
      </c>
      <c r="AH373" s="9" t="str">
        <f t="shared" si="68"/>
        <v/>
      </c>
      <c r="AI373" s="9" t="str">
        <f t="shared" si="69"/>
        <v/>
      </c>
      <c r="AJ373" s="9" t="str">
        <f t="shared" si="70"/>
        <v/>
      </c>
      <c r="AK373" s="9" t="str">
        <f t="shared" si="71"/>
        <v/>
      </c>
      <c r="AL373" s="9" t="str">
        <f t="shared" si="72"/>
        <v/>
      </c>
      <c r="AM373" s="9" t="str">
        <f t="shared" si="73"/>
        <v/>
      </c>
      <c r="AN373" s="9" t="str">
        <f t="shared" si="74"/>
        <v/>
      </c>
      <c r="AO373" s="9" t="str">
        <f t="shared" si="75"/>
        <v/>
      </c>
      <c r="AP373" s="9" t="str">
        <f t="shared" si="76"/>
        <v/>
      </c>
      <c r="AQ373" s="10" t="str">
        <f t="shared" si="77"/>
        <v/>
      </c>
    </row>
    <row r="374" spans="1:43">
      <c r="A374">
        <v>373</v>
      </c>
      <c r="B374" t="s">
        <v>21</v>
      </c>
      <c r="C374" t="s">
        <v>223</v>
      </c>
      <c r="D374" t="s">
        <v>224</v>
      </c>
      <c r="E374" t="s">
        <v>158</v>
      </c>
      <c r="G374" t="s">
        <v>18</v>
      </c>
      <c r="H374" s="4">
        <v>59373000</v>
      </c>
      <c r="I374" s="5">
        <v>256</v>
      </c>
      <c r="J374" s="5">
        <v>1024</v>
      </c>
      <c r="K374" s="5">
        <v>16</v>
      </c>
      <c r="L374">
        <v>7</v>
      </c>
      <c r="M374">
        <v>8</v>
      </c>
      <c r="N374">
        <v>6.24</v>
      </c>
      <c r="O374" s="6">
        <v>17.3</v>
      </c>
      <c r="P374" s="7">
        <v>3.25</v>
      </c>
      <c r="U374" t="s">
        <v>104</v>
      </c>
      <c r="V374" t="s">
        <v>225</v>
      </c>
      <c r="W374">
        <v>3</v>
      </c>
      <c r="X374" t="s">
        <v>104</v>
      </c>
      <c r="Y374" t="s">
        <v>226</v>
      </c>
      <c r="Z374" t="s">
        <v>212</v>
      </c>
      <c r="AA374" t="s">
        <v>128</v>
      </c>
      <c r="AB374" t="s">
        <v>115</v>
      </c>
      <c r="AC374">
        <v>2199</v>
      </c>
      <c r="AD374" s="8" t="b">
        <f>AND(
 H374&gt;=Filters!$B$3,
 H374&lt;=Filters!$B$4,
 I374&gt;=Filters!$B$5,
 OR(Filters!$B$6="All",B374=Filters!$B$6),
 F374&gt;=Filters!$B$7,
 F374&lt;=Filters!$B$8,
 OR(Filters!$B$9="All",G374=Filters!$B$9)
)</f>
        <v>0</v>
      </c>
      <c r="AE374">
        <f t="shared" si="65"/>
        <v>6</v>
      </c>
      <c r="AF374">
        <f t="shared" si="66"/>
        <v>7</v>
      </c>
      <c r="AG374">
        <f t="shared" si="67"/>
        <v>7</v>
      </c>
      <c r="AH374" s="9" t="str">
        <f t="shared" si="68"/>
        <v/>
      </c>
      <c r="AI374" s="9" t="str">
        <f t="shared" si="69"/>
        <v/>
      </c>
      <c r="AJ374" s="9" t="str">
        <f t="shared" si="70"/>
        <v/>
      </c>
      <c r="AK374" s="9" t="str">
        <f t="shared" si="71"/>
        <v/>
      </c>
      <c r="AL374" s="9" t="str">
        <f t="shared" si="72"/>
        <v/>
      </c>
      <c r="AM374" s="9" t="str">
        <f t="shared" si="73"/>
        <v/>
      </c>
      <c r="AN374" s="9" t="str">
        <f t="shared" si="74"/>
        <v/>
      </c>
      <c r="AO374" s="9" t="str">
        <f t="shared" si="75"/>
        <v/>
      </c>
      <c r="AP374" s="9" t="str">
        <f t="shared" si="76"/>
        <v/>
      </c>
      <c r="AQ374" s="10" t="str">
        <f t="shared" si="77"/>
        <v/>
      </c>
    </row>
    <row r="375" spans="1:43">
      <c r="A375">
        <v>374</v>
      </c>
      <c r="B375" t="s">
        <v>29</v>
      </c>
      <c r="C375" t="s">
        <v>663</v>
      </c>
      <c r="D375" t="s">
        <v>664</v>
      </c>
      <c r="E375" t="s">
        <v>97</v>
      </c>
      <c r="G375" t="s">
        <v>18</v>
      </c>
      <c r="H375" s="4">
        <v>13203000</v>
      </c>
      <c r="I375" s="5">
        <v>128</v>
      </c>
      <c r="J375" s="5">
        <v>0</v>
      </c>
      <c r="K375" s="5">
        <v>4</v>
      </c>
      <c r="L375">
        <v>5.4</v>
      </c>
      <c r="M375">
        <v>6.5</v>
      </c>
      <c r="N375">
        <v>5.83</v>
      </c>
      <c r="O375" s="6">
        <v>17.3</v>
      </c>
      <c r="P375" s="7">
        <v>2.6</v>
      </c>
      <c r="U375" t="s">
        <v>104</v>
      </c>
      <c r="V375" t="s">
        <v>599</v>
      </c>
      <c r="W375">
        <v>2.2000000000000002</v>
      </c>
      <c r="X375" t="s">
        <v>104</v>
      </c>
      <c r="Y375" t="s">
        <v>112</v>
      </c>
      <c r="Z375" t="s">
        <v>87</v>
      </c>
      <c r="AA375" t="s">
        <v>452</v>
      </c>
      <c r="AB375" t="s">
        <v>115</v>
      </c>
      <c r="AC375">
        <v>489</v>
      </c>
      <c r="AD375" s="8" t="b">
        <f>AND(
 H375&gt;=Filters!$B$3,
 H375&lt;=Filters!$B$4,
 I375&gt;=Filters!$B$5,
 OR(Filters!$B$6="All",B375=Filters!$B$6),
 F375&gt;=Filters!$B$7,
 F375&lt;=Filters!$B$8,
 OR(Filters!$B$9="All",G375=Filters!$B$9)
)</f>
        <v>0</v>
      </c>
      <c r="AE375">
        <f t="shared" si="65"/>
        <v>6</v>
      </c>
      <c r="AF375">
        <f t="shared" si="66"/>
        <v>7</v>
      </c>
      <c r="AG375">
        <f t="shared" si="67"/>
        <v>7</v>
      </c>
      <c r="AH375" s="9" t="str">
        <f t="shared" si="68"/>
        <v/>
      </c>
      <c r="AI375" s="9" t="str">
        <f t="shared" si="69"/>
        <v/>
      </c>
      <c r="AJ375" s="9" t="str">
        <f t="shared" si="70"/>
        <v/>
      </c>
      <c r="AK375" s="9" t="str">
        <f t="shared" si="71"/>
        <v/>
      </c>
      <c r="AL375" s="9" t="str">
        <f t="shared" si="72"/>
        <v/>
      </c>
      <c r="AM375" s="9" t="str">
        <f t="shared" si="73"/>
        <v/>
      </c>
      <c r="AN375" s="9" t="str">
        <f t="shared" si="74"/>
        <v/>
      </c>
      <c r="AO375" s="9" t="str">
        <f t="shared" si="75"/>
        <v/>
      </c>
      <c r="AP375" s="9" t="str">
        <f t="shared" si="76"/>
        <v/>
      </c>
      <c r="AQ375" s="10" t="str">
        <f t="shared" si="77"/>
        <v/>
      </c>
    </row>
    <row r="376" spans="1:43">
      <c r="A376">
        <v>375</v>
      </c>
      <c r="B376" t="s">
        <v>23</v>
      </c>
      <c r="C376" t="s">
        <v>166</v>
      </c>
      <c r="D376" t="s">
        <v>167</v>
      </c>
      <c r="E376" t="s">
        <v>168</v>
      </c>
      <c r="G376" t="s">
        <v>18</v>
      </c>
      <c r="H376" s="4">
        <v>23463270</v>
      </c>
      <c r="I376" s="5">
        <v>256</v>
      </c>
      <c r="J376" s="5">
        <v>0</v>
      </c>
      <c r="K376" s="5">
        <v>8</v>
      </c>
      <c r="L376">
        <v>7.6</v>
      </c>
      <c r="M376">
        <v>3.8</v>
      </c>
      <c r="N376">
        <v>6.26</v>
      </c>
      <c r="O376" s="6">
        <v>13.3</v>
      </c>
      <c r="P376" s="7">
        <v>1.62</v>
      </c>
      <c r="U376" t="s">
        <v>84</v>
      </c>
      <c r="V376" t="s">
        <v>121</v>
      </c>
      <c r="W376">
        <v>1.8</v>
      </c>
      <c r="X376" t="s">
        <v>84</v>
      </c>
      <c r="Y376" t="s">
        <v>127</v>
      </c>
      <c r="Z376" t="s">
        <v>100</v>
      </c>
      <c r="AA376" t="s">
        <v>169</v>
      </c>
      <c r="AB376" t="s">
        <v>115</v>
      </c>
      <c r="AC376">
        <v>869.01</v>
      </c>
      <c r="AD376" s="8" t="b">
        <f>AND(
 H376&gt;=Filters!$B$3,
 H376&lt;=Filters!$B$4,
 I376&gt;=Filters!$B$5,
 OR(Filters!$B$6="All",B376=Filters!$B$6),
 F376&gt;=Filters!$B$7,
 F376&lt;=Filters!$B$8,
 OR(Filters!$B$9="All",G376=Filters!$B$9)
)</f>
        <v>1</v>
      </c>
      <c r="AE376">
        <f t="shared" si="65"/>
        <v>6</v>
      </c>
      <c r="AF376">
        <f t="shared" si="66"/>
        <v>7</v>
      </c>
      <c r="AG376">
        <f t="shared" si="67"/>
        <v>7</v>
      </c>
      <c r="AH376" s="9">
        <f t="shared" si="68"/>
        <v>0.76190476190476186</v>
      </c>
      <c r="AI376" s="9">
        <f t="shared" si="69"/>
        <v>0.80952380952380942</v>
      </c>
      <c r="AJ376" s="9">
        <f t="shared" si="70"/>
        <v>0.30952380952380948</v>
      </c>
      <c r="AK376" s="9">
        <f t="shared" si="71"/>
        <v>0.60238095238095235</v>
      </c>
      <c r="AL376" s="9">
        <f t="shared" si="72"/>
        <v>0.95</v>
      </c>
      <c r="AM376" s="9">
        <f t="shared" si="73"/>
        <v>0.5714285714285714</v>
      </c>
      <c r="AN376" s="9">
        <f t="shared" si="74"/>
        <v>0.69047619047619047</v>
      </c>
      <c r="AO376" s="9">
        <f t="shared" si="75"/>
        <v>0.69047619047619047</v>
      </c>
      <c r="AP376" s="9">
        <f t="shared" si="76"/>
        <v>0.69121996150807674</v>
      </c>
      <c r="AQ376" s="10">
        <f t="shared" si="77"/>
        <v>0.69122033750807677</v>
      </c>
    </row>
    <row r="377" spans="1:43">
      <c r="A377">
        <v>376</v>
      </c>
      <c r="B377" t="s">
        <v>26</v>
      </c>
      <c r="C377" t="s">
        <v>665</v>
      </c>
      <c r="D377" t="s">
        <v>666</v>
      </c>
      <c r="E377" t="s">
        <v>97</v>
      </c>
      <c r="G377" t="s">
        <v>18</v>
      </c>
      <c r="H377" s="4">
        <v>13202730</v>
      </c>
      <c r="I377" s="5">
        <v>256</v>
      </c>
      <c r="J377" s="5">
        <v>0</v>
      </c>
      <c r="K377" s="5">
        <v>4</v>
      </c>
      <c r="L377">
        <v>7</v>
      </c>
      <c r="M377">
        <v>6.5</v>
      </c>
      <c r="N377">
        <v>5.92</v>
      </c>
      <c r="O377" s="6">
        <v>15.6</v>
      </c>
      <c r="P377" s="7">
        <v>1.91</v>
      </c>
      <c r="U377" t="s">
        <v>104</v>
      </c>
      <c r="V377" t="s">
        <v>111</v>
      </c>
      <c r="W377">
        <v>3</v>
      </c>
      <c r="X377" t="s">
        <v>104</v>
      </c>
      <c r="Y377" t="s">
        <v>112</v>
      </c>
      <c r="Z377" t="s">
        <v>100</v>
      </c>
      <c r="AA377" t="s">
        <v>101</v>
      </c>
      <c r="AB377" t="s">
        <v>115</v>
      </c>
      <c r="AC377">
        <v>488.99</v>
      </c>
      <c r="AD377" s="8" t="b">
        <f>AND(
 H377&gt;=Filters!$B$3,
 H377&lt;=Filters!$B$4,
 I377&gt;=Filters!$B$5,
 OR(Filters!$B$6="All",B377=Filters!$B$6),
 F377&gt;=Filters!$B$7,
 F377&lt;=Filters!$B$8,
 OR(Filters!$B$9="All",G377=Filters!$B$9)
)</f>
        <v>1</v>
      </c>
      <c r="AE377">
        <f t="shared" si="65"/>
        <v>6</v>
      </c>
      <c r="AF377">
        <f t="shared" si="66"/>
        <v>7</v>
      </c>
      <c r="AG377">
        <f t="shared" si="67"/>
        <v>7</v>
      </c>
      <c r="AH377" s="9">
        <f t="shared" si="68"/>
        <v>0.69047619047619047</v>
      </c>
      <c r="AI377" s="9">
        <f t="shared" si="69"/>
        <v>0.33333333333333331</v>
      </c>
      <c r="AJ377" s="9">
        <f t="shared" si="70"/>
        <v>0.63095238095238093</v>
      </c>
      <c r="AK377" s="9">
        <f t="shared" si="71"/>
        <v>0.56190476190476191</v>
      </c>
      <c r="AL377" s="9">
        <f t="shared" si="72"/>
        <v>0.91547619047619033</v>
      </c>
      <c r="AM377" s="9">
        <f t="shared" si="73"/>
        <v>0.5714285714285714</v>
      </c>
      <c r="AN377" s="9">
        <f t="shared" si="74"/>
        <v>0.69047619047619047</v>
      </c>
      <c r="AO377" s="9">
        <f t="shared" si="75"/>
        <v>0.69047619047619047</v>
      </c>
      <c r="AP377" s="9">
        <f t="shared" si="76"/>
        <v>0.60564867466318517</v>
      </c>
      <c r="AQ377" s="10">
        <f t="shared" si="77"/>
        <v>0.60564905166318517</v>
      </c>
    </row>
    <row r="378" spans="1:43">
      <c r="A378">
        <v>377</v>
      </c>
      <c r="B378" t="s">
        <v>29</v>
      </c>
      <c r="C378" t="s">
        <v>667</v>
      </c>
      <c r="D378" t="s">
        <v>668</v>
      </c>
      <c r="E378" t="s">
        <v>152</v>
      </c>
      <c r="G378" t="s">
        <v>18</v>
      </c>
      <c r="H378" s="4">
        <v>14931000</v>
      </c>
      <c r="I378" s="5">
        <v>128</v>
      </c>
      <c r="J378" s="5">
        <v>0</v>
      </c>
      <c r="K378" s="5">
        <v>4</v>
      </c>
      <c r="L378">
        <v>1</v>
      </c>
      <c r="M378">
        <v>3.5</v>
      </c>
      <c r="N378">
        <v>4.28</v>
      </c>
      <c r="O378" s="6">
        <v>11.6</v>
      </c>
      <c r="P378" s="7">
        <v>1.59</v>
      </c>
      <c r="U378" t="s">
        <v>84</v>
      </c>
      <c r="V378" t="s">
        <v>669</v>
      </c>
      <c r="W378">
        <v>1.1000000000000001</v>
      </c>
      <c r="X378" t="s">
        <v>84</v>
      </c>
      <c r="Y378" t="s">
        <v>199</v>
      </c>
      <c r="Z378" t="s">
        <v>87</v>
      </c>
      <c r="AA378" t="s">
        <v>338</v>
      </c>
      <c r="AB378" t="s">
        <v>115</v>
      </c>
      <c r="AC378">
        <v>553</v>
      </c>
      <c r="AD378" s="8" t="b">
        <f>AND(
 H378&gt;=Filters!$B$3,
 H378&lt;=Filters!$B$4,
 I378&gt;=Filters!$B$5,
 OR(Filters!$B$6="All",B378=Filters!$B$6),
 F378&gt;=Filters!$B$7,
 F378&lt;=Filters!$B$8,
 OR(Filters!$B$9="All",G378=Filters!$B$9)
)</f>
        <v>0</v>
      </c>
      <c r="AE378">
        <f t="shared" si="65"/>
        <v>6</v>
      </c>
      <c r="AF378">
        <f t="shared" si="66"/>
        <v>7</v>
      </c>
      <c r="AG378">
        <f t="shared" si="67"/>
        <v>7</v>
      </c>
      <c r="AH378" s="9" t="str">
        <f t="shared" si="68"/>
        <v/>
      </c>
      <c r="AI378" s="9" t="str">
        <f t="shared" si="69"/>
        <v/>
      </c>
      <c r="AJ378" s="9" t="str">
        <f t="shared" si="70"/>
        <v/>
      </c>
      <c r="AK378" s="9" t="str">
        <f t="shared" si="71"/>
        <v/>
      </c>
      <c r="AL378" s="9" t="str">
        <f t="shared" si="72"/>
        <v/>
      </c>
      <c r="AM378" s="9" t="str">
        <f t="shared" si="73"/>
        <v/>
      </c>
      <c r="AN378" s="9" t="str">
        <f t="shared" si="74"/>
        <v/>
      </c>
      <c r="AO378" s="9" t="str">
        <f t="shared" si="75"/>
        <v/>
      </c>
      <c r="AP378" s="9" t="str">
        <f t="shared" si="76"/>
        <v/>
      </c>
      <c r="AQ378" s="10" t="str">
        <f t="shared" si="77"/>
        <v/>
      </c>
    </row>
    <row r="379" spans="1:43">
      <c r="A379">
        <v>378</v>
      </c>
      <c r="B379" t="s">
        <v>23</v>
      </c>
      <c r="C379" t="s">
        <v>639</v>
      </c>
      <c r="D379" t="s">
        <v>640</v>
      </c>
      <c r="E379" t="s">
        <v>97</v>
      </c>
      <c r="G379" t="s">
        <v>18</v>
      </c>
      <c r="H379" s="4">
        <v>8343000</v>
      </c>
      <c r="I379" s="5">
        <v>0</v>
      </c>
      <c r="J379" s="5">
        <v>500</v>
      </c>
      <c r="K379" s="5">
        <v>4</v>
      </c>
      <c r="L379">
        <v>1.2</v>
      </c>
      <c r="M379">
        <v>3.5</v>
      </c>
      <c r="N379">
        <v>3.92</v>
      </c>
      <c r="O379" s="6">
        <v>15.6</v>
      </c>
      <c r="P379" s="7">
        <v>1.8</v>
      </c>
      <c r="U379" t="s">
        <v>84</v>
      </c>
      <c r="V379" t="s">
        <v>263</v>
      </c>
      <c r="W379">
        <v>1.6</v>
      </c>
      <c r="X379" t="s">
        <v>84</v>
      </c>
      <c r="Y379" t="s">
        <v>154</v>
      </c>
      <c r="Z379" t="s">
        <v>113</v>
      </c>
      <c r="AA379" t="s">
        <v>114</v>
      </c>
      <c r="AB379" t="s">
        <v>115</v>
      </c>
      <c r="AC379">
        <v>309</v>
      </c>
      <c r="AD379" s="8" t="b">
        <f>AND(
 H379&gt;=Filters!$B$3,
 H379&lt;=Filters!$B$4,
 I379&gt;=Filters!$B$5,
 OR(Filters!$B$6="All",B379=Filters!$B$6),
 F379&gt;=Filters!$B$7,
 F379&lt;=Filters!$B$8,
 OR(Filters!$B$9="All",G379=Filters!$B$9)
)</f>
        <v>0</v>
      </c>
      <c r="AE379">
        <f t="shared" si="65"/>
        <v>6</v>
      </c>
      <c r="AF379">
        <f t="shared" si="66"/>
        <v>7</v>
      </c>
      <c r="AG379">
        <f t="shared" si="67"/>
        <v>7</v>
      </c>
      <c r="AH379" s="9" t="str">
        <f t="shared" si="68"/>
        <v/>
      </c>
      <c r="AI379" s="9" t="str">
        <f t="shared" si="69"/>
        <v/>
      </c>
      <c r="AJ379" s="9" t="str">
        <f t="shared" si="70"/>
        <v/>
      </c>
      <c r="AK379" s="9" t="str">
        <f t="shared" si="71"/>
        <v/>
      </c>
      <c r="AL379" s="9" t="str">
        <f t="shared" si="72"/>
        <v/>
      </c>
      <c r="AM379" s="9" t="str">
        <f t="shared" si="73"/>
        <v/>
      </c>
      <c r="AN379" s="9" t="str">
        <f t="shared" si="74"/>
        <v/>
      </c>
      <c r="AO379" s="9" t="str">
        <f t="shared" si="75"/>
        <v/>
      </c>
      <c r="AP379" s="9" t="str">
        <f t="shared" si="76"/>
        <v/>
      </c>
      <c r="AQ379" s="10" t="str">
        <f t="shared" si="77"/>
        <v/>
      </c>
    </row>
    <row r="380" spans="1:43">
      <c r="A380">
        <v>379</v>
      </c>
      <c r="B380" t="s">
        <v>21</v>
      </c>
      <c r="C380" t="s">
        <v>670</v>
      </c>
      <c r="D380" t="s">
        <v>671</v>
      </c>
      <c r="E380" t="s">
        <v>97</v>
      </c>
      <c r="G380" t="s">
        <v>18</v>
      </c>
      <c r="H380" s="4">
        <v>7722000</v>
      </c>
      <c r="I380" s="5">
        <v>32</v>
      </c>
      <c r="J380" s="5">
        <v>0</v>
      </c>
      <c r="K380" s="5">
        <v>4</v>
      </c>
      <c r="L380">
        <v>1</v>
      </c>
      <c r="M380">
        <v>3.5</v>
      </c>
      <c r="N380">
        <v>4</v>
      </c>
      <c r="O380" s="6">
        <v>14</v>
      </c>
      <c r="P380" s="7">
        <v>1.5</v>
      </c>
      <c r="U380" t="s">
        <v>84</v>
      </c>
      <c r="V380" t="s">
        <v>198</v>
      </c>
      <c r="W380">
        <v>1.1000000000000001</v>
      </c>
      <c r="X380" t="s">
        <v>84</v>
      </c>
      <c r="Y380" t="s">
        <v>199</v>
      </c>
      <c r="Z380" t="s">
        <v>155</v>
      </c>
      <c r="AA380" t="s">
        <v>114</v>
      </c>
      <c r="AB380" t="s">
        <v>115</v>
      </c>
      <c r="AC380">
        <v>286</v>
      </c>
      <c r="AD380" s="8" t="b">
        <f>AND(
 H380&gt;=Filters!$B$3,
 H380&lt;=Filters!$B$4,
 I380&gt;=Filters!$B$5,
 OR(Filters!$B$6="All",B380=Filters!$B$6),
 F380&gt;=Filters!$B$7,
 F380&lt;=Filters!$B$8,
 OR(Filters!$B$9="All",G380=Filters!$B$9)
)</f>
        <v>0</v>
      </c>
      <c r="AE380">
        <f t="shared" si="65"/>
        <v>6</v>
      </c>
      <c r="AF380">
        <f t="shared" si="66"/>
        <v>7</v>
      </c>
      <c r="AG380">
        <f t="shared" si="67"/>
        <v>7</v>
      </c>
      <c r="AH380" s="9" t="str">
        <f t="shared" si="68"/>
        <v/>
      </c>
      <c r="AI380" s="9" t="str">
        <f t="shared" si="69"/>
        <v/>
      </c>
      <c r="AJ380" s="9" t="str">
        <f t="shared" si="70"/>
        <v/>
      </c>
      <c r="AK380" s="9" t="str">
        <f t="shared" si="71"/>
        <v/>
      </c>
      <c r="AL380" s="9" t="str">
        <f t="shared" si="72"/>
        <v/>
      </c>
      <c r="AM380" s="9" t="str">
        <f t="shared" si="73"/>
        <v/>
      </c>
      <c r="AN380" s="9" t="str">
        <f t="shared" si="74"/>
        <v/>
      </c>
      <c r="AO380" s="9" t="str">
        <f t="shared" si="75"/>
        <v/>
      </c>
      <c r="AP380" s="9" t="str">
        <f t="shared" si="76"/>
        <v/>
      </c>
      <c r="AQ380" s="10" t="str">
        <f t="shared" si="77"/>
        <v/>
      </c>
    </row>
    <row r="381" spans="1:43">
      <c r="A381">
        <v>380</v>
      </c>
      <c r="B381" t="s">
        <v>17</v>
      </c>
      <c r="C381" t="s">
        <v>473</v>
      </c>
      <c r="D381" t="s">
        <v>474</v>
      </c>
      <c r="E381" t="s">
        <v>97</v>
      </c>
      <c r="G381" t="s">
        <v>18</v>
      </c>
      <c r="H381" s="4">
        <v>22842000</v>
      </c>
      <c r="I381" s="5">
        <v>0</v>
      </c>
      <c r="J381" s="5">
        <v>1024</v>
      </c>
      <c r="K381" s="5">
        <v>8</v>
      </c>
      <c r="L381">
        <v>9.6</v>
      </c>
      <c r="M381">
        <v>9.1999999999999993</v>
      </c>
      <c r="N381">
        <v>5.92</v>
      </c>
      <c r="O381" s="6">
        <v>15.6</v>
      </c>
      <c r="P381" s="7">
        <v>2.4</v>
      </c>
      <c r="U381" t="s">
        <v>84</v>
      </c>
      <c r="V381" t="s">
        <v>210</v>
      </c>
      <c r="W381">
        <v>2.8</v>
      </c>
      <c r="X381" t="s">
        <v>122</v>
      </c>
      <c r="Y381" t="s">
        <v>160</v>
      </c>
      <c r="Z381" t="s">
        <v>146</v>
      </c>
      <c r="AA381" t="s">
        <v>101</v>
      </c>
      <c r="AB381" t="s">
        <v>201</v>
      </c>
      <c r="AC381">
        <v>846</v>
      </c>
      <c r="AD381" s="8" t="b">
        <f>AND(
 H381&gt;=Filters!$B$3,
 H381&lt;=Filters!$B$4,
 I381&gt;=Filters!$B$5,
 OR(Filters!$B$6="All",B381=Filters!$B$6),
 F381&gt;=Filters!$B$7,
 F381&lt;=Filters!$B$8,
 OR(Filters!$B$9="All",G381=Filters!$B$9)
)</f>
        <v>0</v>
      </c>
      <c r="AE381">
        <f t="shared" si="65"/>
        <v>6</v>
      </c>
      <c r="AF381">
        <f t="shared" si="66"/>
        <v>7</v>
      </c>
      <c r="AG381">
        <f t="shared" si="67"/>
        <v>7</v>
      </c>
      <c r="AH381" s="9" t="str">
        <f t="shared" si="68"/>
        <v/>
      </c>
      <c r="AI381" s="9" t="str">
        <f t="shared" si="69"/>
        <v/>
      </c>
      <c r="AJ381" s="9" t="str">
        <f t="shared" si="70"/>
        <v/>
      </c>
      <c r="AK381" s="9" t="str">
        <f t="shared" si="71"/>
        <v/>
      </c>
      <c r="AL381" s="9" t="str">
        <f t="shared" si="72"/>
        <v/>
      </c>
      <c r="AM381" s="9" t="str">
        <f t="shared" si="73"/>
        <v/>
      </c>
      <c r="AN381" s="9" t="str">
        <f t="shared" si="74"/>
        <v/>
      </c>
      <c r="AO381" s="9" t="str">
        <f t="shared" si="75"/>
        <v/>
      </c>
      <c r="AP381" s="9" t="str">
        <f t="shared" si="76"/>
        <v/>
      </c>
      <c r="AQ381" s="10" t="str">
        <f t="shared" si="77"/>
        <v/>
      </c>
    </row>
    <row r="382" spans="1:43">
      <c r="A382">
        <v>381</v>
      </c>
      <c r="B382" t="s">
        <v>26</v>
      </c>
      <c r="C382" t="s">
        <v>672</v>
      </c>
      <c r="D382" t="s">
        <v>673</v>
      </c>
      <c r="E382" t="s">
        <v>158</v>
      </c>
      <c r="G382" t="s">
        <v>18</v>
      </c>
      <c r="H382" s="4">
        <v>32157000</v>
      </c>
      <c r="I382" s="5">
        <v>128</v>
      </c>
      <c r="J382" s="5">
        <v>1024</v>
      </c>
      <c r="K382" s="5">
        <v>8</v>
      </c>
      <c r="L382">
        <v>9.6</v>
      </c>
      <c r="M382">
        <v>9.1999999999999993</v>
      </c>
      <c r="N382">
        <v>6.24</v>
      </c>
      <c r="O382" s="6">
        <v>17.3</v>
      </c>
      <c r="P382" s="7">
        <v>3.35</v>
      </c>
      <c r="U382" t="s">
        <v>84</v>
      </c>
      <c r="V382" t="s">
        <v>210</v>
      </c>
      <c r="W382">
        <v>2.8</v>
      </c>
      <c r="X382" t="s">
        <v>122</v>
      </c>
      <c r="Y382" t="s">
        <v>160</v>
      </c>
      <c r="Z382" t="s">
        <v>161</v>
      </c>
      <c r="AA382" t="s">
        <v>128</v>
      </c>
      <c r="AB382" t="s">
        <v>115</v>
      </c>
      <c r="AC382">
        <v>1191</v>
      </c>
      <c r="AD382" s="8" t="b">
        <f>AND(
 H382&gt;=Filters!$B$3,
 H382&lt;=Filters!$B$4,
 I382&gt;=Filters!$B$5,
 OR(Filters!$B$6="All",B382=Filters!$B$6),
 F382&gt;=Filters!$B$7,
 F382&lt;=Filters!$B$8,
 OR(Filters!$B$9="All",G382=Filters!$B$9)
)</f>
        <v>0</v>
      </c>
      <c r="AE382">
        <f t="shared" si="65"/>
        <v>6</v>
      </c>
      <c r="AF382">
        <f t="shared" si="66"/>
        <v>7</v>
      </c>
      <c r="AG382">
        <f t="shared" si="67"/>
        <v>7</v>
      </c>
      <c r="AH382" s="9" t="str">
        <f t="shared" si="68"/>
        <v/>
      </c>
      <c r="AI382" s="9" t="str">
        <f t="shared" si="69"/>
        <v/>
      </c>
      <c r="AJ382" s="9" t="str">
        <f t="shared" si="70"/>
        <v/>
      </c>
      <c r="AK382" s="9" t="str">
        <f t="shared" si="71"/>
        <v/>
      </c>
      <c r="AL382" s="9" t="str">
        <f t="shared" si="72"/>
        <v/>
      </c>
      <c r="AM382" s="9" t="str">
        <f t="shared" si="73"/>
        <v/>
      </c>
      <c r="AN382" s="9" t="str">
        <f t="shared" si="74"/>
        <v/>
      </c>
      <c r="AO382" s="9" t="str">
        <f t="shared" si="75"/>
        <v/>
      </c>
      <c r="AP382" s="9" t="str">
        <f t="shared" si="76"/>
        <v/>
      </c>
      <c r="AQ382" s="10" t="str">
        <f t="shared" si="77"/>
        <v/>
      </c>
    </row>
    <row r="383" spans="1:43">
      <c r="A383">
        <v>382</v>
      </c>
      <c r="B383" t="s">
        <v>29</v>
      </c>
      <c r="C383" t="s">
        <v>674</v>
      </c>
      <c r="D383" t="s">
        <v>675</v>
      </c>
      <c r="E383" t="s">
        <v>97</v>
      </c>
      <c r="G383" t="s">
        <v>18</v>
      </c>
      <c r="H383" s="4">
        <v>10894500</v>
      </c>
      <c r="I383" s="5">
        <v>128</v>
      </c>
      <c r="J383" s="5">
        <v>0</v>
      </c>
      <c r="K383" s="5">
        <v>4</v>
      </c>
      <c r="L383">
        <v>4</v>
      </c>
      <c r="M383">
        <v>3.5</v>
      </c>
      <c r="N383">
        <v>5.92</v>
      </c>
      <c r="O383" s="6">
        <v>15.6</v>
      </c>
      <c r="P383" s="7">
        <v>1.85</v>
      </c>
      <c r="U383" t="s">
        <v>84</v>
      </c>
      <c r="V383" t="s">
        <v>129</v>
      </c>
      <c r="W383">
        <v>2</v>
      </c>
      <c r="X383" t="s">
        <v>84</v>
      </c>
      <c r="Y383" t="s">
        <v>130</v>
      </c>
      <c r="Z383" t="s">
        <v>87</v>
      </c>
      <c r="AA383" t="s">
        <v>101</v>
      </c>
      <c r="AB383" t="s">
        <v>102</v>
      </c>
      <c r="AC383">
        <v>403.5</v>
      </c>
      <c r="AD383" s="8" t="b">
        <f>AND(
 H383&gt;=Filters!$B$3,
 H383&lt;=Filters!$B$4,
 I383&gt;=Filters!$B$5,
 OR(Filters!$B$6="All",B383=Filters!$B$6),
 F383&gt;=Filters!$B$7,
 F383&lt;=Filters!$B$8,
 OR(Filters!$B$9="All",G383=Filters!$B$9)
)</f>
        <v>0</v>
      </c>
      <c r="AE383">
        <f t="shared" si="65"/>
        <v>6</v>
      </c>
      <c r="AF383">
        <f t="shared" si="66"/>
        <v>7</v>
      </c>
      <c r="AG383">
        <f t="shared" si="67"/>
        <v>7</v>
      </c>
      <c r="AH383" s="9" t="str">
        <f t="shared" si="68"/>
        <v/>
      </c>
      <c r="AI383" s="9" t="str">
        <f t="shared" si="69"/>
        <v/>
      </c>
      <c r="AJ383" s="9" t="str">
        <f t="shared" si="70"/>
        <v/>
      </c>
      <c r="AK383" s="9" t="str">
        <f t="shared" si="71"/>
        <v/>
      </c>
      <c r="AL383" s="9" t="str">
        <f t="shared" si="72"/>
        <v/>
      </c>
      <c r="AM383" s="9" t="str">
        <f t="shared" si="73"/>
        <v/>
      </c>
      <c r="AN383" s="9" t="str">
        <f t="shared" si="74"/>
        <v/>
      </c>
      <c r="AO383" s="9" t="str">
        <f t="shared" si="75"/>
        <v/>
      </c>
      <c r="AP383" s="9" t="str">
        <f t="shared" si="76"/>
        <v/>
      </c>
      <c r="AQ383" s="10" t="str">
        <f t="shared" si="77"/>
        <v/>
      </c>
    </row>
    <row r="384" spans="1:43">
      <c r="A384">
        <v>383</v>
      </c>
      <c r="B384" t="s">
        <v>21</v>
      </c>
      <c r="C384" t="s">
        <v>676</v>
      </c>
      <c r="D384" t="s">
        <v>677</v>
      </c>
      <c r="E384" t="s">
        <v>158</v>
      </c>
      <c r="G384" t="s">
        <v>18</v>
      </c>
      <c r="H384" s="4">
        <v>44685000</v>
      </c>
      <c r="I384" s="5">
        <v>128</v>
      </c>
      <c r="J384" s="5">
        <v>1024</v>
      </c>
      <c r="K384" s="5">
        <v>8</v>
      </c>
      <c r="L384">
        <v>9.6</v>
      </c>
      <c r="M384">
        <v>9.1999999999999993</v>
      </c>
      <c r="N384">
        <v>6.32</v>
      </c>
      <c r="O384" s="6">
        <v>15.6</v>
      </c>
      <c r="P384" s="7">
        <v>2.2999999999999998</v>
      </c>
      <c r="U384" t="s">
        <v>84</v>
      </c>
      <c r="V384" t="s">
        <v>210</v>
      </c>
      <c r="W384">
        <v>2.8</v>
      </c>
      <c r="X384" t="s">
        <v>122</v>
      </c>
      <c r="Y384" t="s">
        <v>211</v>
      </c>
      <c r="Z384" t="s">
        <v>161</v>
      </c>
      <c r="AA384" t="s">
        <v>128</v>
      </c>
      <c r="AB384" t="s">
        <v>115</v>
      </c>
      <c r="AC384">
        <v>1655</v>
      </c>
      <c r="AD384" s="8" t="b">
        <f>AND(
 H384&gt;=Filters!$B$3,
 H384&lt;=Filters!$B$4,
 I384&gt;=Filters!$B$5,
 OR(Filters!$B$6="All",B384=Filters!$B$6),
 F384&gt;=Filters!$B$7,
 F384&lt;=Filters!$B$8,
 OR(Filters!$B$9="All",G384=Filters!$B$9)
)</f>
        <v>0</v>
      </c>
      <c r="AE384">
        <f t="shared" si="65"/>
        <v>6</v>
      </c>
      <c r="AF384">
        <f t="shared" si="66"/>
        <v>7</v>
      </c>
      <c r="AG384">
        <f t="shared" si="67"/>
        <v>7</v>
      </c>
      <c r="AH384" s="9" t="str">
        <f t="shared" si="68"/>
        <v/>
      </c>
      <c r="AI384" s="9" t="str">
        <f t="shared" si="69"/>
        <v/>
      </c>
      <c r="AJ384" s="9" t="str">
        <f t="shared" si="70"/>
        <v/>
      </c>
      <c r="AK384" s="9" t="str">
        <f t="shared" si="71"/>
        <v/>
      </c>
      <c r="AL384" s="9" t="str">
        <f t="shared" si="72"/>
        <v/>
      </c>
      <c r="AM384" s="9" t="str">
        <f t="shared" si="73"/>
        <v/>
      </c>
      <c r="AN384" s="9" t="str">
        <f t="shared" si="74"/>
        <v/>
      </c>
      <c r="AO384" s="9" t="str">
        <f t="shared" si="75"/>
        <v/>
      </c>
      <c r="AP384" s="9" t="str">
        <f t="shared" si="76"/>
        <v/>
      </c>
      <c r="AQ384" s="10" t="str">
        <f t="shared" si="77"/>
        <v/>
      </c>
    </row>
    <row r="385" spans="1:43">
      <c r="A385">
        <v>384</v>
      </c>
      <c r="B385" t="s">
        <v>29</v>
      </c>
      <c r="C385" t="s">
        <v>678</v>
      </c>
      <c r="D385" t="s">
        <v>679</v>
      </c>
      <c r="E385" t="s">
        <v>97</v>
      </c>
      <c r="G385" t="s">
        <v>18</v>
      </c>
      <c r="H385" s="4">
        <v>29673000</v>
      </c>
      <c r="I385" s="5">
        <v>256</v>
      </c>
      <c r="J385" s="5">
        <v>0</v>
      </c>
      <c r="K385" s="5">
        <v>8</v>
      </c>
      <c r="L385">
        <v>7</v>
      </c>
      <c r="M385">
        <v>6.5</v>
      </c>
      <c r="N385">
        <v>6.4</v>
      </c>
      <c r="O385" s="6">
        <v>14</v>
      </c>
      <c r="P385" s="7">
        <v>1.5</v>
      </c>
      <c r="U385" t="s">
        <v>84</v>
      </c>
      <c r="V385" t="s">
        <v>98</v>
      </c>
      <c r="W385">
        <v>2.5</v>
      </c>
      <c r="X385" t="s">
        <v>122</v>
      </c>
      <c r="Y385" t="s">
        <v>145</v>
      </c>
      <c r="Z385" t="s">
        <v>100</v>
      </c>
      <c r="AA385" t="s">
        <v>128</v>
      </c>
      <c r="AB385" t="s">
        <v>115</v>
      </c>
      <c r="AC385">
        <v>1099</v>
      </c>
      <c r="AD385" s="8" t="b">
        <f>AND(
 H385&gt;=Filters!$B$3,
 H385&lt;=Filters!$B$4,
 I385&gt;=Filters!$B$5,
 OR(Filters!$B$6="All",B385=Filters!$B$6),
 F385&gt;=Filters!$B$7,
 F385&lt;=Filters!$B$8,
 OR(Filters!$B$9="All",G385=Filters!$B$9)
)</f>
        <v>0</v>
      </c>
      <c r="AE385">
        <f t="shared" si="65"/>
        <v>6</v>
      </c>
      <c r="AF385">
        <f t="shared" si="66"/>
        <v>7</v>
      </c>
      <c r="AG385">
        <f t="shared" si="67"/>
        <v>7</v>
      </c>
      <c r="AH385" s="9" t="str">
        <f t="shared" si="68"/>
        <v/>
      </c>
      <c r="AI385" s="9" t="str">
        <f t="shared" si="69"/>
        <v/>
      </c>
      <c r="AJ385" s="9" t="str">
        <f t="shared" si="70"/>
        <v/>
      </c>
      <c r="AK385" s="9" t="str">
        <f t="shared" si="71"/>
        <v/>
      </c>
      <c r="AL385" s="9" t="str">
        <f t="shared" si="72"/>
        <v/>
      </c>
      <c r="AM385" s="9" t="str">
        <f t="shared" si="73"/>
        <v/>
      </c>
      <c r="AN385" s="9" t="str">
        <f t="shared" si="74"/>
        <v/>
      </c>
      <c r="AO385" s="9" t="str">
        <f t="shared" si="75"/>
        <v/>
      </c>
      <c r="AP385" s="9" t="str">
        <f t="shared" si="76"/>
        <v/>
      </c>
      <c r="AQ385" s="10" t="str">
        <f t="shared" si="77"/>
        <v/>
      </c>
    </row>
    <row r="386" spans="1:43">
      <c r="A386">
        <v>385</v>
      </c>
      <c r="B386" t="s">
        <v>21</v>
      </c>
      <c r="C386" t="s">
        <v>680</v>
      </c>
      <c r="D386" t="s">
        <v>681</v>
      </c>
      <c r="E386" t="s">
        <v>83</v>
      </c>
      <c r="G386" t="s">
        <v>18</v>
      </c>
      <c r="H386" s="4">
        <v>47220300</v>
      </c>
      <c r="I386" s="5">
        <v>512</v>
      </c>
      <c r="J386" s="5">
        <v>0</v>
      </c>
      <c r="K386" s="5">
        <v>16</v>
      </c>
      <c r="L386">
        <v>9.4</v>
      </c>
      <c r="M386">
        <v>3.5</v>
      </c>
      <c r="N386">
        <v>6.26</v>
      </c>
      <c r="O386" s="6">
        <v>13.3</v>
      </c>
      <c r="P386" s="7">
        <v>1.1000000000000001</v>
      </c>
      <c r="U386" t="s">
        <v>84</v>
      </c>
      <c r="V386" t="s">
        <v>140</v>
      </c>
      <c r="W386">
        <v>2.7</v>
      </c>
      <c r="X386" t="s">
        <v>84</v>
      </c>
      <c r="Y386" t="s">
        <v>99</v>
      </c>
      <c r="Z386" t="s">
        <v>106</v>
      </c>
      <c r="AA386" t="s">
        <v>169</v>
      </c>
      <c r="AB386" t="s">
        <v>115</v>
      </c>
      <c r="AC386">
        <v>1748.9</v>
      </c>
      <c r="AD386" s="8" t="b">
        <f>AND(
 H386&gt;=Filters!$B$3,
 H386&lt;=Filters!$B$4,
 I386&gt;=Filters!$B$5,
 OR(Filters!$B$6="All",B386=Filters!$B$6),
 F386&gt;=Filters!$B$7,
 F386&lt;=Filters!$B$8,
 OR(Filters!$B$9="All",G386=Filters!$B$9)
)</f>
        <v>0</v>
      </c>
      <c r="AE386">
        <f t="shared" ref="AE386:AE449" si="78">IF(Q386="",6,Q386)</f>
        <v>6</v>
      </c>
      <c r="AF386">
        <f t="shared" ref="AF386:AF449" si="79">IF(R386="",7,R386)</f>
        <v>7</v>
      </c>
      <c r="AG386">
        <f t="shared" ref="AG386:AG449" si="80">IF(S386="",7,S386)</f>
        <v>7</v>
      </c>
      <c r="AH386" s="9" t="str">
        <f t="shared" ref="AH386:AH449" si="81">IF(AD386,IF(CPU_MAX=CPU_MIN,1,(L386-CPU_MIN)/(CPU_MAX-CPU_MIN)),"")</f>
        <v/>
      </c>
      <c r="AI386" s="9" t="str">
        <f t="shared" ref="AI386:AI449" si="82">IF(AD386,IF(RAM_MAX=RAM_MIN,1,(K386-RAM_MIN)/(RAM_MAX-RAM_MIN)),"")</f>
        <v/>
      </c>
      <c r="AJ386" s="9" t="str">
        <f t="shared" ref="AJ386:AJ449" si="83">IF(AD386,IF(GPU_MAX=GPU_MIN,1,(M386-GPU_MIN)/(GPU_MAX-GPU_MIN)),"")</f>
        <v/>
      </c>
      <c r="AK386" s="9" t="str">
        <f t="shared" ref="AK386:AK449" si="84">IF(AD386,IF(SCREEN_MAX=SCREEN_MIN,1,(N386-SCREEN_MIN)/(SCREEN_MAX-SCREEN_MIN)),"")</f>
        <v/>
      </c>
      <c r="AL386" s="9" t="str">
        <f t="shared" ref="AL386:AL449" si="85">IF(AD386,IF(WEIGHT_MAX=WEIGHT_MIN,1,(WEIGHT_MAX-P386)/(WEIGHT_MAX-WEIGHT_MIN)),"")</f>
        <v/>
      </c>
      <c r="AM386" s="9" t="str">
        <f t="shared" ref="AM386:AM449" si="86">IF(AD386,IF(BATTERY_MAX=BATTERY_MIN,1,(AE386-BATTERY_MIN)/(BATTERY_MAX-BATTERY_MIN)),"")</f>
        <v/>
      </c>
      <c r="AN386" s="9" t="str">
        <f t="shared" ref="AN386:AN449" si="87">IF(AD386,IF(DURABILITY_MAX=DURABILITY_MIN,1,(AF386-DURABILITY_MIN)/(DURABILITY_MAX-DURABILITY_MIN)),"")</f>
        <v/>
      </c>
      <c r="AO386" s="9" t="str">
        <f t="shared" ref="AO386:AO449" si="88">IF(AD386,IF(UPGRADE_MAX=UPGRADE_MIN,1,(AG386-UPGRADE_MIN)/(UPGRADE_MAX-UPGRADE_MIN)),"")</f>
        <v/>
      </c>
      <c r="AP386" s="9" t="str">
        <f t="shared" ref="AP386:AP449" si="89">IF(AD386,W_CPU*AH386+W_RAM*AI386+W_GPU*AJ386+W_SCREEN*AK386+W_WEIGHT*AL386+W_BATTERY*AM386+W_DURABILITY*AN386+W_UPGRADE*AO386,"" )</f>
        <v/>
      </c>
      <c r="AQ386" s="10" t="str">
        <f t="shared" ref="AQ386:AQ449" si="90">IF(AP386="","",AP386+ROW()*0.000000001)</f>
        <v/>
      </c>
    </row>
    <row r="387" spans="1:43">
      <c r="A387">
        <v>386</v>
      </c>
      <c r="B387" t="s">
        <v>29</v>
      </c>
      <c r="C387" t="s">
        <v>682</v>
      </c>
      <c r="D387" t="s">
        <v>683</v>
      </c>
      <c r="E387" t="s">
        <v>83</v>
      </c>
      <c r="G387" t="s">
        <v>18</v>
      </c>
      <c r="H387" s="4">
        <v>61614000</v>
      </c>
      <c r="I387" s="5">
        <v>512</v>
      </c>
      <c r="J387" s="5">
        <v>0</v>
      </c>
      <c r="K387" s="5">
        <v>8</v>
      </c>
      <c r="L387">
        <v>9.4</v>
      </c>
      <c r="M387">
        <v>3.5</v>
      </c>
      <c r="N387">
        <v>7.4</v>
      </c>
      <c r="O387" s="6">
        <v>14</v>
      </c>
      <c r="P387" s="7">
        <v>1.1299999999999999</v>
      </c>
      <c r="U387" t="s">
        <v>84</v>
      </c>
      <c r="V387" t="s">
        <v>140</v>
      </c>
      <c r="W387">
        <v>2.7</v>
      </c>
      <c r="X387" t="s">
        <v>84</v>
      </c>
      <c r="Y387" t="s">
        <v>99</v>
      </c>
      <c r="Z387" t="s">
        <v>106</v>
      </c>
      <c r="AA387" t="s">
        <v>684</v>
      </c>
      <c r="AB387" t="s">
        <v>115</v>
      </c>
      <c r="AC387">
        <v>2282</v>
      </c>
      <c r="AD387" s="8" t="b">
        <f>AND(
 H387&gt;=Filters!$B$3,
 H387&lt;=Filters!$B$4,
 I387&gt;=Filters!$B$5,
 OR(Filters!$B$6="All",B387=Filters!$B$6),
 F387&gt;=Filters!$B$7,
 F387&lt;=Filters!$B$8,
 OR(Filters!$B$9="All",G387=Filters!$B$9)
)</f>
        <v>0</v>
      </c>
      <c r="AE387">
        <f t="shared" si="78"/>
        <v>6</v>
      </c>
      <c r="AF387">
        <f t="shared" si="79"/>
        <v>7</v>
      </c>
      <c r="AG387">
        <f t="shared" si="80"/>
        <v>7</v>
      </c>
      <c r="AH387" s="9" t="str">
        <f t="shared" si="81"/>
        <v/>
      </c>
      <c r="AI387" s="9" t="str">
        <f t="shared" si="82"/>
        <v/>
      </c>
      <c r="AJ387" s="9" t="str">
        <f t="shared" si="83"/>
        <v/>
      </c>
      <c r="AK387" s="9" t="str">
        <f t="shared" si="84"/>
        <v/>
      </c>
      <c r="AL387" s="9" t="str">
        <f t="shared" si="85"/>
        <v/>
      </c>
      <c r="AM387" s="9" t="str">
        <f t="shared" si="86"/>
        <v/>
      </c>
      <c r="AN387" s="9" t="str">
        <f t="shared" si="87"/>
        <v/>
      </c>
      <c r="AO387" s="9" t="str">
        <f t="shared" si="88"/>
        <v/>
      </c>
      <c r="AP387" s="9" t="str">
        <f t="shared" si="89"/>
        <v/>
      </c>
      <c r="AQ387" s="10" t="str">
        <f t="shared" si="90"/>
        <v/>
      </c>
    </row>
    <row r="388" spans="1:43">
      <c r="A388">
        <v>387</v>
      </c>
      <c r="B388" t="s">
        <v>29</v>
      </c>
      <c r="C388" t="s">
        <v>685</v>
      </c>
      <c r="D388" t="s">
        <v>686</v>
      </c>
      <c r="E388" t="s">
        <v>97</v>
      </c>
      <c r="G388" t="s">
        <v>18</v>
      </c>
      <c r="H388" s="4">
        <v>14823000</v>
      </c>
      <c r="I388" s="5">
        <v>128</v>
      </c>
      <c r="J388" s="5">
        <v>0</v>
      </c>
      <c r="K388" s="5">
        <v>4</v>
      </c>
      <c r="L388">
        <v>4.8</v>
      </c>
      <c r="M388">
        <v>3.5</v>
      </c>
      <c r="N388">
        <v>6.37</v>
      </c>
      <c r="O388" s="6">
        <v>13.3</v>
      </c>
      <c r="P388" s="7">
        <v>1.5</v>
      </c>
      <c r="U388" t="s">
        <v>84</v>
      </c>
      <c r="V388" t="s">
        <v>144</v>
      </c>
      <c r="W388">
        <v>2.4</v>
      </c>
      <c r="X388" t="s">
        <v>84</v>
      </c>
      <c r="Y388" t="s">
        <v>99</v>
      </c>
      <c r="Z388" t="s">
        <v>87</v>
      </c>
      <c r="AA388" t="s">
        <v>128</v>
      </c>
      <c r="AB388" t="s">
        <v>115</v>
      </c>
      <c r="AC388">
        <v>549</v>
      </c>
      <c r="AD388" s="8" t="b">
        <f>AND(
 H388&gt;=Filters!$B$3,
 H388&lt;=Filters!$B$4,
 I388&gt;=Filters!$B$5,
 OR(Filters!$B$6="All",B388=Filters!$B$6),
 F388&gt;=Filters!$B$7,
 F388&lt;=Filters!$B$8,
 OR(Filters!$B$9="All",G388=Filters!$B$9)
)</f>
        <v>0</v>
      </c>
      <c r="AE388">
        <f t="shared" si="78"/>
        <v>6</v>
      </c>
      <c r="AF388">
        <f t="shared" si="79"/>
        <v>7</v>
      </c>
      <c r="AG388">
        <f t="shared" si="80"/>
        <v>7</v>
      </c>
      <c r="AH388" s="9" t="str">
        <f t="shared" si="81"/>
        <v/>
      </c>
      <c r="AI388" s="9" t="str">
        <f t="shared" si="82"/>
        <v/>
      </c>
      <c r="AJ388" s="9" t="str">
        <f t="shared" si="83"/>
        <v/>
      </c>
      <c r="AK388" s="9" t="str">
        <f t="shared" si="84"/>
        <v/>
      </c>
      <c r="AL388" s="9" t="str">
        <f t="shared" si="85"/>
        <v/>
      </c>
      <c r="AM388" s="9" t="str">
        <f t="shared" si="86"/>
        <v/>
      </c>
      <c r="AN388" s="9" t="str">
        <f t="shared" si="87"/>
        <v/>
      </c>
      <c r="AO388" s="9" t="str">
        <f t="shared" si="88"/>
        <v/>
      </c>
      <c r="AP388" s="9" t="str">
        <f t="shared" si="89"/>
        <v/>
      </c>
      <c r="AQ388" s="10" t="str">
        <f t="shared" si="90"/>
        <v/>
      </c>
    </row>
    <row r="389" spans="1:43">
      <c r="A389">
        <v>388</v>
      </c>
      <c r="B389" t="s">
        <v>23</v>
      </c>
      <c r="C389" t="s">
        <v>687</v>
      </c>
      <c r="D389" t="s">
        <v>688</v>
      </c>
      <c r="E389" t="s">
        <v>468</v>
      </c>
      <c r="G389" t="s">
        <v>18</v>
      </c>
      <c r="H389" s="4">
        <v>36963000</v>
      </c>
      <c r="I389" s="5">
        <v>0</v>
      </c>
      <c r="J389" s="5">
        <v>500</v>
      </c>
      <c r="K389" s="5">
        <v>8</v>
      </c>
      <c r="L389">
        <v>7.2</v>
      </c>
      <c r="M389">
        <v>6.5</v>
      </c>
      <c r="N389">
        <v>5.92</v>
      </c>
      <c r="O389" s="6">
        <v>15.6</v>
      </c>
      <c r="P389" s="7">
        <v>2.23</v>
      </c>
      <c r="U389" t="s">
        <v>84</v>
      </c>
      <c r="V389" t="s">
        <v>689</v>
      </c>
      <c r="W389">
        <v>2.6</v>
      </c>
      <c r="X389" t="s">
        <v>104</v>
      </c>
      <c r="Y389" t="s">
        <v>690</v>
      </c>
      <c r="Z389" t="s">
        <v>113</v>
      </c>
      <c r="AA389" t="s">
        <v>101</v>
      </c>
      <c r="AB389" t="s">
        <v>115</v>
      </c>
      <c r="AC389">
        <v>1369</v>
      </c>
      <c r="AD389" s="8" t="b">
        <f>AND(
 H389&gt;=Filters!$B$3,
 H389&lt;=Filters!$B$4,
 I389&gt;=Filters!$B$5,
 OR(Filters!$B$6="All",B389=Filters!$B$6),
 F389&gt;=Filters!$B$7,
 F389&lt;=Filters!$B$8,
 OR(Filters!$B$9="All",G389=Filters!$B$9)
)</f>
        <v>0</v>
      </c>
      <c r="AE389">
        <f t="shared" si="78"/>
        <v>6</v>
      </c>
      <c r="AF389">
        <f t="shared" si="79"/>
        <v>7</v>
      </c>
      <c r="AG389">
        <f t="shared" si="80"/>
        <v>7</v>
      </c>
      <c r="AH389" s="9" t="str">
        <f t="shared" si="81"/>
        <v/>
      </c>
      <c r="AI389" s="9" t="str">
        <f t="shared" si="82"/>
        <v/>
      </c>
      <c r="AJ389" s="9" t="str">
        <f t="shared" si="83"/>
        <v/>
      </c>
      <c r="AK389" s="9" t="str">
        <f t="shared" si="84"/>
        <v/>
      </c>
      <c r="AL389" s="9" t="str">
        <f t="shared" si="85"/>
        <v/>
      </c>
      <c r="AM389" s="9" t="str">
        <f t="shared" si="86"/>
        <v/>
      </c>
      <c r="AN389" s="9" t="str">
        <f t="shared" si="87"/>
        <v/>
      </c>
      <c r="AO389" s="9" t="str">
        <f t="shared" si="88"/>
        <v/>
      </c>
      <c r="AP389" s="9" t="str">
        <f t="shared" si="89"/>
        <v/>
      </c>
      <c r="AQ389" s="10" t="str">
        <f t="shared" si="90"/>
        <v/>
      </c>
    </row>
    <row r="390" spans="1:43">
      <c r="A390">
        <v>389</v>
      </c>
      <c r="B390" t="s">
        <v>23</v>
      </c>
      <c r="C390" t="s">
        <v>691</v>
      </c>
      <c r="D390" t="s">
        <v>692</v>
      </c>
      <c r="E390" t="s">
        <v>468</v>
      </c>
      <c r="G390" t="s">
        <v>18</v>
      </c>
      <c r="H390" s="4">
        <v>57645000</v>
      </c>
      <c r="I390" s="5">
        <v>256</v>
      </c>
      <c r="J390" s="5">
        <v>0</v>
      </c>
      <c r="K390" s="5">
        <v>8</v>
      </c>
      <c r="L390">
        <v>9.4</v>
      </c>
      <c r="M390">
        <v>8</v>
      </c>
      <c r="N390">
        <v>6.32</v>
      </c>
      <c r="O390" s="6">
        <v>15.6</v>
      </c>
      <c r="P390" s="7">
        <v>2</v>
      </c>
      <c r="U390" t="s">
        <v>84</v>
      </c>
      <c r="V390" t="s">
        <v>693</v>
      </c>
      <c r="W390">
        <v>2.7</v>
      </c>
      <c r="X390" t="s">
        <v>122</v>
      </c>
      <c r="Y390" t="s">
        <v>470</v>
      </c>
      <c r="Z390" t="s">
        <v>100</v>
      </c>
      <c r="AA390" t="s">
        <v>128</v>
      </c>
      <c r="AB390" t="s">
        <v>115</v>
      </c>
      <c r="AC390">
        <v>2135</v>
      </c>
      <c r="AD390" s="8" t="b">
        <f>AND(
 H390&gt;=Filters!$B$3,
 H390&lt;=Filters!$B$4,
 I390&gt;=Filters!$B$5,
 OR(Filters!$B$6="All",B390=Filters!$B$6),
 F390&gt;=Filters!$B$7,
 F390&lt;=Filters!$B$8,
 OR(Filters!$B$9="All",G390=Filters!$B$9)
)</f>
        <v>0</v>
      </c>
      <c r="AE390">
        <f t="shared" si="78"/>
        <v>6</v>
      </c>
      <c r="AF390">
        <f t="shared" si="79"/>
        <v>7</v>
      </c>
      <c r="AG390">
        <f t="shared" si="80"/>
        <v>7</v>
      </c>
      <c r="AH390" s="9" t="str">
        <f t="shared" si="81"/>
        <v/>
      </c>
      <c r="AI390" s="9" t="str">
        <f t="shared" si="82"/>
        <v/>
      </c>
      <c r="AJ390" s="9" t="str">
        <f t="shared" si="83"/>
        <v/>
      </c>
      <c r="AK390" s="9" t="str">
        <f t="shared" si="84"/>
        <v/>
      </c>
      <c r="AL390" s="9" t="str">
        <f t="shared" si="85"/>
        <v/>
      </c>
      <c r="AM390" s="9" t="str">
        <f t="shared" si="86"/>
        <v/>
      </c>
      <c r="AN390" s="9" t="str">
        <f t="shared" si="87"/>
        <v/>
      </c>
      <c r="AO390" s="9" t="str">
        <f t="shared" si="88"/>
        <v/>
      </c>
      <c r="AP390" s="9" t="str">
        <f t="shared" si="89"/>
        <v/>
      </c>
      <c r="AQ390" s="10" t="str">
        <f t="shared" si="90"/>
        <v/>
      </c>
    </row>
    <row r="391" spans="1:43">
      <c r="A391">
        <v>390</v>
      </c>
      <c r="B391" t="s">
        <v>29</v>
      </c>
      <c r="C391" t="s">
        <v>546</v>
      </c>
      <c r="D391" t="s">
        <v>547</v>
      </c>
      <c r="E391" t="s">
        <v>168</v>
      </c>
      <c r="G391" t="s">
        <v>18</v>
      </c>
      <c r="H391" s="4">
        <v>67743000</v>
      </c>
      <c r="I391" s="5">
        <v>512</v>
      </c>
      <c r="J391" s="5">
        <v>0</v>
      </c>
      <c r="K391" s="5">
        <v>16</v>
      </c>
      <c r="L391">
        <v>9.4</v>
      </c>
      <c r="M391">
        <v>3.5</v>
      </c>
      <c r="N391">
        <v>7.3</v>
      </c>
      <c r="O391" s="6">
        <v>14</v>
      </c>
      <c r="P391" s="7">
        <v>1.42</v>
      </c>
      <c r="U391" t="s">
        <v>84</v>
      </c>
      <c r="V391" t="s">
        <v>140</v>
      </c>
      <c r="W391">
        <v>2.7</v>
      </c>
      <c r="X391" t="s">
        <v>84</v>
      </c>
      <c r="Y391" t="s">
        <v>99</v>
      </c>
      <c r="Z391" t="s">
        <v>106</v>
      </c>
      <c r="AA391" t="s">
        <v>446</v>
      </c>
      <c r="AB391" t="s">
        <v>115</v>
      </c>
      <c r="AC391">
        <v>2509</v>
      </c>
      <c r="AD391" s="8" t="b">
        <f>AND(
 H391&gt;=Filters!$B$3,
 H391&lt;=Filters!$B$4,
 I391&gt;=Filters!$B$5,
 OR(Filters!$B$6="All",B391=Filters!$B$6),
 F391&gt;=Filters!$B$7,
 F391&lt;=Filters!$B$8,
 OR(Filters!$B$9="All",G391=Filters!$B$9)
)</f>
        <v>0</v>
      </c>
      <c r="AE391">
        <f t="shared" si="78"/>
        <v>6</v>
      </c>
      <c r="AF391">
        <f t="shared" si="79"/>
        <v>7</v>
      </c>
      <c r="AG391">
        <f t="shared" si="80"/>
        <v>7</v>
      </c>
      <c r="AH391" s="9" t="str">
        <f t="shared" si="81"/>
        <v/>
      </c>
      <c r="AI391" s="9" t="str">
        <f t="shared" si="82"/>
        <v/>
      </c>
      <c r="AJ391" s="9" t="str">
        <f t="shared" si="83"/>
        <v/>
      </c>
      <c r="AK391" s="9" t="str">
        <f t="shared" si="84"/>
        <v/>
      </c>
      <c r="AL391" s="9" t="str">
        <f t="shared" si="85"/>
        <v/>
      </c>
      <c r="AM391" s="9" t="str">
        <f t="shared" si="86"/>
        <v/>
      </c>
      <c r="AN391" s="9" t="str">
        <f t="shared" si="87"/>
        <v/>
      </c>
      <c r="AO391" s="9" t="str">
        <f t="shared" si="88"/>
        <v/>
      </c>
      <c r="AP391" s="9" t="str">
        <f t="shared" si="89"/>
        <v/>
      </c>
      <c r="AQ391" s="10" t="str">
        <f t="shared" si="90"/>
        <v/>
      </c>
    </row>
    <row r="392" spans="1:43">
      <c r="A392">
        <v>391</v>
      </c>
      <c r="B392" t="s">
        <v>21</v>
      </c>
      <c r="C392" t="s">
        <v>694</v>
      </c>
      <c r="D392" t="s">
        <v>695</v>
      </c>
      <c r="E392" t="s">
        <v>158</v>
      </c>
      <c r="G392" t="s">
        <v>18</v>
      </c>
      <c r="H392" s="4">
        <v>28053000</v>
      </c>
      <c r="I392" s="5">
        <v>0</v>
      </c>
      <c r="J392" s="5">
        <v>1024</v>
      </c>
      <c r="K392" s="5">
        <v>8</v>
      </c>
      <c r="L392">
        <v>9.6</v>
      </c>
      <c r="M392">
        <v>9.1999999999999993</v>
      </c>
      <c r="N392">
        <v>5.83</v>
      </c>
      <c r="O392" s="6">
        <v>17.3</v>
      </c>
      <c r="P392" s="7">
        <v>3</v>
      </c>
      <c r="U392" t="s">
        <v>84</v>
      </c>
      <c r="V392" t="s">
        <v>210</v>
      </c>
      <c r="W392">
        <v>2.8</v>
      </c>
      <c r="X392" t="s">
        <v>122</v>
      </c>
      <c r="Y392" t="s">
        <v>160</v>
      </c>
      <c r="Z392" t="s">
        <v>146</v>
      </c>
      <c r="AA392" t="s">
        <v>101</v>
      </c>
      <c r="AB392" t="s">
        <v>115</v>
      </c>
      <c r="AC392">
        <v>1039</v>
      </c>
      <c r="AD392" s="8" t="b">
        <f>AND(
 H392&gt;=Filters!$B$3,
 H392&lt;=Filters!$B$4,
 I392&gt;=Filters!$B$5,
 OR(Filters!$B$6="All",B392=Filters!$B$6),
 F392&gt;=Filters!$B$7,
 F392&lt;=Filters!$B$8,
 OR(Filters!$B$9="All",G392=Filters!$B$9)
)</f>
        <v>0</v>
      </c>
      <c r="AE392">
        <f t="shared" si="78"/>
        <v>6</v>
      </c>
      <c r="AF392">
        <f t="shared" si="79"/>
        <v>7</v>
      </c>
      <c r="AG392">
        <f t="shared" si="80"/>
        <v>7</v>
      </c>
      <c r="AH392" s="9" t="str">
        <f t="shared" si="81"/>
        <v/>
      </c>
      <c r="AI392" s="9" t="str">
        <f t="shared" si="82"/>
        <v/>
      </c>
      <c r="AJ392" s="9" t="str">
        <f t="shared" si="83"/>
        <v/>
      </c>
      <c r="AK392" s="9" t="str">
        <f t="shared" si="84"/>
        <v/>
      </c>
      <c r="AL392" s="9" t="str">
        <f t="shared" si="85"/>
        <v/>
      </c>
      <c r="AM392" s="9" t="str">
        <f t="shared" si="86"/>
        <v/>
      </c>
      <c r="AN392" s="9" t="str">
        <f t="shared" si="87"/>
        <v/>
      </c>
      <c r="AO392" s="9" t="str">
        <f t="shared" si="88"/>
        <v/>
      </c>
      <c r="AP392" s="9" t="str">
        <f t="shared" si="89"/>
        <v/>
      </c>
      <c r="AQ392" s="10" t="str">
        <f t="shared" si="90"/>
        <v/>
      </c>
    </row>
    <row r="393" spans="1:43">
      <c r="A393">
        <v>392</v>
      </c>
      <c r="B393" t="s">
        <v>21</v>
      </c>
      <c r="C393" t="s">
        <v>696</v>
      </c>
      <c r="D393" t="s">
        <v>697</v>
      </c>
      <c r="E393" t="s">
        <v>158</v>
      </c>
      <c r="G393" t="s">
        <v>18</v>
      </c>
      <c r="H393" s="4">
        <v>42957000</v>
      </c>
      <c r="I393" s="5">
        <v>256</v>
      </c>
      <c r="J393" s="5">
        <v>1024</v>
      </c>
      <c r="K393" s="5">
        <v>16</v>
      </c>
      <c r="L393">
        <v>9.6</v>
      </c>
      <c r="M393">
        <v>9.1999999999999993</v>
      </c>
      <c r="N393">
        <v>5.83</v>
      </c>
      <c r="O393" s="6">
        <v>17.3</v>
      </c>
      <c r="P393" s="7">
        <v>3</v>
      </c>
      <c r="U393" t="s">
        <v>84</v>
      </c>
      <c r="V393" t="s">
        <v>210</v>
      </c>
      <c r="W393">
        <v>2.8</v>
      </c>
      <c r="X393" t="s">
        <v>122</v>
      </c>
      <c r="Y393" t="s">
        <v>260</v>
      </c>
      <c r="Z393" t="s">
        <v>212</v>
      </c>
      <c r="AA393" t="s">
        <v>101</v>
      </c>
      <c r="AB393" t="s">
        <v>115</v>
      </c>
      <c r="AC393">
        <v>1591</v>
      </c>
      <c r="AD393" s="8" t="b">
        <f>AND(
 H393&gt;=Filters!$B$3,
 H393&lt;=Filters!$B$4,
 I393&gt;=Filters!$B$5,
 OR(Filters!$B$6="All",B393=Filters!$B$6),
 F393&gt;=Filters!$B$7,
 F393&lt;=Filters!$B$8,
 OR(Filters!$B$9="All",G393=Filters!$B$9)
)</f>
        <v>0</v>
      </c>
      <c r="AE393">
        <f t="shared" si="78"/>
        <v>6</v>
      </c>
      <c r="AF393">
        <f t="shared" si="79"/>
        <v>7</v>
      </c>
      <c r="AG393">
        <f t="shared" si="80"/>
        <v>7</v>
      </c>
      <c r="AH393" s="9" t="str">
        <f t="shared" si="81"/>
        <v/>
      </c>
      <c r="AI393" s="9" t="str">
        <f t="shared" si="82"/>
        <v/>
      </c>
      <c r="AJ393" s="9" t="str">
        <f t="shared" si="83"/>
        <v/>
      </c>
      <c r="AK393" s="9" t="str">
        <f t="shared" si="84"/>
        <v/>
      </c>
      <c r="AL393" s="9" t="str">
        <f t="shared" si="85"/>
        <v/>
      </c>
      <c r="AM393" s="9" t="str">
        <f t="shared" si="86"/>
        <v/>
      </c>
      <c r="AN393" s="9" t="str">
        <f t="shared" si="87"/>
        <v/>
      </c>
      <c r="AO393" s="9" t="str">
        <f t="shared" si="88"/>
        <v/>
      </c>
      <c r="AP393" s="9" t="str">
        <f t="shared" si="89"/>
        <v/>
      </c>
      <c r="AQ393" s="10" t="str">
        <f t="shared" si="90"/>
        <v/>
      </c>
    </row>
    <row r="394" spans="1:43">
      <c r="A394">
        <v>393</v>
      </c>
      <c r="B394" t="s">
        <v>17</v>
      </c>
      <c r="C394" t="s">
        <v>301</v>
      </c>
      <c r="D394" t="s">
        <v>302</v>
      </c>
      <c r="E394" t="s">
        <v>97</v>
      </c>
      <c r="G394" t="s">
        <v>18</v>
      </c>
      <c r="H394" s="4">
        <v>18737730</v>
      </c>
      <c r="I394" s="5">
        <v>0</v>
      </c>
      <c r="J394" s="5">
        <v>1024</v>
      </c>
      <c r="K394" s="5">
        <v>12</v>
      </c>
      <c r="L394">
        <v>5.2</v>
      </c>
      <c r="M394">
        <v>6.5</v>
      </c>
      <c r="N394">
        <v>4.32</v>
      </c>
      <c r="O394" s="6">
        <v>15.6</v>
      </c>
      <c r="P394" s="7">
        <v>2.2000000000000002</v>
      </c>
      <c r="U394" t="s">
        <v>84</v>
      </c>
      <c r="V394" t="s">
        <v>126</v>
      </c>
      <c r="W394">
        <v>1.6</v>
      </c>
      <c r="X394" t="s">
        <v>122</v>
      </c>
      <c r="Y394" t="s">
        <v>286</v>
      </c>
      <c r="Z394" t="s">
        <v>146</v>
      </c>
      <c r="AA394" t="s">
        <v>338</v>
      </c>
      <c r="AB394" t="s">
        <v>115</v>
      </c>
      <c r="AC394">
        <v>693.99</v>
      </c>
      <c r="AD394" s="8" t="b">
        <f>AND(
 H394&gt;=Filters!$B$3,
 H394&lt;=Filters!$B$4,
 I394&gt;=Filters!$B$5,
 OR(Filters!$B$6="All",B394=Filters!$B$6),
 F394&gt;=Filters!$B$7,
 F394&lt;=Filters!$B$8,
 OR(Filters!$B$9="All",G394=Filters!$B$9)
)</f>
        <v>0</v>
      </c>
      <c r="AE394">
        <f t="shared" si="78"/>
        <v>6</v>
      </c>
      <c r="AF394">
        <f t="shared" si="79"/>
        <v>7</v>
      </c>
      <c r="AG394">
        <f t="shared" si="80"/>
        <v>7</v>
      </c>
      <c r="AH394" s="9" t="str">
        <f t="shared" si="81"/>
        <v/>
      </c>
      <c r="AI394" s="9" t="str">
        <f t="shared" si="82"/>
        <v/>
      </c>
      <c r="AJ394" s="9" t="str">
        <f t="shared" si="83"/>
        <v/>
      </c>
      <c r="AK394" s="9" t="str">
        <f t="shared" si="84"/>
        <v/>
      </c>
      <c r="AL394" s="9" t="str">
        <f t="shared" si="85"/>
        <v/>
      </c>
      <c r="AM394" s="9" t="str">
        <f t="shared" si="86"/>
        <v/>
      </c>
      <c r="AN394" s="9" t="str">
        <f t="shared" si="87"/>
        <v/>
      </c>
      <c r="AO394" s="9" t="str">
        <f t="shared" si="88"/>
        <v/>
      </c>
      <c r="AP394" s="9" t="str">
        <f t="shared" si="89"/>
        <v/>
      </c>
      <c r="AQ394" s="10" t="str">
        <f t="shared" si="90"/>
        <v/>
      </c>
    </row>
    <row r="395" spans="1:43">
      <c r="A395">
        <v>394</v>
      </c>
      <c r="B395" t="s">
        <v>30</v>
      </c>
      <c r="C395" t="s">
        <v>698</v>
      </c>
      <c r="D395" t="s">
        <v>699</v>
      </c>
      <c r="E395" t="s">
        <v>158</v>
      </c>
      <c r="G395" t="s">
        <v>18</v>
      </c>
      <c r="H395" s="4">
        <v>36423000</v>
      </c>
      <c r="I395" s="5">
        <v>256</v>
      </c>
      <c r="J395" s="5">
        <v>0</v>
      </c>
      <c r="K395" s="5">
        <v>8</v>
      </c>
      <c r="L395">
        <v>9.6</v>
      </c>
      <c r="M395">
        <v>9.1999999999999993</v>
      </c>
      <c r="N395">
        <v>5.83</v>
      </c>
      <c r="O395" s="6">
        <v>17.3</v>
      </c>
      <c r="P395" s="7">
        <v>2.7</v>
      </c>
      <c r="U395" t="s">
        <v>84</v>
      </c>
      <c r="V395" t="s">
        <v>210</v>
      </c>
      <c r="W395">
        <v>2.8</v>
      </c>
      <c r="X395" t="s">
        <v>122</v>
      </c>
      <c r="Y395" t="s">
        <v>260</v>
      </c>
      <c r="Z395" t="s">
        <v>100</v>
      </c>
      <c r="AA395" t="s">
        <v>101</v>
      </c>
      <c r="AB395" t="s">
        <v>115</v>
      </c>
      <c r="AC395">
        <v>1349</v>
      </c>
      <c r="AD395" s="8" t="b">
        <f>AND(
 H395&gt;=Filters!$B$3,
 H395&lt;=Filters!$B$4,
 I395&gt;=Filters!$B$5,
 OR(Filters!$B$6="All",B395=Filters!$B$6),
 F395&gt;=Filters!$B$7,
 F395&lt;=Filters!$B$8,
 OR(Filters!$B$9="All",G395=Filters!$B$9)
)</f>
        <v>0</v>
      </c>
      <c r="AE395">
        <f t="shared" si="78"/>
        <v>6</v>
      </c>
      <c r="AF395">
        <f t="shared" si="79"/>
        <v>7</v>
      </c>
      <c r="AG395">
        <f t="shared" si="80"/>
        <v>7</v>
      </c>
      <c r="AH395" s="9" t="str">
        <f t="shared" si="81"/>
        <v/>
      </c>
      <c r="AI395" s="9" t="str">
        <f t="shared" si="82"/>
        <v/>
      </c>
      <c r="AJ395" s="9" t="str">
        <f t="shared" si="83"/>
        <v/>
      </c>
      <c r="AK395" s="9" t="str">
        <f t="shared" si="84"/>
        <v/>
      </c>
      <c r="AL395" s="9" t="str">
        <f t="shared" si="85"/>
        <v/>
      </c>
      <c r="AM395" s="9" t="str">
        <f t="shared" si="86"/>
        <v/>
      </c>
      <c r="AN395" s="9" t="str">
        <f t="shared" si="87"/>
        <v/>
      </c>
      <c r="AO395" s="9" t="str">
        <f t="shared" si="88"/>
        <v/>
      </c>
      <c r="AP395" s="9" t="str">
        <f t="shared" si="89"/>
        <v/>
      </c>
      <c r="AQ395" s="10" t="str">
        <f t="shared" si="90"/>
        <v/>
      </c>
    </row>
    <row r="396" spans="1:43">
      <c r="A396">
        <v>395</v>
      </c>
      <c r="B396" t="s">
        <v>23</v>
      </c>
      <c r="C396" t="s">
        <v>356</v>
      </c>
      <c r="D396" t="s">
        <v>357</v>
      </c>
      <c r="E396" t="s">
        <v>97</v>
      </c>
      <c r="G396" t="s">
        <v>18</v>
      </c>
      <c r="H396" s="4">
        <v>21029490</v>
      </c>
      <c r="I396" s="5">
        <v>256</v>
      </c>
      <c r="J396" s="5">
        <v>0</v>
      </c>
      <c r="K396" s="5">
        <v>8</v>
      </c>
      <c r="L396">
        <v>9.4</v>
      </c>
      <c r="M396">
        <v>6.5</v>
      </c>
      <c r="N396">
        <v>5.92</v>
      </c>
      <c r="O396" s="6">
        <v>15.6</v>
      </c>
      <c r="P396" s="7">
        <v>2.33</v>
      </c>
      <c r="U396" t="s">
        <v>84</v>
      </c>
      <c r="V396" t="s">
        <v>140</v>
      </c>
      <c r="W396">
        <v>2.7</v>
      </c>
      <c r="X396" t="s">
        <v>104</v>
      </c>
      <c r="Y396" t="s">
        <v>358</v>
      </c>
      <c r="Z396" t="s">
        <v>100</v>
      </c>
      <c r="AA396" t="s">
        <v>101</v>
      </c>
      <c r="AB396" t="s">
        <v>201</v>
      </c>
      <c r="AC396">
        <v>778.87</v>
      </c>
      <c r="AD396" s="8" t="b">
        <f>AND(
 H396&gt;=Filters!$B$3,
 H396&lt;=Filters!$B$4,
 I396&gt;=Filters!$B$5,
 OR(Filters!$B$6="All",B396=Filters!$B$6),
 F396&gt;=Filters!$B$7,
 F396&lt;=Filters!$B$8,
 OR(Filters!$B$9="All",G396=Filters!$B$9)
)</f>
        <v>1</v>
      </c>
      <c r="AE396">
        <f t="shared" si="78"/>
        <v>6</v>
      </c>
      <c r="AF396">
        <f t="shared" si="79"/>
        <v>7</v>
      </c>
      <c r="AG396">
        <f t="shared" si="80"/>
        <v>7</v>
      </c>
      <c r="AH396" s="9">
        <f t="shared" si="81"/>
        <v>0.97619047619047628</v>
      </c>
      <c r="AI396" s="9">
        <f t="shared" si="82"/>
        <v>0.80952380952380942</v>
      </c>
      <c r="AJ396" s="9">
        <f t="shared" si="83"/>
        <v>0.63095238095238093</v>
      </c>
      <c r="AK396" s="9">
        <f t="shared" si="84"/>
        <v>0.56190476190476191</v>
      </c>
      <c r="AL396" s="9">
        <f t="shared" si="85"/>
        <v>0.8654761904761904</v>
      </c>
      <c r="AM396" s="9">
        <f t="shared" si="86"/>
        <v>0.5714285714285714</v>
      </c>
      <c r="AN396" s="9">
        <f t="shared" si="87"/>
        <v>0.69047619047619047</v>
      </c>
      <c r="AO396" s="9">
        <f t="shared" si="88"/>
        <v>0.69047619047619047</v>
      </c>
      <c r="AP396" s="9">
        <f t="shared" si="89"/>
        <v>0.74950257194175929</v>
      </c>
      <c r="AQ396" s="10">
        <f t="shared" si="90"/>
        <v>0.7495029679417593</v>
      </c>
    </row>
    <row r="397" spans="1:43">
      <c r="A397">
        <v>396</v>
      </c>
      <c r="B397" t="s">
        <v>26</v>
      </c>
      <c r="C397" t="s">
        <v>700</v>
      </c>
      <c r="D397" t="s">
        <v>701</v>
      </c>
      <c r="E397" t="s">
        <v>83</v>
      </c>
      <c r="G397" t="s">
        <v>18</v>
      </c>
      <c r="H397" s="4">
        <v>13473000</v>
      </c>
      <c r="I397" s="5">
        <v>256</v>
      </c>
      <c r="J397" s="5">
        <v>0</v>
      </c>
      <c r="K397" s="5">
        <v>4</v>
      </c>
      <c r="L397">
        <v>7</v>
      </c>
      <c r="M397">
        <v>6.5</v>
      </c>
      <c r="N397">
        <v>5.92</v>
      </c>
      <c r="O397" s="6">
        <v>15.6</v>
      </c>
      <c r="P397" s="7">
        <v>1.91</v>
      </c>
      <c r="U397" t="s">
        <v>104</v>
      </c>
      <c r="V397" t="s">
        <v>111</v>
      </c>
      <c r="W397">
        <v>3</v>
      </c>
      <c r="X397" t="s">
        <v>104</v>
      </c>
      <c r="Y397" t="s">
        <v>241</v>
      </c>
      <c r="Z397" t="s">
        <v>100</v>
      </c>
      <c r="AA397" t="s">
        <v>101</v>
      </c>
      <c r="AB397" t="s">
        <v>115</v>
      </c>
      <c r="AC397">
        <v>499</v>
      </c>
      <c r="AD397" s="8" t="b">
        <f>AND(
 H397&gt;=Filters!$B$3,
 H397&lt;=Filters!$B$4,
 I397&gt;=Filters!$B$5,
 OR(Filters!$B$6="All",B397=Filters!$B$6),
 F397&gt;=Filters!$B$7,
 F397&lt;=Filters!$B$8,
 OR(Filters!$B$9="All",G397=Filters!$B$9)
)</f>
        <v>1</v>
      </c>
      <c r="AE397">
        <f t="shared" si="78"/>
        <v>6</v>
      </c>
      <c r="AF397">
        <f t="shared" si="79"/>
        <v>7</v>
      </c>
      <c r="AG397">
        <f t="shared" si="80"/>
        <v>7</v>
      </c>
      <c r="AH397" s="9">
        <f t="shared" si="81"/>
        <v>0.69047619047619047</v>
      </c>
      <c r="AI397" s="9">
        <f t="shared" si="82"/>
        <v>0.33333333333333331</v>
      </c>
      <c r="AJ397" s="9">
        <f t="shared" si="83"/>
        <v>0.63095238095238093</v>
      </c>
      <c r="AK397" s="9">
        <f t="shared" si="84"/>
        <v>0.56190476190476191</v>
      </c>
      <c r="AL397" s="9">
        <f t="shared" si="85"/>
        <v>0.91547619047619033</v>
      </c>
      <c r="AM397" s="9">
        <f t="shared" si="86"/>
        <v>0.5714285714285714</v>
      </c>
      <c r="AN397" s="9">
        <f t="shared" si="87"/>
        <v>0.69047619047619047</v>
      </c>
      <c r="AO397" s="9">
        <f t="shared" si="88"/>
        <v>0.69047619047619047</v>
      </c>
      <c r="AP397" s="9">
        <f t="shared" si="89"/>
        <v>0.60564867466318517</v>
      </c>
      <c r="AQ397" s="10">
        <f t="shared" si="90"/>
        <v>0.60564907166318516</v>
      </c>
    </row>
    <row r="398" spans="1:43">
      <c r="A398">
        <v>397</v>
      </c>
      <c r="B398" t="s">
        <v>29</v>
      </c>
      <c r="C398" t="s">
        <v>702</v>
      </c>
      <c r="D398" t="s">
        <v>703</v>
      </c>
      <c r="E398" t="s">
        <v>97</v>
      </c>
      <c r="G398" t="s">
        <v>18</v>
      </c>
      <c r="H398" s="4">
        <v>33198120</v>
      </c>
      <c r="I398" s="5">
        <v>256</v>
      </c>
      <c r="J398" s="5">
        <v>0</v>
      </c>
      <c r="K398" s="5">
        <v>8</v>
      </c>
      <c r="L398">
        <v>7.6</v>
      </c>
      <c r="M398">
        <v>8</v>
      </c>
      <c r="N398">
        <v>6.32</v>
      </c>
      <c r="O398" s="6">
        <v>15.6</v>
      </c>
      <c r="P398" s="7">
        <v>2.1</v>
      </c>
      <c r="U398" t="s">
        <v>84</v>
      </c>
      <c r="V398" t="s">
        <v>121</v>
      </c>
      <c r="W398">
        <v>1.8</v>
      </c>
      <c r="X398" t="s">
        <v>104</v>
      </c>
      <c r="Y398" t="s">
        <v>371</v>
      </c>
      <c r="Z398" t="s">
        <v>100</v>
      </c>
      <c r="AA398" t="s">
        <v>128</v>
      </c>
      <c r="AB398" t="s">
        <v>115</v>
      </c>
      <c r="AC398">
        <v>1229.56</v>
      </c>
      <c r="AD398" s="8" t="b">
        <f>AND(
 H398&gt;=Filters!$B$3,
 H398&lt;=Filters!$B$4,
 I398&gt;=Filters!$B$5,
 OR(Filters!$B$6="All",B398=Filters!$B$6),
 F398&gt;=Filters!$B$7,
 F398&lt;=Filters!$B$8,
 OR(Filters!$B$9="All",G398=Filters!$B$9)
)</f>
        <v>0</v>
      </c>
      <c r="AE398">
        <f t="shared" si="78"/>
        <v>6</v>
      </c>
      <c r="AF398">
        <f t="shared" si="79"/>
        <v>7</v>
      </c>
      <c r="AG398">
        <f t="shared" si="80"/>
        <v>7</v>
      </c>
      <c r="AH398" s="9" t="str">
        <f t="shared" si="81"/>
        <v/>
      </c>
      <c r="AI398" s="9" t="str">
        <f t="shared" si="82"/>
        <v/>
      </c>
      <c r="AJ398" s="9" t="str">
        <f t="shared" si="83"/>
        <v/>
      </c>
      <c r="AK398" s="9" t="str">
        <f t="shared" si="84"/>
        <v/>
      </c>
      <c r="AL398" s="9" t="str">
        <f t="shared" si="85"/>
        <v/>
      </c>
      <c r="AM398" s="9" t="str">
        <f t="shared" si="86"/>
        <v/>
      </c>
      <c r="AN398" s="9" t="str">
        <f t="shared" si="87"/>
        <v/>
      </c>
      <c r="AO398" s="9" t="str">
        <f t="shared" si="88"/>
        <v/>
      </c>
      <c r="AP398" s="9" t="str">
        <f t="shared" si="89"/>
        <v/>
      </c>
      <c r="AQ398" s="10" t="str">
        <f t="shared" si="90"/>
        <v/>
      </c>
    </row>
    <row r="399" spans="1:43">
      <c r="A399">
        <v>398</v>
      </c>
      <c r="B399" t="s">
        <v>29</v>
      </c>
      <c r="C399" t="s">
        <v>704</v>
      </c>
      <c r="D399" t="s">
        <v>705</v>
      </c>
      <c r="E399" t="s">
        <v>97</v>
      </c>
      <c r="G399" t="s">
        <v>18</v>
      </c>
      <c r="H399" s="4">
        <v>25326000</v>
      </c>
      <c r="I399" s="5">
        <v>256</v>
      </c>
      <c r="J399" s="5">
        <v>0</v>
      </c>
      <c r="K399" s="5">
        <v>8</v>
      </c>
      <c r="L399">
        <v>7</v>
      </c>
      <c r="M399">
        <v>3.5</v>
      </c>
      <c r="N399">
        <v>6.4</v>
      </c>
      <c r="O399" s="6">
        <v>14</v>
      </c>
      <c r="P399" s="7">
        <v>1.9</v>
      </c>
      <c r="U399" t="s">
        <v>84</v>
      </c>
      <c r="V399" t="s">
        <v>98</v>
      </c>
      <c r="W399">
        <v>2.5</v>
      </c>
      <c r="X399" t="s">
        <v>84</v>
      </c>
      <c r="Y399" t="s">
        <v>99</v>
      </c>
      <c r="Z399" t="s">
        <v>100</v>
      </c>
      <c r="AA399" t="s">
        <v>128</v>
      </c>
      <c r="AB399" t="s">
        <v>115</v>
      </c>
      <c r="AC399">
        <v>938</v>
      </c>
      <c r="AD399" s="8" t="b">
        <f>AND(
 H399&gt;=Filters!$B$3,
 H399&lt;=Filters!$B$4,
 I399&gt;=Filters!$B$5,
 OR(Filters!$B$6="All",B399=Filters!$B$6),
 F399&gt;=Filters!$B$7,
 F399&lt;=Filters!$B$8,
 OR(Filters!$B$9="All",G399=Filters!$B$9)
)</f>
        <v>0</v>
      </c>
      <c r="AE399">
        <f t="shared" si="78"/>
        <v>6</v>
      </c>
      <c r="AF399">
        <f t="shared" si="79"/>
        <v>7</v>
      </c>
      <c r="AG399">
        <f t="shared" si="80"/>
        <v>7</v>
      </c>
      <c r="AH399" s="9" t="str">
        <f t="shared" si="81"/>
        <v/>
      </c>
      <c r="AI399" s="9" t="str">
        <f t="shared" si="82"/>
        <v/>
      </c>
      <c r="AJ399" s="9" t="str">
        <f t="shared" si="83"/>
        <v/>
      </c>
      <c r="AK399" s="9" t="str">
        <f t="shared" si="84"/>
        <v/>
      </c>
      <c r="AL399" s="9" t="str">
        <f t="shared" si="85"/>
        <v/>
      </c>
      <c r="AM399" s="9" t="str">
        <f t="shared" si="86"/>
        <v/>
      </c>
      <c r="AN399" s="9" t="str">
        <f t="shared" si="87"/>
        <v/>
      </c>
      <c r="AO399" s="9" t="str">
        <f t="shared" si="88"/>
        <v/>
      </c>
      <c r="AP399" s="9" t="str">
        <f t="shared" si="89"/>
        <v/>
      </c>
      <c r="AQ399" s="10" t="str">
        <f t="shared" si="90"/>
        <v/>
      </c>
    </row>
    <row r="400" spans="1:43">
      <c r="A400">
        <v>399</v>
      </c>
      <c r="B400" t="s">
        <v>23</v>
      </c>
      <c r="C400" t="s">
        <v>706</v>
      </c>
      <c r="D400" t="s">
        <v>707</v>
      </c>
      <c r="E400" t="s">
        <v>468</v>
      </c>
      <c r="G400" t="s">
        <v>18</v>
      </c>
      <c r="H400" s="4">
        <v>73224000</v>
      </c>
      <c r="I400" s="5">
        <v>256</v>
      </c>
      <c r="J400" s="5">
        <v>0</v>
      </c>
      <c r="K400" s="5">
        <v>8</v>
      </c>
      <c r="L400">
        <v>9.6</v>
      </c>
      <c r="M400">
        <v>8</v>
      </c>
      <c r="N400">
        <v>9.7200000000000006</v>
      </c>
      <c r="O400" s="6">
        <v>15.6</v>
      </c>
      <c r="P400" s="7">
        <v>1.78</v>
      </c>
      <c r="U400" t="s">
        <v>84</v>
      </c>
      <c r="V400" t="s">
        <v>210</v>
      </c>
      <c r="W400">
        <v>2.8</v>
      </c>
      <c r="X400" t="s">
        <v>122</v>
      </c>
      <c r="Y400" t="s">
        <v>470</v>
      </c>
      <c r="Z400" t="s">
        <v>100</v>
      </c>
      <c r="AA400" t="s">
        <v>439</v>
      </c>
      <c r="AB400" t="s">
        <v>115</v>
      </c>
      <c r="AC400">
        <v>2712</v>
      </c>
      <c r="AD400" s="8" t="b">
        <f>AND(
 H400&gt;=Filters!$B$3,
 H400&lt;=Filters!$B$4,
 I400&gt;=Filters!$B$5,
 OR(Filters!$B$6="All",B400=Filters!$B$6),
 F400&gt;=Filters!$B$7,
 F400&lt;=Filters!$B$8,
 OR(Filters!$B$9="All",G400=Filters!$B$9)
)</f>
        <v>0</v>
      </c>
      <c r="AE400">
        <f t="shared" si="78"/>
        <v>6</v>
      </c>
      <c r="AF400">
        <f t="shared" si="79"/>
        <v>7</v>
      </c>
      <c r="AG400">
        <f t="shared" si="80"/>
        <v>7</v>
      </c>
      <c r="AH400" s="9" t="str">
        <f t="shared" si="81"/>
        <v/>
      </c>
      <c r="AI400" s="9" t="str">
        <f t="shared" si="82"/>
        <v/>
      </c>
      <c r="AJ400" s="9" t="str">
        <f t="shared" si="83"/>
        <v/>
      </c>
      <c r="AK400" s="9" t="str">
        <f t="shared" si="84"/>
        <v/>
      </c>
      <c r="AL400" s="9" t="str">
        <f t="shared" si="85"/>
        <v/>
      </c>
      <c r="AM400" s="9" t="str">
        <f t="shared" si="86"/>
        <v/>
      </c>
      <c r="AN400" s="9" t="str">
        <f t="shared" si="87"/>
        <v/>
      </c>
      <c r="AO400" s="9" t="str">
        <f t="shared" si="88"/>
        <v/>
      </c>
      <c r="AP400" s="9" t="str">
        <f t="shared" si="89"/>
        <v/>
      </c>
      <c r="AQ400" s="10" t="str">
        <f t="shared" si="90"/>
        <v/>
      </c>
    </row>
    <row r="401" spans="1:43">
      <c r="A401">
        <v>400</v>
      </c>
      <c r="B401" t="s">
        <v>29</v>
      </c>
      <c r="C401" t="s">
        <v>682</v>
      </c>
      <c r="D401" t="s">
        <v>683</v>
      </c>
      <c r="E401" t="s">
        <v>83</v>
      </c>
      <c r="G401" t="s">
        <v>18</v>
      </c>
      <c r="H401" s="4">
        <v>70875000</v>
      </c>
      <c r="I401" s="5">
        <v>1024</v>
      </c>
      <c r="J401" s="5">
        <v>0</v>
      </c>
      <c r="K401" s="5">
        <v>16</v>
      </c>
      <c r="L401">
        <v>9.4</v>
      </c>
      <c r="M401">
        <v>3.5</v>
      </c>
      <c r="N401">
        <v>7.4</v>
      </c>
      <c r="O401" s="6">
        <v>14</v>
      </c>
      <c r="P401" s="7">
        <v>1.1299999999999999</v>
      </c>
      <c r="U401" t="s">
        <v>84</v>
      </c>
      <c r="V401" t="s">
        <v>140</v>
      </c>
      <c r="W401">
        <v>2.7</v>
      </c>
      <c r="X401" t="s">
        <v>84</v>
      </c>
      <c r="Y401" t="s">
        <v>99</v>
      </c>
      <c r="Z401" t="s">
        <v>445</v>
      </c>
      <c r="AA401" t="s">
        <v>684</v>
      </c>
      <c r="AB401" t="s">
        <v>115</v>
      </c>
      <c r="AC401">
        <v>2625</v>
      </c>
      <c r="AD401" s="8" t="b">
        <f>AND(
 H401&gt;=Filters!$B$3,
 H401&lt;=Filters!$B$4,
 I401&gt;=Filters!$B$5,
 OR(Filters!$B$6="All",B401=Filters!$B$6),
 F401&gt;=Filters!$B$7,
 F401&lt;=Filters!$B$8,
 OR(Filters!$B$9="All",G401=Filters!$B$9)
)</f>
        <v>0</v>
      </c>
      <c r="AE401">
        <f t="shared" si="78"/>
        <v>6</v>
      </c>
      <c r="AF401">
        <f t="shared" si="79"/>
        <v>7</v>
      </c>
      <c r="AG401">
        <f t="shared" si="80"/>
        <v>7</v>
      </c>
      <c r="AH401" s="9" t="str">
        <f t="shared" si="81"/>
        <v/>
      </c>
      <c r="AI401" s="9" t="str">
        <f t="shared" si="82"/>
        <v/>
      </c>
      <c r="AJ401" s="9" t="str">
        <f t="shared" si="83"/>
        <v/>
      </c>
      <c r="AK401" s="9" t="str">
        <f t="shared" si="84"/>
        <v/>
      </c>
      <c r="AL401" s="9" t="str">
        <f t="shared" si="85"/>
        <v/>
      </c>
      <c r="AM401" s="9" t="str">
        <f t="shared" si="86"/>
        <v/>
      </c>
      <c r="AN401" s="9" t="str">
        <f t="shared" si="87"/>
        <v/>
      </c>
      <c r="AO401" s="9" t="str">
        <f t="shared" si="88"/>
        <v/>
      </c>
      <c r="AP401" s="9" t="str">
        <f t="shared" si="89"/>
        <v/>
      </c>
      <c r="AQ401" s="10" t="str">
        <f t="shared" si="90"/>
        <v/>
      </c>
    </row>
    <row r="402" spans="1:43">
      <c r="A402">
        <v>401</v>
      </c>
      <c r="B402" t="s">
        <v>29</v>
      </c>
      <c r="C402" t="s">
        <v>588</v>
      </c>
      <c r="D402" t="s">
        <v>589</v>
      </c>
      <c r="E402" t="s">
        <v>97</v>
      </c>
      <c r="G402" t="s">
        <v>18</v>
      </c>
      <c r="H402" s="4">
        <v>8262000</v>
      </c>
      <c r="I402" s="5">
        <v>0</v>
      </c>
      <c r="J402" s="5">
        <v>1024</v>
      </c>
      <c r="K402" s="5">
        <v>4</v>
      </c>
      <c r="L402">
        <v>1</v>
      </c>
      <c r="M402">
        <v>3.5</v>
      </c>
      <c r="N402">
        <v>3.92</v>
      </c>
      <c r="O402" s="6">
        <v>15.6</v>
      </c>
      <c r="P402" s="7">
        <v>2.2000000000000002</v>
      </c>
      <c r="U402" t="s">
        <v>84</v>
      </c>
      <c r="V402" t="s">
        <v>198</v>
      </c>
      <c r="W402">
        <v>1.1000000000000001</v>
      </c>
      <c r="X402" t="s">
        <v>84</v>
      </c>
      <c r="Y402" t="s">
        <v>199</v>
      </c>
      <c r="Z402" t="s">
        <v>146</v>
      </c>
      <c r="AA402" t="s">
        <v>114</v>
      </c>
      <c r="AB402" t="s">
        <v>115</v>
      </c>
      <c r="AC402">
        <v>306</v>
      </c>
      <c r="AD402" s="8" t="b">
        <f>AND(
 H402&gt;=Filters!$B$3,
 H402&lt;=Filters!$B$4,
 I402&gt;=Filters!$B$5,
 OR(Filters!$B$6="All",B402=Filters!$B$6),
 F402&gt;=Filters!$B$7,
 F402&lt;=Filters!$B$8,
 OR(Filters!$B$9="All",G402=Filters!$B$9)
)</f>
        <v>0</v>
      </c>
      <c r="AE402">
        <f t="shared" si="78"/>
        <v>6</v>
      </c>
      <c r="AF402">
        <f t="shared" si="79"/>
        <v>7</v>
      </c>
      <c r="AG402">
        <f t="shared" si="80"/>
        <v>7</v>
      </c>
      <c r="AH402" s="9" t="str">
        <f t="shared" si="81"/>
        <v/>
      </c>
      <c r="AI402" s="9" t="str">
        <f t="shared" si="82"/>
        <v/>
      </c>
      <c r="AJ402" s="9" t="str">
        <f t="shared" si="83"/>
        <v/>
      </c>
      <c r="AK402" s="9" t="str">
        <f t="shared" si="84"/>
        <v/>
      </c>
      <c r="AL402" s="9" t="str">
        <f t="shared" si="85"/>
        <v/>
      </c>
      <c r="AM402" s="9" t="str">
        <f t="shared" si="86"/>
        <v/>
      </c>
      <c r="AN402" s="9" t="str">
        <f t="shared" si="87"/>
        <v/>
      </c>
      <c r="AO402" s="9" t="str">
        <f t="shared" si="88"/>
        <v/>
      </c>
      <c r="AP402" s="9" t="str">
        <f t="shared" si="89"/>
        <v/>
      </c>
      <c r="AQ402" s="10" t="str">
        <f t="shared" si="90"/>
        <v/>
      </c>
    </row>
    <row r="403" spans="1:43">
      <c r="A403">
        <v>402</v>
      </c>
      <c r="B403" t="s">
        <v>21</v>
      </c>
      <c r="C403" t="s">
        <v>708</v>
      </c>
      <c r="D403" t="s">
        <v>709</v>
      </c>
      <c r="E403" t="s">
        <v>158</v>
      </c>
      <c r="G403" t="s">
        <v>18</v>
      </c>
      <c r="H403" s="4">
        <v>41283000</v>
      </c>
      <c r="I403" s="5">
        <v>256</v>
      </c>
      <c r="J403" s="5">
        <v>1024</v>
      </c>
      <c r="K403" s="5">
        <v>16</v>
      </c>
      <c r="L403">
        <v>9.6</v>
      </c>
      <c r="M403">
        <v>9.1999999999999993</v>
      </c>
      <c r="N403">
        <v>5.83</v>
      </c>
      <c r="O403" s="6">
        <v>17.3</v>
      </c>
      <c r="P403" s="7">
        <v>2.9</v>
      </c>
      <c r="U403" t="s">
        <v>84</v>
      </c>
      <c r="V403" t="s">
        <v>210</v>
      </c>
      <c r="W403">
        <v>2.8</v>
      </c>
      <c r="X403" t="s">
        <v>122</v>
      </c>
      <c r="Y403" t="s">
        <v>160</v>
      </c>
      <c r="Z403" t="s">
        <v>212</v>
      </c>
      <c r="AA403" t="s">
        <v>101</v>
      </c>
      <c r="AB403" t="s">
        <v>115</v>
      </c>
      <c r="AC403">
        <v>1529</v>
      </c>
      <c r="AD403" s="8" t="b">
        <f>AND(
 H403&gt;=Filters!$B$3,
 H403&lt;=Filters!$B$4,
 I403&gt;=Filters!$B$5,
 OR(Filters!$B$6="All",B403=Filters!$B$6),
 F403&gt;=Filters!$B$7,
 F403&lt;=Filters!$B$8,
 OR(Filters!$B$9="All",G403=Filters!$B$9)
)</f>
        <v>0</v>
      </c>
      <c r="AE403">
        <f t="shared" si="78"/>
        <v>6</v>
      </c>
      <c r="AF403">
        <f t="shared" si="79"/>
        <v>7</v>
      </c>
      <c r="AG403">
        <f t="shared" si="80"/>
        <v>7</v>
      </c>
      <c r="AH403" s="9" t="str">
        <f t="shared" si="81"/>
        <v/>
      </c>
      <c r="AI403" s="9" t="str">
        <f t="shared" si="82"/>
        <v/>
      </c>
      <c r="AJ403" s="9" t="str">
        <f t="shared" si="83"/>
        <v/>
      </c>
      <c r="AK403" s="9" t="str">
        <f t="shared" si="84"/>
        <v/>
      </c>
      <c r="AL403" s="9" t="str">
        <f t="shared" si="85"/>
        <v/>
      </c>
      <c r="AM403" s="9" t="str">
        <f t="shared" si="86"/>
        <v/>
      </c>
      <c r="AN403" s="9" t="str">
        <f t="shared" si="87"/>
        <v/>
      </c>
      <c r="AO403" s="9" t="str">
        <f t="shared" si="88"/>
        <v/>
      </c>
      <c r="AP403" s="9" t="str">
        <f t="shared" si="89"/>
        <v/>
      </c>
      <c r="AQ403" s="10" t="str">
        <f t="shared" si="90"/>
        <v/>
      </c>
    </row>
    <row r="404" spans="1:43">
      <c r="A404">
        <v>403</v>
      </c>
      <c r="B404" t="s">
        <v>29</v>
      </c>
      <c r="C404" t="s">
        <v>702</v>
      </c>
      <c r="D404" t="s">
        <v>703</v>
      </c>
      <c r="E404" t="s">
        <v>97</v>
      </c>
      <c r="G404" t="s">
        <v>18</v>
      </c>
      <c r="H404" s="4">
        <v>30901500</v>
      </c>
      <c r="I404" s="5">
        <v>256</v>
      </c>
      <c r="J404" s="5">
        <v>1024</v>
      </c>
      <c r="K404" s="5">
        <v>8</v>
      </c>
      <c r="L404">
        <v>5.2</v>
      </c>
      <c r="M404">
        <v>8</v>
      </c>
      <c r="N404">
        <v>6.32</v>
      </c>
      <c r="O404" s="6">
        <v>15.6</v>
      </c>
      <c r="P404" s="7">
        <v>2.1</v>
      </c>
      <c r="U404" t="s">
        <v>84</v>
      </c>
      <c r="V404" t="s">
        <v>126</v>
      </c>
      <c r="W404">
        <v>1.6</v>
      </c>
      <c r="X404" t="s">
        <v>104</v>
      </c>
      <c r="Y404" t="s">
        <v>371</v>
      </c>
      <c r="Z404" t="s">
        <v>212</v>
      </c>
      <c r="AA404" t="s">
        <v>128</v>
      </c>
      <c r="AB404" t="s">
        <v>115</v>
      </c>
      <c r="AC404">
        <v>1144.5</v>
      </c>
      <c r="AD404" s="8" t="b">
        <f>AND(
 H404&gt;=Filters!$B$3,
 H404&lt;=Filters!$B$4,
 I404&gt;=Filters!$B$5,
 OR(Filters!$B$6="All",B404=Filters!$B$6),
 F404&gt;=Filters!$B$7,
 F404&lt;=Filters!$B$8,
 OR(Filters!$B$9="All",G404=Filters!$B$9)
)</f>
        <v>0</v>
      </c>
      <c r="AE404">
        <f t="shared" si="78"/>
        <v>6</v>
      </c>
      <c r="AF404">
        <f t="shared" si="79"/>
        <v>7</v>
      </c>
      <c r="AG404">
        <f t="shared" si="80"/>
        <v>7</v>
      </c>
      <c r="AH404" s="9" t="str">
        <f t="shared" si="81"/>
        <v/>
      </c>
      <c r="AI404" s="9" t="str">
        <f t="shared" si="82"/>
        <v/>
      </c>
      <c r="AJ404" s="9" t="str">
        <f t="shared" si="83"/>
        <v/>
      </c>
      <c r="AK404" s="9" t="str">
        <f t="shared" si="84"/>
        <v/>
      </c>
      <c r="AL404" s="9" t="str">
        <f t="shared" si="85"/>
        <v/>
      </c>
      <c r="AM404" s="9" t="str">
        <f t="shared" si="86"/>
        <v/>
      </c>
      <c r="AN404" s="9" t="str">
        <f t="shared" si="87"/>
        <v/>
      </c>
      <c r="AO404" s="9" t="str">
        <f t="shared" si="88"/>
        <v/>
      </c>
      <c r="AP404" s="9" t="str">
        <f t="shared" si="89"/>
        <v/>
      </c>
      <c r="AQ404" s="10" t="str">
        <f t="shared" si="90"/>
        <v/>
      </c>
    </row>
    <row r="405" spans="1:43">
      <c r="A405">
        <v>404</v>
      </c>
      <c r="B405" t="s">
        <v>17</v>
      </c>
      <c r="C405" t="s">
        <v>473</v>
      </c>
      <c r="D405" t="s">
        <v>474</v>
      </c>
      <c r="E405" t="s">
        <v>97</v>
      </c>
      <c r="G405" t="s">
        <v>18</v>
      </c>
      <c r="H405" s="4">
        <v>23733000</v>
      </c>
      <c r="I405" s="5">
        <v>256</v>
      </c>
      <c r="J405" s="5">
        <v>0</v>
      </c>
      <c r="K405" s="5">
        <v>8</v>
      </c>
      <c r="L405">
        <v>9.6</v>
      </c>
      <c r="M405">
        <v>9.1999999999999993</v>
      </c>
      <c r="N405">
        <v>5.92</v>
      </c>
      <c r="O405" s="6">
        <v>15.6</v>
      </c>
      <c r="P405" s="7">
        <v>2.5</v>
      </c>
      <c r="U405" t="s">
        <v>84</v>
      </c>
      <c r="V405" t="s">
        <v>210</v>
      </c>
      <c r="W405">
        <v>2.8</v>
      </c>
      <c r="X405" t="s">
        <v>122</v>
      </c>
      <c r="Y405" t="s">
        <v>160</v>
      </c>
      <c r="Z405" t="s">
        <v>100</v>
      </c>
      <c r="AA405" t="s">
        <v>101</v>
      </c>
      <c r="AB405" t="s">
        <v>201</v>
      </c>
      <c r="AC405">
        <v>879</v>
      </c>
      <c r="AD405" s="8" t="b">
        <f>AND(
 H405&gt;=Filters!$B$3,
 H405&lt;=Filters!$B$4,
 I405&gt;=Filters!$B$5,
 OR(Filters!$B$6="All",B405=Filters!$B$6),
 F405&gt;=Filters!$B$7,
 F405&lt;=Filters!$B$8,
 OR(Filters!$B$9="All",G405=Filters!$B$9)
)</f>
        <v>1</v>
      </c>
      <c r="AE405">
        <f t="shared" si="78"/>
        <v>6</v>
      </c>
      <c r="AF405">
        <f t="shared" si="79"/>
        <v>7</v>
      </c>
      <c r="AG405">
        <f t="shared" si="80"/>
        <v>7</v>
      </c>
      <c r="AH405" s="9">
        <f t="shared" si="81"/>
        <v>1</v>
      </c>
      <c r="AI405" s="9">
        <f t="shared" si="82"/>
        <v>0.80952380952380942</v>
      </c>
      <c r="AJ405" s="9">
        <f t="shared" si="83"/>
        <v>0.95238095238095222</v>
      </c>
      <c r="AK405" s="9">
        <f t="shared" si="84"/>
        <v>0.56190476190476191</v>
      </c>
      <c r="AL405" s="9">
        <f t="shared" si="85"/>
        <v>0.84523809523809512</v>
      </c>
      <c r="AM405" s="9">
        <f t="shared" si="86"/>
        <v>0.5714285714285714</v>
      </c>
      <c r="AN405" s="9">
        <f t="shared" si="87"/>
        <v>0.69047619047619047</v>
      </c>
      <c r="AO405" s="9">
        <f t="shared" si="88"/>
        <v>0.69047619047619047</v>
      </c>
      <c r="AP405" s="9">
        <f t="shared" si="89"/>
        <v>0.77458653065126915</v>
      </c>
      <c r="AQ405" s="10">
        <f t="shared" si="90"/>
        <v>0.77458693565126913</v>
      </c>
    </row>
    <row r="406" spans="1:43">
      <c r="A406">
        <v>405</v>
      </c>
      <c r="B406" t="s">
        <v>30</v>
      </c>
      <c r="C406" t="s">
        <v>710</v>
      </c>
      <c r="D406" t="s">
        <v>711</v>
      </c>
      <c r="E406" t="s">
        <v>158</v>
      </c>
      <c r="G406" t="s">
        <v>18</v>
      </c>
      <c r="H406" s="4">
        <v>60723000</v>
      </c>
      <c r="I406" s="5">
        <v>256</v>
      </c>
      <c r="J406" s="5">
        <v>1024</v>
      </c>
      <c r="K406" s="5">
        <v>16</v>
      </c>
      <c r="L406">
        <v>9.6</v>
      </c>
      <c r="M406">
        <v>9.1999999999999993</v>
      </c>
      <c r="N406">
        <v>5.83</v>
      </c>
      <c r="O406" s="6">
        <v>17.3</v>
      </c>
      <c r="P406" s="7">
        <v>2.8</v>
      </c>
      <c r="U406" t="s">
        <v>84</v>
      </c>
      <c r="V406" t="s">
        <v>210</v>
      </c>
      <c r="W406">
        <v>2.8</v>
      </c>
      <c r="X406" t="s">
        <v>122</v>
      </c>
      <c r="Y406" t="s">
        <v>248</v>
      </c>
      <c r="Z406" t="s">
        <v>212</v>
      </c>
      <c r="AA406" t="s">
        <v>101</v>
      </c>
      <c r="AB406" t="s">
        <v>115</v>
      </c>
      <c r="AC406">
        <v>2249</v>
      </c>
      <c r="AD406" s="8" t="b">
        <f>AND(
 H406&gt;=Filters!$B$3,
 H406&lt;=Filters!$B$4,
 I406&gt;=Filters!$B$5,
 OR(Filters!$B$6="All",B406=Filters!$B$6),
 F406&gt;=Filters!$B$7,
 F406&lt;=Filters!$B$8,
 OR(Filters!$B$9="All",G406=Filters!$B$9)
)</f>
        <v>0</v>
      </c>
      <c r="AE406">
        <f t="shared" si="78"/>
        <v>6</v>
      </c>
      <c r="AF406">
        <f t="shared" si="79"/>
        <v>7</v>
      </c>
      <c r="AG406">
        <f t="shared" si="80"/>
        <v>7</v>
      </c>
      <c r="AH406" s="9" t="str">
        <f t="shared" si="81"/>
        <v/>
      </c>
      <c r="AI406" s="9" t="str">
        <f t="shared" si="82"/>
        <v/>
      </c>
      <c r="AJ406" s="9" t="str">
        <f t="shared" si="83"/>
        <v/>
      </c>
      <c r="AK406" s="9" t="str">
        <f t="shared" si="84"/>
        <v/>
      </c>
      <c r="AL406" s="9" t="str">
        <f t="shared" si="85"/>
        <v/>
      </c>
      <c r="AM406" s="9" t="str">
        <f t="shared" si="86"/>
        <v/>
      </c>
      <c r="AN406" s="9" t="str">
        <f t="shared" si="87"/>
        <v/>
      </c>
      <c r="AO406" s="9" t="str">
        <f t="shared" si="88"/>
        <v/>
      </c>
      <c r="AP406" s="9" t="str">
        <f t="shared" si="89"/>
        <v/>
      </c>
      <c r="AQ406" s="10" t="str">
        <f t="shared" si="90"/>
        <v/>
      </c>
    </row>
    <row r="407" spans="1:43">
      <c r="A407">
        <v>406</v>
      </c>
      <c r="B407" t="s">
        <v>21</v>
      </c>
      <c r="C407" t="s">
        <v>712</v>
      </c>
      <c r="D407" t="s">
        <v>713</v>
      </c>
      <c r="E407" t="s">
        <v>83</v>
      </c>
      <c r="G407" t="s">
        <v>18</v>
      </c>
      <c r="H407" s="4">
        <v>50571000</v>
      </c>
      <c r="I407" s="5">
        <v>512</v>
      </c>
      <c r="J407" s="5">
        <v>0</v>
      </c>
      <c r="K407" s="5">
        <v>8</v>
      </c>
      <c r="L407">
        <v>9.4</v>
      </c>
      <c r="M407">
        <v>3.5</v>
      </c>
      <c r="N407">
        <v>6</v>
      </c>
      <c r="O407" s="6">
        <v>14</v>
      </c>
      <c r="P407" s="7">
        <v>1.1000000000000001</v>
      </c>
      <c r="U407" t="s">
        <v>84</v>
      </c>
      <c r="V407" t="s">
        <v>140</v>
      </c>
      <c r="W407">
        <v>2.7</v>
      </c>
      <c r="X407" t="s">
        <v>84</v>
      </c>
      <c r="Y407" t="s">
        <v>99</v>
      </c>
      <c r="Z407" t="s">
        <v>106</v>
      </c>
      <c r="AA407" t="s">
        <v>101</v>
      </c>
      <c r="AB407" t="s">
        <v>115</v>
      </c>
      <c r="AC407">
        <v>1873</v>
      </c>
      <c r="AD407" s="8" t="b">
        <f>AND(
 H407&gt;=Filters!$B$3,
 H407&lt;=Filters!$B$4,
 I407&gt;=Filters!$B$5,
 OR(Filters!$B$6="All",B407=Filters!$B$6),
 F407&gt;=Filters!$B$7,
 F407&lt;=Filters!$B$8,
 OR(Filters!$B$9="All",G407=Filters!$B$9)
)</f>
        <v>0</v>
      </c>
      <c r="AE407">
        <f t="shared" si="78"/>
        <v>6</v>
      </c>
      <c r="AF407">
        <f t="shared" si="79"/>
        <v>7</v>
      </c>
      <c r="AG407">
        <f t="shared" si="80"/>
        <v>7</v>
      </c>
      <c r="AH407" s="9" t="str">
        <f t="shared" si="81"/>
        <v/>
      </c>
      <c r="AI407" s="9" t="str">
        <f t="shared" si="82"/>
        <v/>
      </c>
      <c r="AJ407" s="9" t="str">
        <f t="shared" si="83"/>
        <v/>
      </c>
      <c r="AK407" s="9" t="str">
        <f t="shared" si="84"/>
        <v/>
      </c>
      <c r="AL407" s="9" t="str">
        <f t="shared" si="85"/>
        <v/>
      </c>
      <c r="AM407" s="9" t="str">
        <f t="shared" si="86"/>
        <v/>
      </c>
      <c r="AN407" s="9" t="str">
        <f t="shared" si="87"/>
        <v/>
      </c>
      <c r="AO407" s="9" t="str">
        <f t="shared" si="88"/>
        <v/>
      </c>
      <c r="AP407" s="9" t="str">
        <f t="shared" si="89"/>
        <v/>
      </c>
      <c r="AQ407" s="10" t="str">
        <f t="shared" si="90"/>
        <v/>
      </c>
    </row>
    <row r="408" spans="1:43">
      <c r="A408">
        <v>407</v>
      </c>
      <c r="B408" t="s">
        <v>35</v>
      </c>
      <c r="C408" t="s">
        <v>714</v>
      </c>
      <c r="D408" t="s">
        <v>715</v>
      </c>
      <c r="E408" t="s">
        <v>83</v>
      </c>
      <c r="G408" t="s">
        <v>18</v>
      </c>
      <c r="H408" s="4">
        <v>47169000</v>
      </c>
      <c r="I408" s="5">
        <v>512</v>
      </c>
      <c r="J408" s="5">
        <v>0</v>
      </c>
      <c r="K408" s="5">
        <v>16</v>
      </c>
      <c r="L408">
        <v>9</v>
      </c>
      <c r="M408">
        <v>3.5</v>
      </c>
      <c r="N408">
        <v>5.96</v>
      </c>
      <c r="O408" s="6">
        <v>13.3</v>
      </c>
      <c r="P408" s="7">
        <v>1.2</v>
      </c>
      <c r="U408" t="s">
        <v>84</v>
      </c>
      <c r="V408" t="s">
        <v>485</v>
      </c>
      <c r="W408">
        <v>2.5</v>
      </c>
      <c r="X408" t="s">
        <v>84</v>
      </c>
      <c r="Y408" t="s">
        <v>130</v>
      </c>
      <c r="Z408" t="s">
        <v>106</v>
      </c>
      <c r="AA408" t="s">
        <v>101</v>
      </c>
      <c r="AB408" t="s">
        <v>115</v>
      </c>
      <c r="AC408">
        <v>1747</v>
      </c>
      <c r="AD408" s="8" t="b">
        <f>AND(
 H408&gt;=Filters!$B$3,
 H408&lt;=Filters!$B$4,
 I408&gt;=Filters!$B$5,
 OR(Filters!$B$6="All",B408=Filters!$B$6),
 F408&gt;=Filters!$B$7,
 F408&lt;=Filters!$B$8,
 OR(Filters!$B$9="All",G408=Filters!$B$9)
)</f>
        <v>0</v>
      </c>
      <c r="AE408">
        <f t="shared" si="78"/>
        <v>6</v>
      </c>
      <c r="AF408">
        <f t="shared" si="79"/>
        <v>7</v>
      </c>
      <c r="AG408">
        <f t="shared" si="80"/>
        <v>7</v>
      </c>
      <c r="AH408" s="9" t="str">
        <f t="shared" si="81"/>
        <v/>
      </c>
      <c r="AI408" s="9" t="str">
        <f t="shared" si="82"/>
        <v/>
      </c>
      <c r="AJ408" s="9" t="str">
        <f t="shared" si="83"/>
        <v/>
      </c>
      <c r="AK408" s="9" t="str">
        <f t="shared" si="84"/>
        <v/>
      </c>
      <c r="AL408" s="9" t="str">
        <f t="shared" si="85"/>
        <v/>
      </c>
      <c r="AM408" s="9" t="str">
        <f t="shared" si="86"/>
        <v/>
      </c>
      <c r="AN408" s="9" t="str">
        <f t="shared" si="87"/>
        <v/>
      </c>
      <c r="AO408" s="9" t="str">
        <f t="shared" si="88"/>
        <v/>
      </c>
      <c r="AP408" s="9" t="str">
        <f t="shared" si="89"/>
        <v/>
      </c>
      <c r="AQ408" s="10" t="str">
        <f t="shared" si="90"/>
        <v/>
      </c>
    </row>
    <row r="409" spans="1:43">
      <c r="A409">
        <v>408</v>
      </c>
      <c r="B409" t="s">
        <v>23</v>
      </c>
      <c r="C409" t="s">
        <v>716</v>
      </c>
      <c r="D409" t="s">
        <v>654</v>
      </c>
      <c r="E409" t="s">
        <v>83</v>
      </c>
      <c r="G409" t="s">
        <v>18</v>
      </c>
      <c r="H409" s="4">
        <v>45360000</v>
      </c>
      <c r="I409" s="5">
        <v>512</v>
      </c>
      <c r="J409" s="5">
        <v>0</v>
      </c>
      <c r="K409" s="5">
        <v>8</v>
      </c>
      <c r="L409">
        <v>9.6</v>
      </c>
      <c r="M409">
        <v>3.5</v>
      </c>
      <c r="N409">
        <v>6</v>
      </c>
      <c r="O409" s="6">
        <v>14</v>
      </c>
      <c r="P409" s="7">
        <v>1.36</v>
      </c>
      <c r="U409" t="s">
        <v>84</v>
      </c>
      <c r="V409" t="s">
        <v>592</v>
      </c>
      <c r="W409">
        <v>2.8</v>
      </c>
      <c r="X409" t="s">
        <v>84</v>
      </c>
      <c r="Y409" t="s">
        <v>187</v>
      </c>
      <c r="Z409" t="s">
        <v>106</v>
      </c>
      <c r="AA409" t="s">
        <v>101</v>
      </c>
      <c r="AB409" t="s">
        <v>115</v>
      </c>
      <c r="AC409">
        <v>1680</v>
      </c>
      <c r="AD409" s="8" t="b">
        <f>AND(
 H409&gt;=Filters!$B$3,
 H409&lt;=Filters!$B$4,
 I409&gt;=Filters!$B$5,
 OR(Filters!$B$6="All",B409=Filters!$B$6),
 F409&gt;=Filters!$B$7,
 F409&lt;=Filters!$B$8,
 OR(Filters!$B$9="All",G409=Filters!$B$9)
)</f>
        <v>0</v>
      </c>
      <c r="AE409">
        <f t="shared" si="78"/>
        <v>6</v>
      </c>
      <c r="AF409">
        <f t="shared" si="79"/>
        <v>7</v>
      </c>
      <c r="AG409">
        <f t="shared" si="80"/>
        <v>7</v>
      </c>
      <c r="AH409" s="9" t="str">
        <f t="shared" si="81"/>
        <v/>
      </c>
      <c r="AI409" s="9" t="str">
        <f t="shared" si="82"/>
        <v/>
      </c>
      <c r="AJ409" s="9" t="str">
        <f t="shared" si="83"/>
        <v/>
      </c>
      <c r="AK409" s="9" t="str">
        <f t="shared" si="84"/>
        <v/>
      </c>
      <c r="AL409" s="9" t="str">
        <f t="shared" si="85"/>
        <v/>
      </c>
      <c r="AM409" s="9" t="str">
        <f t="shared" si="86"/>
        <v/>
      </c>
      <c r="AN409" s="9" t="str">
        <f t="shared" si="87"/>
        <v/>
      </c>
      <c r="AO409" s="9" t="str">
        <f t="shared" si="88"/>
        <v/>
      </c>
      <c r="AP409" s="9" t="str">
        <f t="shared" si="89"/>
        <v/>
      </c>
      <c r="AQ409" s="10" t="str">
        <f t="shared" si="90"/>
        <v/>
      </c>
    </row>
    <row r="410" spans="1:43">
      <c r="A410">
        <v>409</v>
      </c>
      <c r="B410" t="s">
        <v>29</v>
      </c>
      <c r="C410" t="s">
        <v>221</v>
      </c>
      <c r="D410" t="s">
        <v>222</v>
      </c>
      <c r="E410" t="s">
        <v>97</v>
      </c>
      <c r="G410" t="s">
        <v>18</v>
      </c>
      <c r="H410" s="4">
        <v>11043000</v>
      </c>
      <c r="I410" s="5">
        <v>0</v>
      </c>
      <c r="J410" s="5">
        <v>500</v>
      </c>
      <c r="K410" s="5">
        <v>4</v>
      </c>
      <c r="L410">
        <v>4</v>
      </c>
      <c r="M410">
        <v>3.5</v>
      </c>
      <c r="N410">
        <v>5.92</v>
      </c>
      <c r="O410" s="6">
        <v>15.6</v>
      </c>
      <c r="P410" s="7">
        <v>2.2000000000000002</v>
      </c>
      <c r="U410" t="s">
        <v>84</v>
      </c>
      <c r="V410" t="s">
        <v>129</v>
      </c>
      <c r="W410">
        <v>2</v>
      </c>
      <c r="X410" t="s">
        <v>84</v>
      </c>
      <c r="Y410" t="s">
        <v>130</v>
      </c>
      <c r="Z410" t="s">
        <v>113</v>
      </c>
      <c r="AA410" t="s">
        <v>101</v>
      </c>
      <c r="AB410" t="s">
        <v>115</v>
      </c>
      <c r="AC410">
        <v>409</v>
      </c>
      <c r="AD410" s="8" t="b">
        <f>AND(
 H410&gt;=Filters!$B$3,
 H410&lt;=Filters!$B$4,
 I410&gt;=Filters!$B$5,
 OR(Filters!$B$6="All",B410=Filters!$B$6),
 F410&gt;=Filters!$B$7,
 F410&lt;=Filters!$B$8,
 OR(Filters!$B$9="All",G410=Filters!$B$9)
)</f>
        <v>0</v>
      </c>
      <c r="AE410">
        <f t="shared" si="78"/>
        <v>6</v>
      </c>
      <c r="AF410">
        <f t="shared" si="79"/>
        <v>7</v>
      </c>
      <c r="AG410">
        <f t="shared" si="80"/>
        <v>7</v>
      </c>
      <c r="AH410" s="9" t="str">
        <f t="shared" si="81"/>
        <v/>
      </c>
      <c r="AI410" s="9" t="str">
        <f t="shared" si="82"/>
        <v/>
      </c>
      <c r="AJ410" s="9" t="str">
        <f t="shared" si="83"/>
        <v/>
      </c>
      <c r="AK410" s="9" t="str">
        <f t="shared" si="84"/>
        <v/>
      </c>
      <c r="AL410" s="9" t="str">
        <f t="shared" si="85"/>
        <v/>
      </c>
      <c r="AM410" s="9" t="str">
        <f t="shared" si="86"/>
        <v/>
      </c>
      <c r="AN410" s="9" t="str">
        <f t="shared" si="87"/>
        <v/>
      </c>
      <c r="AO410" s="9" t="str">
        <f t="shared" si="88"/>
        <v/>
      </c>
      <c r="AP410" s="9" t="str">
        <f t="shared" si="89"/>
        <v/>
      </c>
      <c r="AQ410" s="10" t="str">
        <f t="shared" si="90"/>
        <v/>
      </c>
    </row>
    <row r="411" spans="1:43">
      <c r="A411">
        <v>410</v>
      </c>
      <c r="B411" t="s">
        <v>29</v>
      </c>
      <c r="C411" t="s">
        <v>717</v>
      </c>
      <c r="D411" t="s">
        <v>718</v>
      </c>
      <c r="E411" t="s">
        <v>97</v>
      </c>
      <c r="G411" t="s">
        <v>18</v>
      </c>
      <c r="H411" s="4">
        <v>8220150</v>
      </c>
      <c r="I411" s="5">
        <v>32</v>
      </c>
      <c r="J411" s="5">
        <v>0</v>
      </c>
      <c r="K411" s="5">
        <v>2</v>
      </c>
      <c r="L411">
        <v>1</v>
      </c>
      <c r="M411">
        <v>3.5</v>
      </c>
      <c r="N411">
        <v>3.88</v>
      </c>
      <c r="O411" s="6">
        <v>11.6</v>
      </c>
      <c r="P411" s="7">
        <v>1.1499999999999999</v>
      </c>
      <c r="U411" t="s">
        <v>84</v>
      </c>
      <c r="V411" t="s">
        <v>198</v>
      </c>
      <c r="W411">
        <v>1.1000000000000001</v>
      </c>
      <c r="X411" t="s">
        <v>84</v>
      </c>
      <c r="Y411" t="s">
        <v>199</v>
      </c>
      <c r="Z411" t="s">
        <v>155</v>
      </c>
      <c r="AA411" t="s">
        <v>114</v>
      </c>
      <c r="AB411" t="s">
        <v>115</v>
      </c>
      <c r="AC411">
        <v>304.45</v>
      </c>
      <c r="AD411" s="8" t="b">
        <f>AND(
 H411&gt;=Filters!$B$3,
 H411&lt;=Filters!$B$4,
 I411&gt;=Filters!$B$5,
 OR(Filters!$B$6="All",B411=Filters!$B$6),
 F411&gt;=Filters!$B$7,
 F411&lt;=Filters!$B$8,
 OR(Filters!$B$9="All",G411=Filters!$B$9)
)</f>
        <v>0</v>
      </c>
      <c r="AE411">
        <f t="shared" si="78"/>
        <v>6</v>
      </c>
      <c r="AF411">
        <f t="shared" si="79"/>
        <v>7</v>
      </c>
      <c r="AG411">
        <f t="shared" si="80"/>
        <v>7</v>
      </c>
      <c r="AH411" s="9" t="str">
        <f t="shared" si="81"/>
        <v/>
      </c>
      <c r="AI411" s="9" t="str">
        <f t="shared" si="82"/>
        <v/>
      </c>
      <c r="AJ411" s="9" t="str">
        <f t="shared" si="83"/>
        <v/>
      </c>
      <c r="AK411" s="9" t="str">
        <f t="shared" si="84"/>
        <v/>
      </c>
      <c r="AL411" s="9" t="str">
        <f t="shared" si="85"/>
        <v/>
      </c>
      <c r="AM411" s="9" t="str">
        <f t="shared" si="86"/>
        <v/>
      </c>
      <c r="AN411" s="9" t="str">
        <f t="shared" si="87"/>
        <v/>
      </c>
      <c r="AO411" s="9" t="str">
        <f t="shared" si="88"/>
        <v/>
      </c>
      <c r="AP411" s="9" t="str">
        <f t="shared" si="89"/>
        <v/>
      </c>
      <c r="AQ411" s="10" t="str">
        <f t="shared" si="90"/>
        <v/>
      </c>
    </row>
    <row r="412" spans="1:43">
      <c r="A412">
        <v>411</v>
      </c>
      <c r="B412" t="s">
        <v>29</v>
      </c>
      <c r="C412" t="s">
        <v>719</v>
      </c>
      <c r="D412" t="s">
        <v>720</v>
      </c>
      <c r="E412" t="s">
        <v>468</v>
      </c>
      <c r="G412" t="s">
        <v>18</v>
      </c>
      <c r="H412" s="4">
        <v>51975000</v>
      </c>
      <c r="I412" s="5">
        <v>512</v>
      </c>
      <c r="J412" s="5">
        <v>0</v>
      </c>
      <c r="K412" s="5">
        <v>8</v>
      </c>
      <c r="L412">
        <v>9.6</v>
      </c>
      <c r="M412">
        <v>8</v>
      </c>
      <c r="N412">
        <v>5.92</v>
      </c>
      <c r="O412" s="6">
        <v>15.6</v>
      </c>
      <c r="P412" s="7">
        <v>2.67</v>
      </c>
      <c r="U412" t="s">
        <v>84</v>
      </c>
      <c r="V412" t="s">
        <v>210</v>
      </c>
      <c r="W412">
        <v>2.8</v>
      </c>
      <c r="X412" t="s">
        <v>122</v>
      </c>
      <c r="Y412" t="s">
        <v>470</v>
      </c>
      <c r="Z412" t="s">
        <v>106</v>
      </c>
      <c r="AA412" t="s">
        <v>101</v>
      </c>
      <c r="AB412" t="s">
        <v>115</v>
      </c>
      <c r="AC412">
        <v>1925</v>
      </c>
      <c r="AD412" s="8" t="b">
        <f>AND(
 H412&gt;=Filters!$B$3,
 H412&lt;=Filters!$B$4,
 I412&gt;=Filters!$B$5,
 OR(Filters!$B$6="All",B412=Filters!$B$6),
 F412&gt;=Filters!$B$7,
 F412&lt;=Filters!$B$8,
 OR(Filters!$B$9="All",G412=Filters!$B$9)
)</f>
        <v>0</v>
      </c>
      <c r="AE412">
        <f t="shared" si="78"/>
        <v>6</v>
      </c>
      <c r="AF412">
        <f t="shared" si="79"/>
        <v>7</v>
      </c>
      <c r="AG412">
        <f t="shared" si="80"/>
        <v>7</v>
      </c>
      <c r="AH412" s="9" t="str">
        <f t="shared" si="81"/>
        <v/>
      </c>
      <c r="AI412" s="9" t="str">
        <f t="shared" si="82"/>
        <v/>
      </c>
      <c r="AJ412" s="9" t="str">
        <f t="shared" si="83"/>
        <v/>
      </c>
      <c r="AK412" s="9" t="str">
        <f t="shared" si="84"/>
        <v/>
      </c>
      <c r="AL412" s="9" t="str">
        <f t="shared" si="85"/>
        <v/>
      </c>
      <c r="AM412" s="9" t="str">
        <f t="shared" si="86"/>
        <v/>
      </c>
      <c r="AN412" s="9" t="str">
        <f t="shared" si="87"/>
        <v/>
      </c>
      <c r="AO412" s="9" t="str">
        <f t="shared" si="88"/>
        <v/>
      </c>
      <c r="AP412" s="9" t="str">
        <f t="shared" si="89"/>
        <v/>
      </c>
      <c r="AQ412" s="10" t="str">
        <f t="shared" si="90"/>
        <v/>
      </c>
    </row>
    <row r="413" spans="1:43">
      <c r="A413">
        <v>412</v>
      </c>
      <c r="B413" t="s">
        <v>29</v>
      </c>
      <c r="C413" t="s">
        <v>721</v>
      </c>
      <c r="D413" t="s">
        <v>722</v>
      </c>
      <c r="E413" t="s">
        <v>83</v>
      </c>
      <c r="G413" t="s">
        <v>18</v>
      </c>
      <c r="H413" s="4">
        <v>52461000</v>
      </c>
      <c r="I413" s="5">
        <v>512</v>
      </c>
      <c r="J413" s="5">
        <v>0</v>
      </c>
      <c r="K413" s="5">
        <v>8</v>
      </c>
      <c r="L413">
        <v>9.6</v>
      </c>
      <c r="M413">
        <v>6.5</v>
      </c>
      <c r="N413">
        <v>7.4</v>
      </c>
      <c r="O413" s="6">
        <v>14</v>
      </c>
      <c r="P413" s="7">
        <v>1.7</v>
      </c>
      <c r="U413" t="s">
        <v>84</v>
      </c>
      <c r="V413" t="s">
        <v>210</v>
      </c>
      <c r="W413">
        <v>2.8</v>
      </c>
      <c r="X413" t="s">
        <v>122</v>
      </c>
      <c r="Y413" t="s">
        <v>661</v>
      </c>
      <c r="Z413" t="s">
        <v>106</v>
      </c>
      <c r="AA413" t="s">
        <v>723</v>
      </c>
      <c r="AB413" t="s">
        <v>115</v>
      </c>
      <c r="AC413">
        <v>1943</v>
      </c>
      <c r="AD413" s="8" t="b">
        <f>AND(
 H413&gt;=Filters!$B$3,
 H413&lt;=Filters!$B$4,
 I413&gt;=Filters!$B$5,
 OR(Filters!$B$6="All",B413=Filters!$B$6),
 F413&gt;=Filters!$B$7,
 F413&lt;=Filters!$B$8,
 OR(Filters!$B$9="All",G413=Filters!$B$9)
)</f>
        <v>0</v>
      </c>
      <c r="AE413">
        <f t="shared" si="78"/>
        <v>6</v>
      </c>
      <c r="AF413">
        <f t="shared" si="79"/>
        <v>7</v>
      </c>
      <c r="AG413">
        <f t="shared" si="80"/>
        <v>7</v>
      </c>
      <c r="AH413" s="9" t="str">
        <f t="shared" si="81"/>
        <v/>
      </c>
      <c r="AI413" s="9" t="str">
        <f t="shared" si="82"/>
        <v/>
      </c>
      <c r="AJ413" s="9" t="str">
        <f t="shared" si="83"/>
        <v/>
      </c>
      <c r="AK413" s="9" t="str">
        <f t="shared" si="84"/>
        <v/>
      </c>
      <c r="AL413" s="9" t="str">
        <f t="shared" si="85"/>
        <v/>
      </c>
      <c r="AM413" s="9" t="str">
        <f t="shared" si="86"/>
        <v/>
      </c>
      <c r="AN413" s="9" t="str">
        <f t="shared" si="87"/>
        <v/>
      </c>
      <c r="AO413" s="9" t="str">
        <f t="shared" si="88"/>
        <v/>
      </c>
      <c r="AP413" s="9" t="str">
        <f t="shared" si="89"/>
        <v/>
      </c>
      <c r="AQ413" s="10" t="str">
        <f t="shared" si="90"/>
        <v/>
      </c>
    </row>
    <row r="414" spans="1:43">
      <c r="A414">
        <v>413</v>
      </c>
      <c r="B414" t="s">
        <v>26</v>
      </c>
      <c r="C414" t="s">
        <v>724</v>
      </c>
      <c r="D414" t="s">
        <v>725</v>
      </c>
      <c r="E414" t="s">
        <v>97</v>
      </c>
      <c r="G414" t="s">
        <v>18</v>
      </c>
      <c r="H414" s="4">
        <v>12663000</v>
      </c>
      <c r="I414" s="5">
        <v>0</v>
      </c>
      <c r="J414" s="5">
        <v>1024</v>
      </c>
      <c r="K414" s="5">
        <v>4</v>
      </c>
      <c r="L414">
        <v>4</v>
      </c>
      <c r="M414">
        <v>6.5</v>
      </c>
      <c r="N414">
        <v>5.92</v>
      </c>
      <c r="O414" s="6">
        <v>15.6</v>
      </c>
      <c r="P414" s="7">
        <v>2.1</v>
      </c>
      <c r="U414" t="s">
        <v>84</v>
      </c>
      <c r="V414" t="s">
        <v>129</v>
      </c>
      <c r="W414">
        <v>2</v>
      </c>
      <c r="X414" t="s">
        <v>104</v>
      </c>
      <c r="Y414" t="s">
        <v>241</v>
      </c>
      <c r="Z414" t="s">
        <v>146</v>
      </c>
      <c r="AA414" t="s">
        <v>101</v>
      </c>
      <c r="AB414" t="s">
        <v>115</v>
      </c>
      <c r="AC414">
        <v>469</v>
      </c>
      <c r="AD414" s="8" t="b">
        <f>AND(
 H414&gt;=Filters!$B$3,
 H414&lt;=Filters!$B$4,
 I414&gt;=Filters!$B$5,
 OR(Filters!$B$6="All",B414=Filters!$B$6),
 F414&gt;=Filters!$B$7,
 F414&lt;=Filters!$B$8,
 OR(Filters!$B$9="All",G414=Filters!$B$9)
)</f>
        <v>0</v>
      </c>
      <c r="AE414">
        <f t="shared" si="78"/>
        <v>6</v>
      </c>
      <c r="AF414">
        <f t="shared" si="79"/>
        <v>7</v>
      </c>
      <c r="AG414">
        <f t="shared" si="80"/>
        <v>7</v>
      </c>
      <c r="AH414" s="9" t="str">
        <f t="shared" si="81"/>
        <v/>
      </c>
      <c r="AI414" s="9" t="str">
        <f t="shared" si="82"/>
        <v/>
      </c>
      <c r="AJ414" s="9" t="str">
        <f t="shared" si="83"/>
        <v/>
      </c>
      <c r="AK414" s="9" t="str">
        <f t="shared" si="84"/>
        <v/>
      </c>
      <c r="AL414" s="9" t="str">
        <f t="shared" si="85"/>
        <v/>
      </c>
      <c r="AM414" s="9" t="str">
        <f t="shared" si="86"/>
        <v/>
      </c>
      <c r="AN414" s="9" t="str">
        <f t="shared" si="87"/>
        <v/>
      </c>
      <c r="AO414" s="9" t="str">
        <f t="shared" si="88"/>
        <v/>
      </c>
      <c r="AP414" s="9" t="str">
        <f t="shared" si="89"/>
        <v/>
      </c>
      <c r="AQ414" s="10" t="str">
        <f t="shared" si="90"/>
        <v/>
      </c>
    </row>
    <row r="415" spans="1:43">
      <c r="A415">
        <v>414</v>
      </c>
      <c r="B415" t="s">
        <v>17</v>
      </c>
      <c r="C415" t="s">
        <v>504</v>
      </c>
      <c r="D415" t="s">
        <v>505</v>
      </c>
      <c r="E415" t="s">
        <v>168</v>
      </c>
      <c r="G415" t="s">
        <v>18</v>
      </c>
      <c r="H415" s="4">
        <v>21303270</v>
      </c>
      <c r="I415" s="5">
        <v>256</v>
      </c>
      <c r="J415" s="5">
        <v>0</v>
      </c>
      <c r="K415" s="5">
        <v>8</v>
      </c>
      <c r="L415">
        <v>9</v>
      </c>
      <c r="M415">
        <v>3.5</v>
      </c>
      <c r="N415">
        <v>6.67</v>
      </c>
      <c r="O415" s="6">
        <v>13.3</v>
      </c>
      <c r="P415" s="7">
        <v>1.6</v>
      </c>
      <c r="U415" t="s">
        <v>84</v>
      </c>
      <c r="V415" t="s">
        <v>485</v>
      </c>
      <c r="W415">
        <v>2.5</v>
      </c>
      <c r="X415" t="s">
        <v>84</v>
      </c>
      <c r="Y415" t="s">
        <v>130</v>
      </c>
      <c r="Z415" t="s">
        <v>100</v>
      </c>
      <c r="AA415" t="s">
        <v>149</v>
      </c>
      <c r="AB415" t="s">
        <v>115</v>
      </c>
      <c r="AC415">
        <v>789.01</v>
      </c>
      <c r="AD415" s="8" t="b">
        <f>AND(
 H415&gt;=Filters!$B$3,
 H415&lt;=Filters!$B$4,
 I415&gt;=Filters!$B$5,
 OR(Filters!$B$6="All",B415=Filters!$B$6),
 F415&gt;=Filters!$B$7,
 F415&lt;=Filters!$B$8,
 OR(Filters!$B$9="All",G415=Filters!$B$9)
)</f>
        <v>1</v>
      </c>
      <c r="AE415">
        <f t="shared" si="78"/>
        <v>6</v>
      </c>
      <c r="AF415">
        <f t="shared" si="79"/>
        <v>7</v>
      </c>
      <c r="AG415">
        <f t="shared" si="80"/>
        <v>7</v>
      </c>
      <c r="AH415" s="9">
        <f t="shared" si="81"/>
        <v>0.92857142857142849</v>
      </c>
      <c r="AI415" s="9">
        <f t="shared" si="82"/>
        <v>0.80952380952380942</v>
      </c>
      <c r="AJ415" s="9">
        <f t="shared" si="83"/>
        <v>0.27380952380952378</v>
      </c>
      <c r="AK415" s="9">
        <f t="shared" si="84"/>
        <v>0.6511904761904761</v>
      </c>
      <c r="AL415" s="9">
        <f t="shared" si="85"/>
        <v>0.95238095238095233</v>
      </c>
      <c r="AM415" s="9">
        <f t="shared" si="86"/>
        <v>0.5714285714285714</v>
      </c>
      <c r="AN415" s="9">
        <f t="shared" si="87"/>
        <v>0.69047619047619047</v>
      </c>
      <c r="AO415" s="9">
        <f t="shared" si="88"/>
        <v>0.69047619047619047</v>
      </c>
      <c r="AP415" s="9">
        <f t="shared" si="89"/>
        <v>0.72782220021956578</v>
      </c>
      <c r="AQ415" s="10">
        <f t="shared" si="90"/>
        <v>0.72782261521956582</v>
      </c>
    </row>
    <row r="416" spans="1:43">
      <c r="A416">
        <v>415</v>
      </c>
      <c r="B416" t="s">
        <v>21</v>
      </c>
      <c r="C416" t="s">
        <v>405</v>
      </c>
      <c r="D416" t="s">
        <v>406</v>
      </c>
      <c r="E416" t="s">
        <v>168</v>
      </c>
      <c r="G416" t="s">
        <v>18</v>
      </c>
      <c r="H416" s="4">
        <v>25056000</v>
      </c>
      <c r="I416" s="5">
        <v>256</v>
      </c>
      <c r="J416" s="5">
        <v>0</v>
      </c>
      <c r="K416" s="5">
        <v>8</v>
      </c>
      <c r="L416">
        <v>7</v>
      </c>
      <c r="M416">
        <v>3.5</v>
      </c>
      <c r="N416">
        <v>6.67</v>
      </c>
      <c r="O416" s="6">
        <v>13.3</v>
      </c>
      <c r="P416" s="7">
        <v>1.27</v>
      </c>
      <c r="U416" t="s">
        <v>84</v>
      </c>
      <c r="V416" t="s">
        <v>98</v>
      </c>
      <c r="W416">
        <v>2.5</v>
      </c>
      <c r="X416" t="s">
        <v>84</v>
      </c>
      <c r="Y416" t="s">
        <v>99</v>
      </c>
      <c r="Z416" t="s">
        <v>100</v>
      </c>
      <c r="AA416" t="s">
        <v>149</v>
      </c>
      <c r="AB416" t="s">
        <v>115</v>
      </c>
      <c r="AC416">
        <v>928</v>
      </c>
      <c r="AD416" s="8" t="b">
        <f>AND(
 H416&gt;=Filters!$B$3,
 H416&lt;=Filters!$B$4,
 I416&gt;=Filters!$B$5,
 OR(Filters!$B$6="All",B416=Filters!$B$6),
 F416&gt;=Filters!$B$7,
 F416&lt;=Filters!$B$8,
 OR(Filters!$B$9="All",G416=Filters!$B$9)
)</f>
        <v>0</v>
      </c>
      <c r="AE416">
        <f t="shared" si="78"/>
        <v>6</v>
      </c>
      <c r="AF416">
        <f t="shared" si="79"/>
        <v>7</v>
      </c>
      <c r="AG416">
        <f t="shared" si="80"/>
        <v>7</v>
      </c>
      <c r="AH416" s="9" t="str">
        <f t="shared" si="81"/>
        <v/>
      </c>
      <c r="AI416" s="9" t="str">
        <f t="shared" si="82"/>
        <v/>
      </c>
      <c r="AJ416" s="9" t="str">
        <f t="shared" si="83"/>
        <v/>
      </c>
      <c r="AK416" s="9" t="str">
        <f t="shared" si="84"/>
        <v/>
      </c>
      <c r="AL416" s="9" t="str">
        <f t="shared" si="85"/>
        <v/>
      </c>
      <c r="AM416" s="9" t="str">
        <f t="shared" si="86"/>
        <v/>
      </c>
      <c r="AN416" s="9" t="str">
        <f t="shared" si="87"/>
        <v/>
      </c>
      <c r="AO416" s="9" t="str">
        <f t="shared" si="88"/>
        <v/>
      </c>
      <c r="AP416" s="9" t="str">
        <f t="shared" si="89"/>
        <v/>
      </c>
      <c r="AQ416" s="10" t="str">
        <f t="shared" si="90"/>
        <v/>
      </c>
    </row>
    <row r="417" spans="1:43">
      <c r="A417">
        <v>416</v>
      </c>
      <c r="B417" t="s">
        <v>23</v>
      </c>
      <c r="C417" t="s">
        <v>132</v>
      </c>
      <c r="D417" t="s">
        <v>133</v>
      </c>
      <c r="E417" t="s">
        <v>97</v>
      </c>
      <c r="G417" t="s">
        <v>18</v>
      </c>
      <c r="H417" s="4">
        <v>16170300</v>
      </c>
      <c r="I417" s="5">
        <v>256</v>
      </c>
      <c r="J417" s="5">
        <v>0</v>
      </c>
      <c r="K417" s="5">
        <v>4</v>
      </c>
      <c r="L417">
        <v>7</v>
      </c>
      <c r="M417">
        <v>6.5</v>
      </c>
      <c r="N417">
        <v>5.92</v>
      </c>
      <c r="O417" s="6">
        <v>15.6</v>
      </c>
      <c r="P417" s="7">
        <v>2.2999999999999998</v>
      </c>
      <c r="U417" t="s">
        <v>84</v>
      </c>
      <c r="V417" t="s">
        <v>98</v>
      </c>
      <c r="W417">
        <v>2.5</v>
      </c>
      <c r="X417" t="s">
        <v>104</v>
      </c>
      <c r="Y417" t="s">
        <v>134</v>
      </c>
      <c r="Z417" t="s">
        <v>100</v>
      </c>
      <c r="AA417" t="s">
        <v>101</v>
      </c>
      <c r="AB417" t="s">
        <v>201</v>
      </c>
      <c r="AC417">
        <v>598.9</v>
      </c>
      <c r="AD417" s="8" t="b">
        <f>AND(
 H417&gt;=Filters!$B$3,
 H417&lt;=Filters!$B$4,
 I417&gt;=Filters!$B$5,
 OR(Filters!$B$6="All",B417=Filters!$B$6),
 F417&gt;=Filters!$B$7,
 F417&lt;=Filters!$B$8,
 OR(Filters!$B$9="All",G417=Filters!$B$9)
)</f>
        <v>1</v>
      </c>
      <c r="AE417">
        <f t="shared" si="78"/>
        <v>6</v>
      </c>
      <c r="AF417">
        <f t="shared" si="79"/>
        <v>7</v>
      </c>
      <c r="AG417">
        <f t="shared" si="80"/>
        <v>7</v>
      </c>
      <c r="AH417" s="9">
        <f t="shared" si="81"/>
        <v>0.69047619047619047</v>
      </c>
      <c r="AI417" s="9">
        <f t="shared" si="82"/>
        <v>0.33333333333333331</v>
      </c>
      <c r="AJ417" s="9">
        <f t="shared" si="83"/>
        <v>0.63095238095238093</v>
      </c>
      <c r="AK417" s="9">
        <f t="shared" si="84"/>
        <v>0.56190476190476191</v>
      </c>
      <c r="AL417" s="9">
        <f t="shared" si="85"/>
        <v>0.86904761904761896</v>
      </c>
      <c r="AM417" s="9">
        <f t="shared" si="86"/>
        <v>0.5714285714285714</v>
      </c>
      <c r="AN417" s="9">
        <f t="shared" si="87"/>
        <v>0.69047619047619047</v>
      </c>
      <c r="AO417" s="9">
        <f t="shared" si="88"/>
        <v>0.69047619047619047</v>
      </c>
      <c r="AP417" s="9">
        <f t="shared" si="89"/>
        <v>0.60329443537963634</v>
      </c>
      <c r="AQ417" s="10">
        <f t="shared" si="90"/>
        <v>0.60329485237963631</v>
      </c>
    </row>
    <row r="418" spans="1:43">
      <c r="A418">
        <v>417</v>
      </c>
      <c r="B418" t="s">
        <v>23</v>
      </c>
      <c r="C418" t="s">
        <v>726</v>
      </c>
      <c r="D418" t="s">
        <v>727</v>
      </c>
      <c r="E418" t="s">
        <v>97</v>
      </c>
      <c r="G418" t="s">
        <v>18</v>
      </c>
      <c r="H418" s="4">
        <v>18603000</v>
      </c>
      <c r="I418" s="5">
        <v>128</v>
      </c>
      <c r="J418" s="5">
        <v>0</v>
      </c>
      <c r="K418" s="5">
        <v>4</v>
      </c>
      <c r="L418">
        <v>4</v>
      </c>
      <c r="M418">
        <v>3.5</v>
      </c>
      <c r="N418">
        <v>3.96</v>
      </c>
      <c r="O418" s="6">
        <v>13.3</v>
      </c>
      <c r="P418" s="7">
        <v>1.65</v>
      </c>
      <c r="U418" t="s">
        <v>84</v>
      </c>
      <c r="V418" t="s">
        <v>129</v>
      </c>
      <c r="W418">
        <v>2</v>
      </c>
      <c r="X418" t="s">
        <v>84</v>
      </c>
      <c r="Y418" t="s">
        <v>130</v>
      </c>
      <c r="Z418" t="s">
        <v>87</v>
      </c>
      <c r="AA418" t="s">
        <v>114</v>
      </c>
      <c r="AB418" t="s">
        <v>115</v>
      </c>
      <c r="AC418">
        <v>689</v>
      </c>
      <c r="AD418" s="8" t="b">
        <f>AND(
 H418&gt;=Filters!$B$3,
 H418&lt;=Filters!$B$4,
 I418&gt;=Filters!$B$5,
 OR(Filters!$B$6="All",B418=Filters!$B$6),
 F418&gt;=Filters!$B$7,
 F418&lt;=Filters!$B$8,
 OR(Filters!$B$9="All",G418=Filters!$B$9)
)</f>
        <v>0</v>
      </c>
      <c r="AE418">
        <f t="shared" si="78"/>
        <v>6</v>
      </c>
      <c r="AF418">
        <f t="shared" si="79"/>
        <v>7</v>
      </c>
      <c r="AG418">
        <f t="shared" si="80"/>
        <v>7</v>
      </c>
      <c r="AH418" s="9" t="str">
        <f t="shared" si="81"/>
        <v/>
      </c>
      <c r="AI418" s="9" t="str">
        <f t="shared" si="82"/>
        <v/>
      </c>
      <c r="AJ418" s="9" t="str">
        <f t="shared" si="83"/>
        <v/>
      </c>
      <c r="AK418" s="9" t="str">
        <f t="shared" si="84"/>
        <v/>
      </c>
      <c r="AL418" s="9" t="str">
        <f t="shared" si="85"/>
        <v/>
      </c>
      <c r="AM418" s="9" t="str">
        <f t="shared" si="86"/>
        <v/>
      </c>
      <c r="AN418" s="9" t="str">
        <f t="shared" si="87"/>
        <v/>
      </c>
      <c r="AO418" s="9" t="str">
        <f t="shared" si="88"/>
        <v/>
      </c>
      <c r="AP418" s="9" t="str">
        <f t="shared" si="89"/>
        <v/>
      </c>
      <c r="AQ418" s="10" t="str">
        <f t="shared" si="90"/>
        <v/>
      </c>
    </row>
    <row r="419" spans="1:43">
      <c r="A419">
        <v>418</v>
      </c>
      <c r="B419" t="s">
        <v>26</v>
      </c>
      <c r="C419" t="s">
        <v>728</v>
      </c>
      <c r="D419" t="s">
        <v>729</v>
      </c>
      <c r="E419" t="s">
        <v>83</v>
      </c>
      <c r="G419" t="s">
        <v>18</v>
      </c>
      <c r="H419" s="4">
        <v>40500000</v>
      </c>
      <c r="I419" s="5">
        <v>256</v>
      </c>
      <c r="J419" s="5">
        <v>0</v>
      </c>
      <c r="K419" s="5">
        <v>8</v>
      </c>
      <c r="L419">
        <v>9</v>
      </c>
      <c r="M419">
        <v>3.5</v>
      </c>
      <c r="N419">
        <v>6</v>
      </c>
      <c r="O419" s="6">
        <v>14</v>
      </c>
      <c r="P419" s="7">
        <v>1.43</v>
      </c>
      <c r="U419" t="s">
        <v>84</v>
      </c>
      <c r="V419" t="s">
        <v>485</v>
      </c>
      <c r="W419">
        <v>2.5</v>
      </c>
      <c r="X419" t="s">
        <v>84</v>
      </c>
      <c r="Y419" t="s">
        <v>130</v>
      </c>
      <c r="Z419" t="s">
        <v>100</v>
      </c>
      <c r="AA419" t="s">
        <v>101</v>
      </c>
      <c r="AB419" t="s">
        <v>115</v>
      </c>
      <c r="AC419">
        <v>1500</v>
      </c>
      <c r="AD419" s="8" t="b">
        <f>AND(
 H419&gt;=Filters!$B$3,
 H419&lt;=Filters!$B$4,
 I419&gt;=Filters!$B$5,
 OR(Filters!$B$6="All",B419=Filters!$B$6),
 F419&gt;=Filters!$B$7,
 F419&lt;=Filters!$B$8,
 OR(Filters!$B$9="All",G419=Filters!$B$9)
)</f>
        <v>0</v>
      </c>
      <c r="AE419">
        <f t="shared" si="78"/>
        <v>6</v>
      </c>
      <c r="AF419">
        <f t="shared" si="79"/>
        <v>7</v>
      </c>
      <c r="AG419">
        <f t="shared" si="80"/>
        <v>7</v>
      </c>
      <c r="AH419" s="9" t="str">
        <f t="shared" si="81"/>
        <v/>
      </c>
      <c r="AI419" s="9" t="str">
        <f t="shared" si="82"/>
        <v/>
      </c>
      <c r="AJ419" s="9" t="str">
        <f t="shared" si="83"/>
        <v/>
      </c>
      <c r="AK419" s="9" t="str">
        <f t="shared" si="84"/>
        <v/>
      </c>
      <c r="AL419" s="9" t="str">
        <f t="shared" si="85"/>
        <v/>
      </c>
      <c r="AM419" s="9" t="str">
        <f t="shared" si="86"/>
        <v/>
      </c>
      <c r="AN419" s="9" t="str">
        <f t="shared" si="87"/>
        <v/>
      </c>
      <c r="AO419" s="9" t="str">
        <f t="shared" si="88"/>
        <v/>
      </c>
      <c r="AP419" s="9" t="str">
        <f t="shared" si="89"/>
        <v/>
      </c>
      <c r="AQ419" s="10" t="str">
        <f t="shared" si="90"/>
        <v/>
      </c>
    </row>
    <row r="420" spans="1:43">
      <c r="A420">
        <v>419</v>
      </c>
      <c r="B420" t="s">
        <v>23</v>
      </c>
      <c r="C420" t="s">
        <v>132</v>
      </c>
      <c r="D420" t="s">
        <v>133</v>
      </c>
      <c r="E420" t="s">
        <v>97</v>
      </c>
      <c r="G420" t="s">
        <v>18</v>
      </c>
      <c r="H420" s="4">
        <v>14578650</v>
      </c>
      <c r="I420" s="5">
        <v>0</v>
      </c>
      <c r="J420" s="5">
        <v>1024</v>
      </c>
      <c r="K420" s="5">
        <v>8</v>
      </c>
      <c r="L420">
        <v>7</v>
      </c>
      <c r="M420">
        <v>3.5</v>
      </c>
      <c r="N420">
        <v>3.92</v>
      </c>
      <c r="O420" s="6">
        <v>15.6</v>
      </c>
      <c r="P420" s="7">
        <v>2.14</v>
      </c>
      <c r="U420" t="s">
        <v>84</v>
      </c>
      <c r="V420" t="s">
        <v>98</v>
      </c>
      <c r="W420">
        <v>2.5</v>
      </c>
      <c r="X420" t="s">
        <v>84</v>
      </c>
      <c r="Y420" t="s">
        <v>99</v>
      </c>
      <c r="Z420" t="s">
        <v>146</v>
      </c>
      <c r="AA420" t="s">
        <v>114</v>
      </c>
      <c r="AB420" t="s">
        <v>115</v>
      </c>
      <c r="AC420">
        <v>539.95000000000005</v>
      </c>
      <c r="AD420" s="8" t="b">
        <f>AND(
 H420&gt;=Filters!$B$3,
 H420&lt;=Filters!$B$4,
 I420&gt;=Filters!$B$5,
 OR(Filters!$B$6="All",B420=Filters!$B$6),
 F420&gt;=Filters!$B$7,
 F420&lt;=Filters!$B$8,
 OR(Filters!$B$9="All",G420=Filters!$B$9)
)</f>
        <v>0</v>
      </c>
      <c r="AE420">
        <f t="shared" si="78"/>
        <v>6</v>
      </c>
      <c r="AF420">
        <f t="shared" si="79"/>
        <v>7</v>
      </c>
      <c r="AG420">
        <f t="shared" si="80"/>
        <v>7</v>
      </c>
      <c r="AH420" s="9" t="str">
        <f t="shared" si="81"/>
        <v/>
      </c>
      <c r="AI420" s="9" t="str">
        <f t="shared" si="82"/>
        <v/>
      </c>
      <c r="AJ420" s="9" t="str">
        <f t="shared" si="83"/>
        <v/>
      </c>
      <c r="AK420" s="9" t="str">
        <f t="shared" si="84"/>
        <v/>
      </c>
      <c r="AL420" s="9" t="str">
        <f t="shared" si="85"/>
        <v/>
      </c>
      <c r="AM420" s="9" t="str">
        <f t="shared" si="86"/>
        <v/>
      </c>
      <c r="AN420" s="9" t="str">
        <f t="shared" si="87"/>
        <v/>
      </c>
      <c r="AO420" s="9" t="str">
        <f t="shared" si="88"/>
        <v/>
      </c>
      <c r="AP420" s="9" t="str">
        <f t="shared" si="89"/>
        <v/>
      </c>
      <c r="AQ420" s="10" t="str">
        <f t="shared" si="90"/>
        <v/>
      </c>
    </row>
    <row r="421" spans="1:43">
      <c r="A421">
        <v>420</v>
      </c>
      <c r="B421" t="s">
        <v>29</v>
      </c>
      <c r="C421" t="s">
        <v>730</v>
      </c>
      <c r="D421" t="s">
        <v>370</v>
      </c>
      <c r="E421" t="s">
        <v>83</v>
      </c>
      <c r="G421" t="s">
        <v>18</v>
      </c>
      <c r="H421" s="4">
        <v>32815260</v>
      </c>
      <c r="I421" s="5">
        <v>256</v>
      </c>
      <c r="J421" s="5">
        <v>0</v>
      </c>
      <c r="K421" s="5">
        <v>8</v>
      </c>
      <c r="L421">
        <v>7.6</v>
      </c>
      <c r="M421">
        <v>8</v>
      </c>
      <c r="N421">
        <v>6.4</v>
      </c>
      <c r="O421" s="6">
        <v>14</v>
      </c>
      <c r="P421" s="7">
        <v>1.75</v>
      </c>
      <c r="U421" t="s">
        <v>84</v>
      </c>
      <c r="V421" t="s">
        <v>121</v>
      </c>
      <c r="W421">
        <v>1.8</v>
      </c>
      <c r="X421" t="s">
        <v>104</v>
      </c>
      <c r="Y421" t="s">
        <v>371</v>
      </c>
      <c r="Z421" t="s">
        <v>100</v>
      </c>
      <c r="AA421" t="s">
        <v>128</v>
      </c>
      <c r="AB421" t="s">
        <v>115</v>
      </c>
      <c r="AC421">
        <v>1215.3800000000001</v>
      </c>
      <c r="AD421" s="8" t="b">
        <f>AND(
 H421&gt;=Filters!$B$3,
 H421&lt;=Filters!$B$4,
 I421&gt;=Filters!$B$5,
 OR(Filters!$B$6="All",B421=Filters!$B$6),
 F421&gt;=Filters!$B$7,
 F421&lt;=Filters!$B$8,
 OR(Filters!$B$9="All",G421=Filters!$B$9)
)</f>
        <v>0</v>
      </c>
      <c r="AE421">
        <f t="shared" si="78"/>
        <v>6</v>
      </c>
      <c r="AF421">
        <f t="shared" si="79"/>
        <v>7</v>
      </c>
      <c r="AG421">
        <f t="shared" si="80"/>
        <v>7</v>
      </c>
      <c r="AH421" s="9" t="str">
        <f t="shared" si="81"/>
        <v/>
      </c>
      <c r="AI421" s="9" t="str">
        <f t="shared" si="82"/>
        <v/>
      </c>
      <c r="AJ421" s="9" t="str">
        <f t="shared" si="83"/>
        <v/>
      </c>
      <c r="AK421" s="9" t="str">
        <f t="shared" si="84"/>
        <v/>
      </c>
      <c r="AL421" s="9" t="str">
        <f t="shared" si="85"/>
        <v/>
      </c>
      <c r="AM421" s="9" t="str">
        <f t="shared" si="86"/>
        <v/>
      </c>
      <c r="AN421" s="9" t="str">
        <f t="shared" si="87"/>
        <v/>
      </c>
      <c r="AO421" s="9" t="str">
        <f t="shared" si="88"/>
        <v/>
      </c>
      <c r="AP421" s="9" t="str">
        <f t="shared" si="89"/>
        <v/>
      </c>
      <c r="AQ421" s="10" t="str">
        <f t="shared" si="90"/>
        <v/>
      </c>
    </row>
    <row r="422" spans="1:43">
      <c r="A422">
        <v>421</v>
      </c>
      <c r="B422" t="s">
        <v>29</v>
      </c>
      <c r="C422" t="s">
        <v>538</v>
      </c>
      <c r="D422" t="s">
        <v>539</v>
      </c>
      <c r="E422" t="s">
        <v>168</v>
      </c>
      <c r="G422" t="s">
        <v>18</v>
      </c>
      <c r="H422" s="4">
        <v>51273000</v>
      </c>
      <c r="I422" s="5">
        <v>512</v>
      </c>
      <c r="J422" s="5">
        <v>0</v>
      </c>
      <c r="K422" s="5">
        <v>16</v>
      </c>
      <c r="L422">
        <v>9.6</v>
      </c>
      <c r="M422">
        <v>9.1999999999999993</v>
      </c>
      <c r="N422">
        <v>10</v>
      </c>
      <c r="O422" s="6">
        <v>15.6</v>
      </c>
      <c r="P422" s="7">
        <v>2</v>
      </c>
      <c r="U422" t="s">
        <v>84</v>
      </c>
      <c r="V422" t="s">
        <v>210</v>
      </c>
      <c r="W422">
        <v>2.8</v>
      </c>
      <c r="X422" t="s">
        <v>122</v>
      </c>
      <c r="Y422" t="s">
        <v>160</v>
      </c>
      <c r="Z422" t="s">
        <v>106</v>
      </c>
      <c r="AA422" t="s">
        <v>382</v>
      </c>
      <c r="AB422" t="s">
        <v>115</v>
      </c>
      <c r="AC422">
        <v>1899</v>
      </c>
      <c r="AD422" s="8" t="b">
        <f>AND(
 H422&gt;=Filters!$B$3,
 H422&lt;=Filters!$B$4,
 I422&gt;=Filters!$B$5,
 OR(Filters!$B$6="All",B422=Filters!$B$6),
 F422&gt;=Filters!$B$7,
 F422&lt;=Filters!$B$8,
 OR(Filters!$B$9="All",G422=Filters!$B$9)
)</f>
        <v>0</v>
      </c>
      <c r="AE422">
        <f t="shared" si="78"/>
        <v>6</v>
      </c>
      <c r="AF422">
        <f t="shared" si="79"/>
        <v>7</v>
      </c>
      <c r="AG422">
        <f t="shared" si="80"/>
        <v>7</v>
      </c>
      <c r="AH422" s="9" t="str">
        <f t="shared" si="81"/>
        <v/>
      </c>
      <c r="AI422" s="9" t="str">
        <f t="shared" si="82"/>
        <v/>
      </c>
      <c r="AJ422" s="9" t="str">
        <f t="shared" si="83"/>
        <v/>
      </c>
      <c r="AK422" s="9" t="str">
        <f t="shared" si="84"/>
        <v/>
      </c>
      <c r="AL422" s="9" t="str">
        <f t="shared" si="85"/>
        <v/>
      </c>
      <c r="AM422" s="9" t="str">
        <f t="shared" si="86"/>
        <v/>
      </c>
      <c r="AN422" s="9" t="str">
        <f t="shared" si="87"/>
        <v/>
      </c>
      <c r="AO422" s="9" t="str">
        <f t="shared" si="88"/>
        <v/>
      </c>
      <c r="AP422" s="9" t="str">
        <f t="shared" si="89"/>
        <v/>
      </c>
      <c r="AQ422" s="10" t="str">
        <f t="shared" si="90"/>
        <v/>
      </c>
    </row>
    <row r="423" spans="1:43">
      <c r="A423">
        <v>422</v>
      </c>
      <c r="B423" t="s">
        <v>22</v>
      </c>
      <c r="C423" t="s">
        <v>731</v>
      </c>
      <c r="D423" t="s">
        <v>732</v>
      </c>
      <c r="E423" t="s">
        <v>97</v>
      </c>
      <c r="G423" t="s">
        <v>18</v>
      </c>
      <c r="H423" s="4">
        <v>12123000</v>
      </c>
      <c r="I423" s="5">
        <v>64</v>
      </c>
      <c r="J423" s="5">
        <v>0</v>
      </c>
      <c r="K423" s="5">
        <v>6</v>
      </c>
      <c r="L423">
        <v>1</v>
      </c>
      <c r="M423">
        <v>3.5</v>
      </c>
      <c r="N423">
        <v>8.7100000000000009</v>
      </c>
      <c r="O423" s="6">
        <v>12.3</v>
      </c>
      <c r="P423" s="7">
        <v>1.4</v>
      </c>
      <c r="U423" t="s">
        <v>84</v>
      </c>
      <c r="V423" t="s">
        <v>669</v>
      </c>
      <c r="W423">
        <v>1.1000000000000001</v>
      </c>
      <c r="X423" t="s">
        <v>84</v>
      </c>
      <c r="Y423" t="s">
        <v>199</v>
      </c>
      <c r="Z423" t="s">
        <v>188</v>
      </c>
      <c r="AA423" t="s">
        <v>733</v>
      </c>
      <c r="AB423" t="s">
        <v>115</v>
      </c>
      <c r="AC423">
        <v>449</v>
      </c>
      <c r="AD423" s="8" t="b">
        <f>AND(
 H423&gt;=Filters!$B$3,
 H423&lt;=Filters!$B$4,
 I423&gt;=Filters!$B$5,
 OR(Filters!$B$6="All",B423=Filters!$B$6),
 F423&gt;=Filters!$B$7,
 F423&lt;=Filters!$B$8,
 OR(Filters!$B$9="All",G423=Filters!$B$9)
)</f>
        <v>0</v>
      </c>
      <c r="AE423">
        <f t="shared" si="78"/>
        <v>6</v>
      </c>
      <c r="AF423">
        <f t="shared" si="79"/>
        <v>7</v>
      </c>
      <c r="AG423">
        <f t="shared" si="80"/>
        <v>7</v>
      </c>
      <c r="AH423" s="9" t="str">
        <f t="shared" si="81"/>
        <v/>
      </c>
      <c r="AI423" s="9" t="str">
        <f t="shared" si="82"/>
        <v/>
      </c>
      <c r="AJ423" s="9" t="str">
        <f t="shared" si="83"/>
        <v/>
      </c>
      <c r="AK423" s="9" t="str">
        <f t="shared" si="84"/>
        <v/>
      </c>
      <c r="AL423" s="9" t="str">
        <f t="shared" si="85"/>
        <v/>
      </c>
      <c r="AM423" s="9" t="str">
        <f t="shared" si="86"/>
        <v/>
      </c>
      <c r="AN423" s="9" t="str">
        <f t="shared" si="87"/>
        <v/>
      </c>
      <c r="AO423" s="9" t="str">
        <f t="shared" si="88"/>
        <v/>
      </c>
      <c r="AP423" s="9" t="str">
        <f t="shared" si="89"/>
        <v/>
      </c>
      <c r="AQ423" s="10" t="str">
        <f t="shared" si="90"/>
        <v/>
      </c>
    </row>
    <row r="424" spans="1:43">
      <c r="A424">
        <v>423</v>
      </c>
      <c r="B424" t="s">
        <v>26</v>
      </c>
      <c r="C424" t="s">
        <v>734</v>
      </c>
      <c r="D424" t="s">
        <v>735</v>
      </c>
      <c r="E424" t="s">
        <v>97</v>
      </c>
      <c r="G424" t="s">
        <v>18</v>
      </c>
      <c r="H424" s="4">
        <v>38529000</v>
      </c>
      <c r="I424" s="5">
        <v>256</v>
      </c>
      <c r="J424" s="5">
        <v>0</v>
      </c>
      <c r="K424" s="5">
        <v>8</v>
      </c>
      <c r="L424">
        <v>9.8000000000000007</v>
      </c>
      <c r="M424">
        <v>3.5</v>
      </c>
      <c r="N424">
        <v>5.92</v>
      </c>
      <c r="O424" s="6">
        <v>15.6</v>
      </c>
      <c r="P424" s="7">
        <v>2.31</v>
      </c>
      <c r="U424" t="s">
        <v>84</v>
      </c>
      <c r="V424" t="s">
        <v>574</v>
      </c>
      <c r="W424">
        <v>2.9</v>
      </c>
      <c r="X424" t="s">
        <v>84</v>
      </c>
      <c r="Y424" t="s">
        <v>558</v>
      </c>
      <c r="Z424" t="s">
        <v>100</v>
      </c>
      <c r="AA424" t="s">
        <v>101</v>
      </c>
      <c r="AB424" t="s">
        <v>115</v>
      </c>
      <c r="AC424">
        <v>1427</v>
      </c>
      <c r="AD424" s="8" t="b">
        <f>AND(
 H424&gt;=Filters!$B$3,
 H424&lt;=Filters!$B$4,
 I424&gt;=Filters!$B$5,
 OR(Filters!$B$6="All",B424=Filters!$B$6),
 F424&gt;=Filters!$B$7,
 F424&lt;=Filters!$B$8,
 OR(Filters!$B$9="All",G424=Filters!$B$9)
)</f>
        <v>0</v>
      </c>
      <c r="AE424">
        <f t="shared" si="78"/>
        <v>6</v>
      </c>
      <c r="AF424">
        <f t="shared" si="79"/>
        <v>7</v>
      </c>
      <c r="AG424">
        <f t="shared" si="80"/>
        <v>7</v>
      </c>
      <c r="AH424" s="9" t="str">
        <f t="shared" si="81"/>
        <v/>
      </c>
      <c r="AI424" s="9" t="str">
        <f t="shared" si="82"/>
        <v/>
      </c>
      <c r="AJ424" s="9" t="str">
        <f t="shared" si="83"/>
        <v/>
      </c>
      <c r="AK424" s="9" t="str">
        <f t="shared" si="84"/>
        <v/>
      </c>
      <c r="AL424" s="9" t="str">
        <f t="shared" si="85"/>
        <v/>
      </c>
      <c r="AM424" s="9" t="str">
        <f t="shared" si="86"/>
        <v/>
      </c>
      <c r="AN424" s="9" t="str">
        <f t="shared" si="87"/>
        <v/>
      </c>
      <c r="AO424" s="9" t="str">
        <f t="shared" si="88"/>
        <v/>
      </c>
      <c r="AP424" s="9" t="str">
        <f t="shared" si="89"/>
        <v/>
      </c>
      <c r="AQ424" s="10" t="str">
        <f t="shared" si="90"/>
        <v/>
      </c>
    </row>
    <row r="425" spans="1:43">
      <c r="A425">
        <v>424</v>
      </c>
      <c r="B425" t="s">
        <v>21</v>
      </c>
      <c r="C425" t="s">
        <v>736</v>
      </c>
      <c r="D425" t="s">
        <v>737</v>
      </c>
      <c r="E425" t="s">
        <v>97</v>
      </c>
      <c r="G425" t="s">
        <v>18</v>
      </c>
      <c r="H425" s="4">
        <v>16119000</v>
      </c>
      <c r="I425" s="5">
        <v>0</v>
      </c>
      <c r="J425" s="5">
        <v>1024</v>
      </c>
      <c r="K425" s="5">
        <v>8</v>
      </c>
      <c r="L425">
        <v>4.8</v>
      </c>
      <c r="M425">
        <v>6.5</v>
      </c>
      <c r="N425">
        <v>5.92</v>
      </c>
      <c r="O425" s="6">
        <v>15.6</v>
      </c>
      <c r="P425" s="7">
        <v>2.2999999999999998</v>
      </c>
      <c r="U425" t="s">
        <v>84</v>
      </c>
      <c r="V425" t="s">
        <v>144</v>
      </c>
      <c r="W425">
        <v>2.4</v>
      </c>
      <c r="X425" t="s">
        <v>122</v>
      </c>
      <c r="Y425" t="s">
        <v>145</v>
      </c>
      <c r="Z425" t="s">
        <v>146</v>
      </c>
      <c r="AA425" t="s">
        <v>101</v>
      </c>
      <c r="AB425" t="s">
        <v>201</v>
      </c>
      <c r="AC425">
        <v>597</v>
      </c>
      <c r="AD425" s="8" t="b">
        <f>AND(
 H425&gt;=Filters!$B$3,
 H425&lt;=Filters!$B$4,
 I425&gt;=Filters!$B$5,
 OR(Filters!$B$6="All",B425=Filters!$B$6),
 F425&gt;=Filters!$B$7,
 F425&lt;=Filters!$B$8,
 OR(Filters!$B$9="All",G425=Filters!$B$9)
)</f>
        <v>0</v>
      </c>
      <c r="AE425">
        <f t="shared" si="78"/>
        <v>6</v>
      </c>
      <c r="AF425">
        <f t="shared" si="79"/>
        <v>7</v>
      </c>
      <c r="AG425">
        <f t="shared" si="80"/>
        <v>7</v>
      </c>
      <c r="AH425" s="9" t="str">
        <f t="shared" si="81"/>
        <v/>
      </c>
      <c r="AI425" s="9" t="str">
        <f t="shared" si="82"/>
        <v/>
      </c>
      <c r="AJ425" s="9" t="str">
        <f t="shared" si="83"/>
        <v/>
      </c>
      <c r="AK425" s="9" t="str">
        <f t="shared" si="84"/>
        <v/>
      </c>
      <c r="AL425" s="9" t="str">
        <f t="shared" si="85"/>
        <v/>
      </c>
      <c r="AM425" s="9" t="str">
        <f t="shared" si="86"/>
        <v/>
      </c>
      <c r="AN425" s="9" t="str">
        <f t="shared" si="87"/>
        <v/>
      </c>
      <c r="AO425" s="9" t="str">
        <f t="shared" si="88"/>
        <v/>
      </c>
      <c r="AP425" s="9" t="str">
        <f t="shared" si="89"/>
        <v/>
      </c>
      <c r="AQ425" s="10" t="str">
        <f t="shared" si="90"/>
        <v/>
      </c>
    </row>
    <row r="426" spans="1:43">
      <c r="A426">
        <v>425</v>
      </c>
      <c r="B426" t="s">
        <v>23</v>
      </c>
      <c r="C426" t="s">
        <v>486</v>
      </c>
      <c r="D426" t="s">
        <v>487</v>
      </c>
      <c r="E426" t="s">
        <v>158</v>
      </c>
      <c r="G426" t="s">
        <v>18</v>
      </c>
      <c r="H426" s="4">
        <v>75573000</v>
      </c>
      <c r="I426" s="5">
        <v>256</v>
      </c>
      <c r="J426" s="5">
        <v>1024</v>
      </c>
      <c r="K426" s="5">
        <v>16</v>
      </c>
      <c r="L426">
        <v>9.8000000000000007</v>
      </c>
      <c r="M426">
        <v>9.1999999999999993</v>
      </c>
      <c r="N426">
        <v>7.24</v>
      </c>
      <c r="O426" s="6">
        <v>17.3</v>
      </c>
      <c r="P426" s="7">
        <v>4.42</v>
      </c>
      <c r="U426" t="s">
        <v>84</v>
      </c>
      <c r="V426" t="s">
        <v>455</v>
      </c>
      <c r="W426">
        <v>2.9</v>
      </c>
      <c r="X426" t="s">
        <v>122</v>
      </c>
      <c r="Y426" t="s">
        <v>248</v>
      </c>
      <c r="Z426" t="s">
        <v>212</v>
      </c>
      <c r="AA426" t="s">
        <v>684</v>
      </c>
      <c r="AB426" t="s">
        <v>115</v>
      </c>
      <c r="AC426">
        <v>2799</v>
      </c>
      <c r="AD426" s="8" t="b">
        <f>AND(
 H426&gt;=Filters!$B$3,
 H426&lt;=Filters!$B$4,
 I426&gt;=Filters!$B$5,
 OR(Filters!$B$6="All",B426=Filters!$B$6),
 F426&gt;=Filters!$B$7,
 F426&lt;=Filters!$B$8,
 OR(Filters!$B$9="All",G426=Filters!$B$9)
)</f>
        <v>0</v>
      </c>
      <c r="AE426">
        <f t="shared" si="78"/>
        <v>6</v>
      </c>
      <c r="AF426">
        <f t="shared" si="79"/>
        <v>7</v>
      </c>
      <c r="AG426">
        <f t="shared" si="80"/>
        <v>7</v>
      </c>
      <c r="AH426" s="9" t="str">
        <f t="shared" si="81"/>
        <v/>
      </c>
      <c r="AI426" s="9" t="str">
        <f t="shared" si="82"/>
        <v/>
      </c>
      <c r="AJ426" s="9" t="str">
        <f t="shared" si="83"/>
        <v/>
      </c>
      <c r="AK426" s="9" t="str">
        <f t="shared" si="84"/>
        <v/>
      </c>
      <c r="AL426" s="9" t="str">
        <f t="shared" si="85"/>
        <v/>
      </c>
      <c r="AM426" s="9" t="str">
        <f t="shared" si="86"/>
        <v/>
      </c>
      <c r="AN426" s="9" t="str">
        <f t="shared" si="87"/>
        <v/>
      </c>
      <c r="AO426" s="9" t="str">
        <f t="shared" si="88"/>
        <v/>
      </c>
      <c r="AP426" s="9" t="str">
        <f t="shared" si="89"/>
        <v/>
      </c>
      <c r="AQ426" s="10" t="str">
        <f t="shared" si="90"/>
        <v/>
      </c>
    </row>
    <row r="427" spans="1:43">
      <c r="A427">
        <v>426</v>
      </c>
      <c r="B427" t="s">
        <v>23</v>
      </c>
      <c r="C427" t="s">
        <v>208</v>
      </c>
      <c r="D427" t="s">
        <v>209</v>
      </c>
      <c r="E427" t="s">
        <v>158</v>
      </c>
      <c r="G427" t="s">
        <v>18</v>
      </c>
      <c r="H427" s="4">
        <v>31293000</v>
      </c>
      <c r="I427" s="5">
        <v>128</v>
      </c>
      <c r="J427" s="5">
        <v>1024</v>
      </c>
      <c r="K427" s="5">
        <v>8</v>
      </c>
      <c r="L427">
        <v>9.6</v>
      </c>
      <c r="M427">
        <v>9.1999999999999993</v>
      </c>
      <c r="N427">
        <v>6.32</v>
      </c>
      <c r="O427" s="6">
        <v>15.6</v>
      </c>
      <c r="P427" s="7">
        <v>2.62</v>
      </c>
      <c r="U427" t="s">
        <v>84</v>
      </c>
      <c r="V427" t="s">
        <v>210</v>
      </c>
      <c r="W427">
        <v>2.8</v>
      </c>
      <c r="X427" t="s">
        <v>122</v>
      </c>
      <c r="Y427" t="s">
        <v>260</v>
      </c>
      <c r="Z427" t="s">
        <v>161</v>
      </c>
      <c r="AA427" t="s">
        <v>128</v>
      </c>
      <c r="AB427" t="s">
        <v>115</v>
      </c>
      <c r="AC427">
        <v>1159</v>
      </c>
      <c r="AD427" s="8" t="b">
        <f>AND(
 H427&gt;=Filters!$B$3,
 H427&lt;=Filters!$B$4,
 I427&gt;=Filters!$B$5,
 OR(Filters!$B$6="All",B427=Filters!$B$6),
 F427&gt;=Filters!$B$7,
 F427&lt;=Filters!$B$8,
 OR(Filters!$B$9="All",G427=Filters!$B$9)
)</f>
        <v>0</v>
      </c>
      <c r="AE427">
        <f t="shared" si="78"/>
        <v>6</v>
      </c>
      <c r="AF427">
        <f t="shared" si="79"/>
        <v>7</v>
      </c>
      <c r="AG427">
        <f t="shared" si="80"/>
        <v>7</v>
      </c>
      <c r="AH427" s="9" t="str">
        <f t="shared" si="81"/>
        <v/>
      </c>
      <c r="AI427" s="9" t="str">
        <f t="shared" si="82"/>
        <v/>
      </c>
      <c r="AJ427" s="9" t="str">
        <f t="shared" si="83"/>
        <v/>
      </c>
      <c r="AK427" s="9" t="str">
        <f t="shared" si="84"/>
        <v/>
      </c>
      <c r="AL427" s="9" t="str">
        <f t="shared" si="85"/>
        <v/>
      </c>
      <c r="AM427" s="9" t="str">
        <f t="shared" si="86"/>
        <v/>
      </c>
      <c r="AN427" s="9" t="str">
        <f t="shared" si="87"/>
        <v/>
      </c>
      <c r="AO427" s="9" t="str">
        <f t="shared" si="88"/>
        <v/>
      </c>
      <c r="AP427" s="9" t="str">
        <f t="shared" si="89"/>
        <v/>
      </c>
      <c r="AQ427" s="10" t="str">
        <f t="shared" si="90"/>
        <v/>
      </c>
    </row>
    <row r="428" spans="1:43">
      <c r="A428">
        <v>427</v>
      </c>
      <c r="B428" t="s">
        <v>23</v>
      </c>
      <c r="C428" t="s">
        <v>174</v>
      </c>
      <c r="D428" t="s">
        <v>175</v>
      </c>
      <c r="E428" t="s">
        <v>97</v>
      </c>
      <c r="G428" t="s">
        <v>18</v>
      </c>
      <c r="H428" s="4">
        <v>30844800</v>
      </c>
      <c r="I428" s="5">
        <v>256</v>
      </c>
      <c r="J428" s="5">
        <v>2048</v>
      </c>
      <c r="K428" s="5">
        <v>8</v>
      </c>
      <c r="L428">
        <v>7.6</v>
      </c>
      <c r="M428">
        <v>6.5</v>
      </c>
      <c r="N428">
        <v>5.92</v>
      </c>
      <c r="O428" s="6">
        <v>15.6</v>
      </c>
      <c r="P428" s="7">
        <v>2.02</v>
      </c>
      <c r="U428" t="s">
        <v>84</v>
      </c>
      <c r="V428" t="s">
        <v>121</v>
      </c>
      <c r="W428">
        <v>1.8</v>
      </c>
      <c r="X428" t="s">
        <v>104</v>
      </c>
      <c r="Y428" t="s">
        <v>176</v>
      </c>
      <c r="Z428" t="s">
        <v>249</v>
      </c>
      <c r="AA428" t="s">
        <v>101</v>
      </c>
      <c r="AB428" t="s">
        <v>115</v>
      </c>
      <c r="AC428">
        <v>1142.4000000000001</v>
      </c>
      <c r="AD428" s="8" t="b">
        <f>AND(
 H428&gt;=Filters!$B$3,
 H428&lt;=Filters!$B$4,
 I428&gt;=Filters!$B$5,
 OR(Filters!$B$6="All",B428=Filters!$B$6),
 F428&gt;=Filters!$B$7,
 F428&lt;=Filters!$B$8,
 OR(Filters!$B$9="All",G428=Filters!$B$9)
)</f>
        <v>0</v>
      </c>
      <c r="AE428">
        <f t="shared" si="78"/>
        <v>6</v>
      </c>
      <c r="AF428">
        <f t="shared" si="79"/>
        <v>7</v>
      </c>
      <c r="AG428">
        <f t="shared" si="80"/>
        <v>7</v>
      </c>
      <c r="AH428" s="9" t="str">
        <f t="shared" si="81"/>
        <v/>
      </c>
      <c r="AI428" s="9" t="str">
        <f t="shared" si="82"/>
        <v/>
      </c>
      <c r="AJ428" s="9" t="str">
        <f t="shared" si="83"/>
        <v/>
      </c>
      <c r="AK428" s="9" t="str">
        <f t="shared" si="84"/>
        <v/>
      </c>
      <c r="AL428" s="9" t="str">
        <f t="shared" si="85"/>
        <v/>
      </c>
      <c r="AM428" s="9" t="str">
        <f t="shared" si="86"/>
        <v/>
      </c>
      <c r="AN428" s="9" t="str">
        <f t="shared" si="87"/>
        <v/>
      </c>
      <c r="AO428" s="9" t="str">
        <f t="shared" si="88"/>
        <v/>
      </c>
      <c r="AP428" s="9" t="str">
        <f t="shared" si="89"/>
        <v/>
      </c>
      <c r="AQ428" s="10" t="str">
        <f t="shared" si="90"/>
        <v/>
      </c>
    </row>
    <row r="429" spans="1:43">
      <c r="A429">
        <v>428</v>
      </c>
      <c r="B429" t="s">
        <v>23</v>
      </c>
      <c r="C429" t="s">
        <v>738</v>
      </c>
      <c r="D429" t="s">
        <v>739</v>
      </c>
      <c r="E429" t="s">
        <v>83</v>
      </c>
      <c r="G429" t="s">
        <v>18</v>
      </c>
      <c r="H429" s="4">
        <v>29673000</v>
      </c>
      <c r="I429" s="5">
        <v>256</v>
      </c>
      <c r="J429" s="5">
        <v>0</v>
      </c>
      <c r="K429" s="5">
        <v>8</v>
      </c>
      <c r="L429">
        <v>9.6</v>
      </c>
      <c r="M429">
        <v>3.5</v>
      </c>
      <c r="N429">
        <v>6</v>
      </c>
      <c r="O429" s="6">
        <v>14</v>
      </c>
      <c r="P429" s="7">
        <v>1.6</v>
      </c>
      <c r="U429" t="s">
        <v>84</v>
      </c>
      <c r="V429" t="s">
        <v>592</v>
      </c>
      <c r="W429">
        <v>2.8</v>
      </c>
      <c r="X429" t="s">
        <v>84</v>
      </c>
      <c r="Y429" t="s">
        <v>99</v>
      </c>
      <c r="Z429" t="s">
        <v>100</v>
      </c>
      <c r="AA429" t="s">
        <v>101</v>
      </c>
      <c r="AB429" t="s">
        <v>201</v>
      </c>
      <c r="AC429">
        <v>1099</v>
      </c>
      <c r="AD429" s="8" t="b">
        <f>AND(
 H429&gt;=Filters!$B$3,
 H429&lt;=Filters!$B$4,
 I429&gt;=Filters!$B$5,
 OR(Filters!$B$6="All",B429=Filters!$B$6),
 F429&gt;=Filters!$B$7,
 F429&lt;=Filters!$B$8,
 OR(Filters!$B$9="All",G429=Filters!$B$9)
)</f>
        <v>0</v>
      </c>
      <c r="AE429">
        <f t="shared" si="78"/>
        <v>6</v>
      </c>
      <c r="AF429">
        <f t="shared" si="79"/>
        <v>7</v>
      </c>
      <c r="AG429">
        <f t="shared" si="80"/>
        <v>7</v>
      </c>
      <c r="AH429" s="9" t="str">
        <f t="shared" si="81"/>
        <v/>
      </c>
      <c r="AI429" s="9" t="str">
        <f t="shared" si="82"/>
        <v/>
      </c>
      <c r="AJ429" s="9" t="str">
        <f t="shared" si="83"/>
        <v/>
      </c>
      <c r="AK429" s="9" t="str">
        <f t="shared" si="84"/>
        <v/>
      </c>
      <c r="AL429" s="9" t="str">
        <f t="shared" si="85"/>
        <v/>
      </c>
      <c r="AM429" s="9" t="str">
        <f t="shared" si="86"/>
        <v/>
      </c>
      <c r="AN429" s="9" t="str">
        <f t="shared" si="87"/>
        <v/>
      </c>
      <c r="AO429" s="9" t="str">
        <f t="shared" si="88"/>
        <v/>
      </c>
      <c r="AP429" s="9" t="str">
        <f t="shared" si="89"/>
        <v/>
      </c>
      <c r="AQ429" s="10" t="str">
        <f t="shared" si="90"/>
        <v/>
      </c>
    </row>
    <row r="430" spans="1:43">
      <c r="A430">
        <v>429</v>
      </c>
      <c r="B430" t="s">
        <v>26</v>
      </c>
      <c r="C430" t="s">
        <v>740</v>
      </c>
      <c r="D430" t="s">
        <v>741</v>
      </c>
      <c r="E430" t="s">
        <v>158</v>
      </c>
      <c r="G430" t="s">
        <v>18</v>
      </c>
      <c r="H430" s="4">
        <v>53973000</v>
      </c>
      <c r="I430" s="5">
        <v>256</v>
      </c>
      <c r="J430" s="5">
        <v>1024</v>
      </c>
      <c r="K430" s="5">
        <v>12</v>
      </c>
      <c r="L430">
        <v>9.6</v>
      </c>
      <c r="M430">
        <v>9.1999999999999993</v>
      </c>
      <c r="N430">
        <v>5.83</v>
      </c>
      <c r="O430" s="6">
        <v>17.3</v>
      </c>
      <c r="P430" s="7">
        <v>3.35</v>
      </c>
      <c r="U430" t="s">
        <v>84</v>
      </c>
      <c r="V430" t="s">
        <v>210</v>
      </c>
      <c r="W430">
        <v>2.8</v>
      </c>
      <c r="X430" t="s">
        <v>122</v>
      </c>
      <c r="Y430" t="s">
        <v>248</v>
      </c>
      <c r="Z430" t="s">
        <v>212</v>
      </c>
      <c r="AA430" t="s">
        <v>101</v>
      </c>
      <c r="AB430" t="s">
        <v>115</v>
      </c>
      <c r="AC430">
        <v>1999</v>
      </c>
      <c r="AD430" s="8" t="b">
        <f>AND(
 H430&gt;=Filters!$B$3,
 H430&lt;=Filters!$B$4,
 I430&gt;=Filters!$B$5,
 OR(Filters!$B$6="All",B430=Filters!$B$6),
 F430&gt;=Filters!$B$7,
 F430&lt;=Filters!$B$8,
 OR(Filters!$B$9="All",G430=Filters!$B$9)
)</f>
        <v>0</v>
      </c>
      <c r="AE430">
        <f t="shared" si="78"/>
        <v>6</v>
      </c>
      <c r="AF430">
        <f t="shared" si="79"/>
        <v>7</v>
      </c>
      <c r="AG430">
        <f t="shared" si="80"/>
        <v>7</v>
      </c>
      <c r="AH430" s="9" t="str">
        <f t="shared" si="81"/>
        <v/>
      </c>
      <c r="AI430" s="9" t="str">
        <f t="shared" si="82"/>
        <v/>
      </c>
      <c r="AJ430" s="9" t="str">
        <f t="shared" si="83"/>
        <v/>
      </c>
      <c r="AK430" s="9" t="str">
        <f t="shared" si="84"/>
        <v/>
      </c>
      <c r="AL430" s="9" t="str">
        <f t="shared" si="85"/>
        <v/>
      </c>
      <c r="AM430" s="9" t="str">
        <f t="shared" si="86"/>
        <v/>
      </c>
      <c r="AN430" s="9" t="str">
        <f t="shared" si="87"/>
        <v/>
      </c>
      <c r="AO430" s="9" t="str">
        <f t="shared" si="88"/>
        <v/>
      </c>
      <c r="AP430" s="9" t="str">
        <f t="shared" si="89"/>
        <v/>
      </c>
      <c r="AQ430" s="10" t="str">
        <f t="shared" si="90"/>
        <v/>
      </c>
    </row>
    <row r="431" spans="1:43">
      <c r="A431">
        <v>430</v>
      </c>
      <c r="B431" t="s">
        <v>31</v>
      </c>
      <c r="C431" t="s">
        <v>742</v>
      </c>
      <c r="D431" t="s">
        <v>743</v>
      </c>
      <c r="E431" t="s">
        <v>168</v>
      </c>
      <c r="G431" t="s">
        <v>18</v>
      </c>
      <c r="H431" s="4">
        <v>8073000</v>
      </c>
      <c r="I431" s="5">
        <v>32</v>
      </c>
      <c r="J431" s="5">
        <v>0</v>
      </c>
      <c r="K431" s="5">
        <v>4</v>
      </c>
      <c r="L431">
        <v>1</v>
      </c>
      <c r="M431">
        <v>3.5</v>
      </c>
      <c r="N431">
        <v>6.58</v>
      </c>
      <c r="O431" s="6">
        <v>11.6</v>
      </c>
      <c r="P431" s="7">
        <v>1.1599999999999999</v>
      </c>
      <c r="U431" t="s">
        <v>84</v>
      </c>
      <c r="V431" t="s">
        <v>198</v>
      </c>
      <c r="W431">
        <v>1.1000000000000001</v>
      </c>
      <c r="X431" t="s">
        <v>84</v>
      </c>
      <c r="Y431" t="s">
        <v>199</v>
      </c>
      <c r="Z431" t="s">
        <v>264</v>
      </c>
      <c r="AA431" t="s">
        <v>149</v>
      </c>
      <c r="AB431" t="s">
        <v>115</v>
      </c>
      <c r="AC431">
        <v>299</v>
      </c>
      <c r="AD431" s="8" t="b">
        <f>AND(
 H431&gt;=Filters!$B$3,
 H431&lt;=Filters!$B$4,
 I431&gt;=Filters!$B$5,
 OR(Filters!$B$6="All",B431=Filters!$B$6),
 F431&gt;=Filters!$B$7,
 F431&lt;=Filters!$B$8,
 OR(Filters!$B$9="All",G431=Filters!$B$9)
)</f>
        <v>0</v>
      </c>
      <c r="AE431">
        <f t="shared" si="78"/>
        <v>6</v>
      </c>
      <c r="AF431">
        <f t="shared" si="79"/>
        <v>7</v>
      </c>
      <c r="AG431">
        <f t="shared" si="80"/>
        <v>7</v>
      </c>
      <c r="AH431" s="9" t="str">
        <f t="shared" si="81"/>
        <v/>
      </c>
      <c r="AI431" s="9" t="str">
        <f t="shared" si="82"/>
        <v/>
      </c>
      <c r="AJ431" s="9" t="str">
        <f t="shared" si="83"/>
        <v/>
      </c>
      <c r="AK431" s="9" t="str">
        <f t="shared" si="84"/>
        <v/>
      </c>
      <c r="AL431" s="9" t="str">
        <f t="shared" si="85"/>
        <v/>
      </c>
      <c r="AM431" s="9" t="str">
        <f t="shared" si="86"/>
        <v/>
      </c>
      <c r="AN431" s="9" t="str">
        <f t="shared" si="87"/>
        <v/>
      </c>
      <c r="AO431" s="9" t="str">
        <f t="shared" si="88"/>
        <v/>
      </c>
      <c r="AP431" s="9" t="str">
        <f t="shared" si="89"/>
        <v/>
      </c>
      <c r="AQ431" s="10" t="str">
        <f t="shared" si="90"/>
        <v/>
      </c>
    </row>
    <row r="432" spans="1:43">
      <c r="A432">
        <v>431</v>
      </c>
      <c r="B432" t="s">
        <v>34</v>
      </c>
      <c r="C432" t="s">
        <v>744</v>
      </c>
      <c r="D432" t="s">
        <v>745</v>
      </c>
      <c r="E432" t="s">
        <v>152</v>
      </c>
      <c r="G432" t="s">
        <v>18</v>
      </c>
      <c r="H432" s="4">
        <v>7263000</v>
      </c>
      <c r="I432" s="5">
        <v>16</v>
      </c>
      <c r="J432" s="5">
        <v>0</v>
      </c>
      <c r="K432" s="5">
        <v>4</v>
      </c>
      <c r="L432">
        <v>1.2</v>
      </c>
      <c r="M432">
        <v>3.5</v>
      </c>
      <c r="N432">
        <v>3.88</v>
      </c>
      <c r="O432" s="6">
        <v>11.6</v>
      </c>
      <c r="P432" s="7">
        <v>1.1499999999999999</v>
      </c>
      <c r="U432" t="s">
        <v>84</v>
      </c>
      <c r="V432" t="s">
        <v>263</v>
      </c>
      <c r="W432">
        <v>1.6</v>
      </c>
      <c r="X432" t="s">
        <v>84</v>
      </c>
      <c r="Y432" t="s">
        <v>154</v>
      </c>
      <c r="Z432" t="s">
        <v>606</v>
      </c>
      <c r="AA432" t="s">
        <v>114</v>
      </c>
      <c r="AB432" t="s">
        <v>563</v>
      </c>
      <c r="AC432">
        <v>269</v>
      </c>
      <c r="AD432" s="8" t="b">
        <f>AND(
 H432&gt;=Filters!$B$3,
 H432&lt;=Filters!$B$4,
 I432&gt;=Filters!$B$5,
 OR(Filters!$B$6="All",B432=Filters!$B$6),
 F432&gt;=Filters!$B$7,
 F432&lt;=Filters!$B$8,
 OR(Filters!$B$9="All",G432=Filters!$B$9)
)</f>
        <v>0</v>
      </c>
      <c r="AE432">
        <f t="shared" si="78"/>
        <v>6</v>
      </c>
      <c r="AF432">
        <f t="shared" si="79"/>
        <v>7</v>
      </c>
      <c r="AG432">
        <f t="shared" si="80"/>
        <v>7</v>
      </c>
      <c r="AH432" s="9" t="str">
        <f t="shared" si="81"/>
        <v/>
      </c>
      <c r="AI432" s="9" t="str">
        <f t="shared" si="82"/>
        <v/>
      </c>
      <c r="AJ432" s="9" t="str">
        <f t="shared" si="83"/>
        <v/>
      </c>
      <c r="AK432" s="9" t="str">
        <f t="shared" si="84"/>
        <v/>
      </c>
      <c r="AL432" s="9" t="str">
        <f t="shared" si="85"/>
        <v/>
      </c>
      <c r="AM432" s="9" t="str">
        <f t="shared" si="86"/>
        <v/>
      </c>
      <c r="AN432" s="9" t="str">
        <f t="shared" si="87"/>
        <v/>
      </c>
      <c r="AO432" s="9" t="str">
        <f t="shared" si="88"/>
        <v/>
      </c>
      <c r="AP432" s="9" t="str">
        <f t="shared" si="89"/>
        <v/>
      </c>
      <c r="AQ432" s="10" t="str">
        <f t="shared" si="90"/>
        <v/>
      </c>
    </row>
    <row r="433" spans="1:43">
      <c r="A433">
        <v>432</v>
      </c>
      <c r="B433" t="s">
        <v>29</v>
      </c>
      <c r="C433" t="s">
        <v>746</v>
      </c>
      <c r="D433" t="s">
        <v>747</v>
      </c>
      <c r="E433" t="s">
        <v>97</v>
      </c>
      <c r="G433" t="s">
        <v>18</v>
      </c>
      <c r="H433" s="4">
        <v>27270000</v>
      </c>
      <c r="I433" s="5">
        <v>256</v>
      </c>
      <c r="J433" s="5">
        <v>0</v>
      </c>
      <c r="K433" s="5">
        <v>8</v>
      </c>
      <c r="L433">
        <v>9.4</v>
      </c>
      <c r="M433">
        <v>3.5</v>
      </c>
      <c r="N433">
        <v>6.37</v>
      </c>
      <c r="O433" s="6">
        <v>13.3</v>
      </c>
      <c r="P433" s="7">
        <v>1.4</v>
      </c>
      <c r="U433" t="s">
        <v>84</v>
      </c>
      <c r="V433" t="s">
        <v>140</v>
      </c>
      <c r="W433">
        <v>2.7</v>
      </c>
      <c r="X433" t="s">
        <v>84</v>
      </c>
      <c r="Y433" t="s">
        <v>99</v>
      </c>
      <c r="Z433" t="s">
        <v>100</v>
      </c>
      <c r="AA433" t="s">
        <v>128</v>
      </c>
      <c r="AB433" t="s">
        <v>115</v>
      </c>
      <c r="AC433">
        <v>1010</v>
      </c>
      <c r="AD433" s="8" t="b">
        <f>AND(
 H433&gt;=Filters!$B$3,
 H433&lt;=Filters!$B$4,
 I433&gt;=Filters!$B$5,
 OR(Filters!$B$6="All",B433=Filters!$B$6),
 F433&gt;=Filters!$B$7,
 F433&lt;=Filters!$B$8,
 OR(Filters!$B$9="All",G433=Filters!$B$9)
)</f>
        <v>0</v>
      </c>
      <c r="AE433">
        <f t="shared" si="78"/>
        <v>6</v>
      </c>
      <c r="AF433">
        <f t="shared" si="79"/>
        <v>7</v>
      </c>
      <c r="AG433">
        <f t="shared" si="80"/>
        <v>7</v>
      </c>
      <c r="AH433" s="9" t="str">
        <f t="shared" si="81"/>
        <v/>
      </c>
      <c r="AI433" s="9" t="str">
        <f t="shared" si="82"/>
        <v/>
      </c>
      <c r="AJ433" s="9" t="str">
        <f t="shared" si="83"/>
        <v/>
      </c>
      <c r="AK433" s="9" t="str">
        <f t="shared" si="84"/>
        <v/>
      </c>
      <c r="AL433" s="9" t="str">
        <f t="shared" si="85"/>
        <v/>
      </c>
      <c r="AM433" s="9" t="str">
        <f t="shared" si="86"/>
        <v/>
      </c>
      <c r="AN433" s="9" t="str">
        <f t="shared" si="87"/>
        <v/>
      </c>
      <c r="AO433" s="9" t="str">
        <f t="shared" si="88"/>
        <v/>
      </c>
      <c r="AP433" s="9" t="str">
        <f t="shared" si="89"/>
        <v/>
      </c>
      <c r="AQ433" s="10" t="str">
        <f t="shared" si="90"/>
        <v/>
      </c>
    </row>
    <row r="434" spans="1:43">
      <c r="A434">
        <v>433</v>
      </c>
      <c r="B434" t="s">
        <v>29</v>
      </c>
      <c r="C434" t="s">
        <v>748</v>
      </c>
      <c r="D434" t="s">
        <v>749</v>
      </c>
      <c r="E434" t="s">
        <v>97</v>
      </c>
      <c r="G434" t="s">
        <v>18</v>
      </c>
      <c r="H434" s="4">
        <v>16173000</v>
      </c>
      <c r="I434" s="5">
        <v>128</v>
      </c>
      <c r="J434" s="5">
        <v>0</v>
      </c>
      <c r="K434" s="5">
        <v>4</v>
      </c>
      <c r="L434">
        <v>5.4</v>
      </c>
      <c r="M434">
        <v>3.5</v>
      </c>
      <c r="N434">
        <v>6.4</v>
      </c>
      <c r="O434" s="6">
        <v>14</v>
      </c>
      <c r="P434" s="7">
        <v>1.7</v>
      </c>
      <c r="U434" t="s">
        <v>84</v>
      </c>
      <c r="V434" t="s">
        <v>200</v>
      </c>
      <c r="W434">
        <v>2.7</v>
      </c>
      <c r="X434" t="s">
        <v>84</v>
      </c>
      <c r="Y434" t="s">
        <v>99</v>
      </c>
      <c r="Z434" t="s">
        <v>87</v>
      </c>
      <c r="AA434" t="s">
        <v>128</v>
      </c>
      <c r="AB434" t="s">
        <v>115</v>
      </c>
      <c r="AC434">
        <v>599</v>
      </c>
      <c r="AD434" s="8" t="b">
        <f>AND(
 H434&gt;=Filters!$B$3,
 H434&lt;=Filters!$B$4,
 I434&gt;=Filters!$B$5,
 OR(Filters!$B$6="All",B434=Filters!$B$6),
 F434&gt;=Filters!$B$7,
 F434&lt;=Filters!$B$8,
 OR(Filters!$B$9="All",G434=Filters!$B$9)
)</f>
        <v>0</v>
      </c>
      <c r="AE434">
        <f t="shared" si="78"/>
        <v>6</v>
      </c>
      <c r="AF434">
        <f t="shared" si="79"/>
        <v>7</v>
      </c>
      <c r="AG434">
        <f t="shared" si="80"/>
        <v>7</v>
      </c>
      <c r="AH434" s="9" t="str">
        <f t="shared" si="81"/>
        <v/>
      </c>
      <c r="AI434" s="9" t="str">
        <f t="shared" si="82"/>
        <v/>
      </c>
      <c r="AJ434" s="9" t="str">
        <f t="shared" si="83"/>
        <v/>
      </c>
      <c r="AK434" s="9" t="str">
        <f t="shared" si="84"/>
        <v/>
      </c>
      <c r="AL434" s="9" t="str">
        <f t="shared" si="85"/>
        <v/>
      </c>
      <c r="AM434" s="9" t="str">
        <f t="shared" si="86"/>
        <v/>
      </c>
      <c r="AN434" s="9" t="str">
        <f t="shared" si="87"/>
        <v/>
      </c>
      <c r="AO434" s="9" t="str">
        <f t="shared" si="88"/>
        <v/>
      </c>
      <c r="AP434" s="9" t="str">
        <f t="shared" si="89"/>
        <v/>
      </c>
      <c r="AQ434" s="10" t="str">
        <f t="shared" si="90"/>
        <v/>
      </c>
    </row>
    <row r="435" spans="1:43">
      <c r="A435">
        <v>434</v>
      </c>
      <c r="B435" t="s">
        <v>29</v>
      </c>
      <c r="C435" t="s">
        <v>750</v>
      </c>
      <c r="D435" t="s">
        <v>557</v>
      </c>
      <c r="E435" t="s">
        <v>468</v>
      </c>
      <c r="G435" t="s">
        <v>18</v>
      </c>
      <c r="H435" s="4">
        <v>66015000</v>
      </c>
      <c r="I435" s="5">
        <v>512</v>
      </c>
      <c r="J435" s="5">
        <v>0</v>
      </c>
      <c r="K435" s="5">
        <v>16</v>
      </c>
      <c r="L435">
        <v>9.6</v>
      </c>
      <c r="M435">
        <v>6.5</v>
      </c>
      <c r="N435">
        <v>9.82</v>
      </c>
      <c r="O435" s="6">
        <v>15.6</v>
      </c>
      <c r="P435" s="7">
        <v>2.2999999999999998</v>
      </c>
      <c r="U435" t="s">
        <v>84</v>
      </c>
      <c r="V435" t="s">
        <v>592</v>
      </c>
      <c r="W435">
        <v>2.8</v>
      </c>
      <c r="X435" t="s">
        <v>122</v>
      </c>
      <c r="Y435" t="s">
        <v>145</v>
      </c>
      <c r="Z435" t="s">
        <v>106</v>
      </c>
      <c r="AA435" t="s">
        <v>459</v>
      </c>
      <c r="AB435" t="s">
        <v>115</v>
      </c>
      <c r="AC435">
        <v>2445</v>
      </c>
      <c r="AD435" s="8" t="b">
        <f>AND(
 H435&gt;=Filters!$B$3,
 H435&lt;=Filters!$B$4,
 I435&gt;=Filters!$B$5,
 OR(Filters!$B$6="All",B435=Filters!$B$6),
 F435&gt;=Filters!$B$7,
 F435&lt;=Filters!$B$8,
 OR(Filters!$B$9="All",G435=Filters!$B$9)
)</f>
        <v>0</v>
      </c>
      <c r="AE435">
        <f t="shared" si="78"/>
        <v>6</v>
      </c>
      <c r="AF435">
        <f t="shared" si="79"/>
        <v>7</v>
      </c>
      <c r="AG435">
        <f t="shared" si="80"/>
        <v>7</v>
      </c>
      <c r="AH435" s="9" t="str">
        <f t="shared" si="81"/>
        <v/>
      </c>
      <c r="AI435" s="9" t="str">
        <f t="shared" si="82"/>
        <v/>
      </c>
      <c r="AJ435" s="9" t="str">
        <f t="shared" si="83"/>
        <v/>
      </c>
      <c r="AK435" s="9" t="str">
        <f t="shared" si="84"/>
        <v/>
      </c>
      <c r="AL435" s="9" t="str">
        <f t="shared" si="85"/>
        <v/>
      </c>
      <c r="AM435" s="9" t="str">
        <f t="shared" si="86"/>
        <v/>
      </c>
      <c r="AN435" s="9" t="str">
        <f t="shared" si="87"/>
        <v/>
      </c>
      <c r="AO435" s="9" t="str">
        <f t="shared" si="88"/>
        <v/>
      </c>
      <c r="AP435" s="9" t="str">
        <f t="shared" si="89"/>
        <v/>
      </c>
      <c r="AQ435" s="10" t="str">
        <f t="shared" si="90"/>
        <v/>
      </c>
    </row>
    <row r="436" spans="1:43">
      <c r="A436">
        <v>435</v>
      </c>
      <c r="B436" t="s">
        <v>29</v>
      </c>
      <c r="C436" t="s">
        <v>751</v>
      </c>
      <c r="D436" t="s">
        <v>752</v>
      </c>
      <c r="E436" t="s">
        <v>97</v>
      </c>
      <c r="G436" t="s">
        <v>18</v>
      </c>
      <c r="H436" s="4">
        <v>66123000</v>
      </c>
      <c r="I436" s="5">
        <v>512</v>
      </c>
      <c r="J436" s="5">
        <v>0</v>
      </c>
      <c r="K436" s="5">
        <v>16</v>
      </c>
      <c r="L436">
        <v>9.8000000000000007</v>
      </c>
      <c r="M436">
        <v>8</v>
      </c>
      <c r="N436">
        <v>5.92</v>
      </c>
      <c r="O436" s="6">
        <v>15.6</v>
      </c>
      <c r="P436" s="7">
        <v>2.5</v>
      </c>
      <c r="U436" t="s">
        <v>84</v>
      </c>
      <c r="V436" t="s">
        <v>574</v>
      </c>
      <c r="W436">
        <v>2.9</v>
      </c>
      <c r="X436" t="s">
        <v>122</v>
      </c>
      <c r="Y436" t="s">
        <v>753</v>
      </c>
      <c r="Z436" t="s">
        <v>106</v>
      </c>
      <c r="AA436" t="s">
        <v>101</v>
      </c>
      <c r="AB436" t="s">
        <v>115</v>
      </c>
      <c r="AC436">
        <v>2449</v>
      </c>
      <c r="AD436" s="8" t="b">
        <f>AND(
 H436&gt;=Filters!$B$3,
 H436&lt;=Filters!$B$4,
 I436&gt;=Filters!$B$5,
 OR(Filters!$B$6="All",B436=Filters!$B$6),
 F436&gt;=Filters!$B$7,
 F436&lt;=Filters!$B$8,
 OR(Filters!$B$9="All",G436=Filters!$B$9)
)</f>
        <v>0</v>
      </c>
      <c r="AE436">
        <f t="shared" si="78"/>
        <v>6</v>
      </c>
      <c r="AF436">
        <f t="shared" si="79"/>
        <v>7</v>
      </c>
      <c r="AG436">
        <f t="shared" si="80"/>
        <v>7</v>
      </c>
      <c r="AH436" s="9" t="str">
        <f t="shared" si="81"/>
        <v/>
      </c>
      <c r="AI436" s="9" t="str">
        <f t="shared" si="82"/>
        <v/>
      </c>
      <c r="AJ436" s="9" t="str">
        <f t="shared" si="83"/>
        <v/>
      </c>
      <c r="AK436" s="9" t="str">
        <f t="shared" si="84"/>
        <v/>
      </c>
      <c r="AL436" s="9" t="str">
        <f t="shared" si="85"/>
        <v/>
      </c>
      <c r="AM436" s="9" t="str">
        <f t="shared" si="86"/>
        <v/>
      </c>
      <c r="AN436" s="9" t="str">
        <f t="shared" si="87"/>
        <v/>
      </c>
      <c r="AO436" s="9" t="str">
        <f t="shared" si="88"/>
        <v/>
      </c>
      <c r="AP436" s="9" t="str">
        <f t="shared" si="89"/>
        <v/>
      </c>
      <c r="AQ436" s="10" t="str">
        <f t="shared" si="90"/>
        <v/>
      </c>
    </row>
    <row r="437" spans="1:43">
      <c r="A437">
        <v>436</v>
      </c>
      <c r="B437" t="s">
        <v>21</v>
      </c>
      <c r="C437" t="s">
        <v>223</v>
      </c>
      <c r="D437" t="s">
        <v>224</v>
      </c>
      <c r="E437" t="s">
        <v>158</v>
      </c>
      <c r="G437" t="s">
        <v>18</v>
      </c>
      <c r="H437" s="4">
        <v>45765000</v>
      </c>
      <c r="I437" s="5">
        <v>256</v>
      </c>
      <c r="J437" s="5">
        <v>1024</v>
      </c>
      <c r="K437" s="5">
        <v>8</v>
      </c>
      <c r="L437">
        <v>7.4</v>
      </c>
      <c r="M437">
        <v>8</v>
      </c>
      <c r="N437">
        <v>5.83</v>
      </c>
      <c r="O437" s="6">
        <v>17.3</v>
      </c>
      <c r="P437" s="7">
        <v>3.2</v>
      </c>
      <c r="U437" t="s">
        <v>104</v>
      </c>
      <c r="V437" t="s">
        <v>754</v>
      </c>
      <c r="W437">
        <v>3.2</v>
      </c>
      <c r="X437" t="s">
        <v>104</v>
      </c>
      <c r="Y437" t="s">
        <v>226</v>
      </c>
      <c r="Z437" t="s">
        <v>212</v>
      </c>
      <c r="AA437" t="s">
        <v>101</v>
      </c>
      <c r="AB437" t="s">
        <v>115</v>
      </c>
      <c r="AC437">
        <v>1695</v>
      </c>
      <c r="AD437" s="8" t="b">
        <f>AND(
 H437&gt;=Filters!$B$3,
 H437&lt;=Filters!$B$4,
 I437&gt;=Filters!$B$5,
 OR(Filters!$B$6="All",B437=Filters!$B$6),
 F437&gt;=Filters!$B$7,
 F437&lt;=Filters!$B$8,
 OR(Filters!$B$9="All",G437=Filters!$B$9)
)</f>
        <v>0</v>
      </c>
      <c r="AE437">
        <f t="shared" si="78"/>
        <v>6</v>
      </c>
      <c r="AF437">
        <f t="shared" si="79"/>
        <v>7</v>
      </c>
      <c r="AG437">
        <f t="shared" si="80"/>
        <v>7</v>
      </c>
      <c r="AH437" s="9" t="str">
        <f t="shared" si="81"/>
        <v/>
      </c>
      <c r="AI437" s="9" t="str">
        <f t="shared" si="82"/>
        <v/>
      </c>
      <c r="AJ437" s="9" t="str">
        <f t="shared" si="83"/>
        <v/>
      </c>
      <c r="AK437" s="9" t="str">
        <f t="shared" si="84"/>
        <v/>
      </c>
      <c r="AL437" s="9" t="str">
        <f t="shared" si="85"/>
        <v/>
      </c>
      <c r="AM437" s="9" t="str">
        <f t="shared" si="86"/>
        <v/>
      </c>
      <c r="AN437" s="9" t="str">
        <f t="shared" si="87"/>
        <v/>
      </c>
      <c r="AO437" s="9" t="str">
        <f t="shared" si="88"/>
        <v/>
      </c>
      <c r="AP437" s="9" t="str">
        <f t="shared" si="89"/>
        <v/>
      </c>
      <c r="AQ437" s="10" t="str">
        <f t="shared" si="90"/>
        <v/>
      </c>
    </row>
    <row r="438" spans="1:43">
      <c r="A438">
        <v>437</v>
      </c>
      <c r="B438" t="s">
        <v>26</v>
      </c>
      <c r="C438" t="s">
        <v>755</v>
      </c>
      <c r="D438" t="s">
        <v>756</v>
      </c>
      <c r="E438" t="s">
        <v>97</v>
      </c>
      <c r="G438" t="s">
        <v>18</v>
      </c>
      <c r="H438" s="4">
        <v>9369000</v>
      </c>
      <c r="I438" s="5">
        <v>0</v>
      </c>
      <c r="J438" s="5">
        <v>500</v>
      </c>
      <c r="K438" s="5">
        <v>4</v>
      </c>
      <c r="L438">
        <v>1.2</v>
      </c>
      <c r="M438">
        <v>3.5</v>
      </c>
      <c r="N438">
        <v>3.92</v>
      </c>
      <c r="O438" s="6">
        <v>15.6</v>
      </c>
      <c r="P438" s="7">
        <v>2.1</v>
      </c>
      <c r="U438" t="s">
        <v>84</v>
      </c>
      <c r="V438" t="s">
        <v>263</v>
      </c>
      <c r="W438">
        <v>1.6</v>
      </c>
      <c r="X438" t="s">
        <v>84</v>
      </c>
      <c r="Y438" t="s">
        <v>154</v>
      </c>
      <c r="Z438" t="s">
        <v>113</v>
      </c>
      <c r="AA438" t="s">
        <v>114</v>
      </c>
      <c r="AB438" t="s">
        <v>115</v>
      </c>
      <c r="AC438">
        <v>347</v>
      </c>
      <c r="AD438" s="8" t="b">
        <f>AND(
 H438&gt;=Filters!$B$3,
 H438&lt;=Filters!$B$4,
 I438&gt;=Filters!$B$5,
 OR(Filters!$B$6="All",B438=Filters!$B$6),
 F438&gt;=Filters!$B$7,
 F438&lt;=Filters!$B$8,
 OR(Filters!$B$9="All",G438=Filters!$B$9)
)</f>
        <v>0</v>
      </c>
      <c r="AE438">
        <f t="shared" si="78"/>
        <v>6</v>
      </c>
      <c r="AF438">
        <f t="shared" si="79"/>
        <v>7</v>
      </c>
      <c r="AG438">
        <f t="shared" si="80"/>
        <v>7</v>
      </c>
      <c r="AH438" s="9" t="str">
        <f t="shared" si="81"/>
        <v/>
      </c>
      <c r="AI438" s="9" t="str">
        <f t="shared" si="82"/>
        <v/>
      </c>
      <c r="AJ438" s="9" t="str">
        <f t="shared" si="83"/>
        <v/>
      </c>
      <c r="AK438" s="9" t="str">
        <f t="shared" si="84"/>
        <v/>
      </c>
      <c r="AL438" s="9" t="str">
        <f t="shared" si="85"/>
        <v/>
      </c>
      <c r="AM438" s="9" t="str">
        <f t="shared" si="86"/>
        <v/>
      </c>
      <c r="AN438" s="9" t="str">
        <f t="shared" si="87"/>
        <v/>
      </c>
      <c r="AO438" s="9" t="str">
        <f t="shared" si="88"/>
        <v/>
      </c>
      <c r="AP438" s="9" t="str">
        <f t="shared" si="89"/>
        <v/>
      </c>
      <c r="AQ438" s="10" t="str">
        <f t="shared" si="90"/>
        <v/>
      </c>
    </row>
    <row r="439" spans="1:43">
      <c r="A439">
        <v>438</v>
      </c>
      <c r="B439" t="s">
        <v>25</v>
      </c>
      <c r="C439" t="s">
        <v>757</v>
      </c>
      <c r="D439" t="s">
        <v>758</v>
      </c>
      <c r="E439" t="s">
        <v>83</v>
      </c>
      <c r="G439" t="s">
        <v>18</v>
      </c>
      <c r="H439" s="4">
        <v>59373000</v>
      </c>
      <c r="I439" s="5">
        <v>512</v>
      </c>
      <c r="J439" s="5">
        <v>0</v>
      </c>
      <c r="K439" s="5">
        <v>16</v>
      </c>
      <c r="L439">
        <v>6.6</v>
      </c>
      <c r="M439">
        <v>3.5</v>
      </c>
      <c r="N439">
        <v>8.02</v>
      </c>
      <c r="O439" s="6">
        <v>12.3</v>
      </c>
      <c r="P439" s="7">
        <v>1.1000000000000001</v>
      </c>
      <c r="U439" t="s">
        <v>84</v>
      </c>
      <c r="V439" t="s">
        <v>759</v>
      </c>
      <c r="W439">
        <v>1.3</v>
      </c>
      <c r="X439" t="s">
        <v>84</v>
      </c>
      <c r="Y439" t="s">
        <v>138</v>
      </c>
      <c r="Z439" t="s">
        <v>106</v>
      </c>
      <c r="AA439" t="s">
        <v>760</v>
      </c>
      <c r="AB439" t="s">
        <v>563</v>
      </c>
      <c r="AC439">
        <v>2199</v>
      </c>
      <c r="AD439" s="8" t="b">
        <f>AND(
 H439&gt;=Filters!$B$3,
 H439&lt;=Filters!$B$4,
 I439&gt;=Filters!$B$5,
 OR(Filters!$B$6="All",B439=Filters!$B$6),
 F439&gt;=Filters!$B$7,
 F439&lt;=Filters!$B$8,
 OR(Filters!$B$9="All",G439=Filters!$B$9)
)</f>
        <v>0</v>
      </c>
      <c r="AE439">
        <f t="shared" si="78"/>
        <v>6</v>
      </c>
      <c r="AF439">
        <f t="shared" si="79"/>
        <v>7</v>
      </c>
      <c r="AG439">
        <f t="shared" si="80"/>
        <v>7</v>
      </c>
      <c r="AH439" s="9" t="str">
        <f t="shared" si="81"/>
        <v/>
      </c>
      <c r="AI439" s="9" t="str">
        <f t="shared" si="82"/>
        <v/>
      </c>
      <c r="AJ439" s="9" t="str">
        <f t="shared" si="83"/>
        <v/>
      </c>
      <c r="AK439" s="9" t="str">
        <f t="shared" si="84"/>
        <v/>
      </c>
      <c r="AL439" s="9" t="str">
        <f t="shared" si="85"/>
        <v/>
      </c>
      <c r="AM439" s="9" t="str">
        <f t="shared" si="86"/>
        <v/>
      </c>
      <c r="AN439" s="9" t="str">
        <f t="shared" si="87"/>
        <v/>
      </c>
      <c r="AO439" s="9" t="str">
        <f t="shared" si="88"/>
        <v/>
      </c>
      <c r="AP439" s="9" t="str">
        <f t="shared" si="89"/>
        <v/>
      </c>
      <c r="AQ439" s="10" t="str">
        <f t="shared" si="90"/>
        <v/>
      </c>
    </row>
    <row r="440" spans="1:43">
      <c r="A440">
        <v>439</v>
      </c>
      <c r="B440" t="s">
        <v>29</v>
      </c>
      <c r="C440" t="s">
        <v>761</v>
      </c>
      <c r="D440" t="s">
        <v>762</v>
      </c>
      <c r="E440" t="s">
        <v>83</v>
      </c>
      <c r="G440" t="s">
        <v>18</v>
      </c>
      <c r="H440" s="4">
        <v>64314000</v>
      </c>
      <c r="I440" s="5">
        <v>512</v>
      </c>
      <c r="J440" s="5">
        <v>0</v>
      </c>
      <c r="K440" s="5">
        <v>24</v>
      </c>
      <c r="L440">
        <v>9.4</v>
      </c>
      <c r="M440">
        <v>3.5</v>
      </c>
      <c r="N440">
        <v>7</v>
      </c>
      <c r="O440" s="6">
        <v>14</v>
      </c>
      <c r="P440" s="7">
        <v>1.32</v>
      </c>
      <c r="U440" t="s">
        <v>84</v>
      </c>
      <c r="V440" t="s">
        <v>140</v>
      </c>
      <c r="W440">
        <v>2.7</v>
      </c>
      <c r="X440" t="s">
        <v>84</v>
      </c>
      <c r="Y440" t="s">
        <v>99</v>
      </c>
      <c r="Z440" t="s">
        <v>106</v>
      </c>
      <c r="AA440" t="s">
        <v>763</v>
      </c>
      <c r="AB440" t="s">
        <v>115</v>
      </c>
      <c r="AC440">
        <v>2382</v>
      </c>
      <c r="AD440" s="8" t="b">
        <f>AND(
 H440&gt;=Filters!$B$3,
 H440&lt;=Filters!$B$4,
 I440&gt;=Filters!$B$5,
 OR(Filters!$B$6="All",B440=Filters!$B$6),
 F440&gt;=Filters!$B$7,
 F440&lt;=Filters!$B$8,
 OR(Filters!$B$9="All",G440=Filters!$B$9)
)</f>
        <v>0</v>
      </c>
      <c r="AE440">
        <f t="shared" si="78"/>
        <v>6</v>
      </c>
      <c r="AF440">
        <f t="shared" si="79"/>
        <v>7</v>
      </c>
      <c r="AG440">
        <f t="shared" si="80"/>
        <v>7</v>
      </c>
      <c r="AH440" s="9" t="str">
        <f t="shared" si="81"/>
        <v/>
      </c>
      <c r="AI440" s="9" t="str">
        <f t="shared" si="82"/>
        <v/>
      </c>
      <c r="AJ440" s="9" t="str">
        <f t="shared" si="83"/>
        <v/>
      </c>
      <c r="AK440" s="9" t="str">
        <f t="shared" si="84"/>
        <v/>
      </c>
      <c r="AL440" s="9" t="str">
        <f t="shared" si="85"/>
        <v/>
      </c>
      <c r="AM440" s="9" t="str">
        <f t="shared" si="86"/>
        <v/>
      </c>
      <c r="AN440" s="9" t="str">
        <f t="shared" si="87"/>
        <v/>
      </c>
      <c r="AO440" s="9" t="str">
        <f t="shared" si="88"/>
        <v/>
      </c>
      <c r="AP440" s="9" t="str">
        <f t="shared" si="89"/>
        <v/>
      </c>
      <c r="AQ440" s="10" t="str">
        <f t="shared" si="90"/>
        <v/>
      </c>
    </row>
    <row r="441" spans="1:43">
      <c r="A441">
        <v>440</v>
      </c>
      <c r="B441" t="s">
        <v>21</v>
      </c>
      <c r="C441" t="s">
        <v>244</v>
      </c>
      <c r="D441" t="s">
        <v>245</v>
      </c>
      <c r="E441" t="s">
        <v>97</v>
      </c>
      <c r="G441" t="s">
        <v>18</v>
      </c>
      <c r="H441" s="4">
        <v>15093000</v>
      </c>
      <c r="I441" s="5">
        <v>256</v>
      </c>
      <c r="J441" s="5">
        <v>0</v>
      </c>
      <c r="K441" s="5">
        <v>4</v>
      </c>
      <c r="L441">
        <v>7</v>
      </c>
      <c r="M441">
        <v>3.5</v>
      </c>
      <c r="N441">
        <v>5.92</v>
      </c>
      <c r="O441" s="6">
        <v>15.6</v>
      </c>
      <c r="P441" s="7">
        <v>2</v>
      </c>
      <c r="U441" t="s">
        <v>84</v>
      </c>
      <c r="V441" t="s">
        <v>98</v>
      </c>
      <c r="W441">
        <v>2.5</v>
      </c>
      <c r="X441" t="s">
        <v>84</v>
      </c>
      <c r="Y441" t="s">
        <v>99</v>
      </c>
      <c r="Z441" t="s">
        <v>100</v>
      </c>
      <c r="AA441" t="s">
        <v>101</v>
      </c>
      <c r="AB441" t="s">
        <v>201</v>
      </c>
      <c r="AC441">
        <v>559</v>
      </c>
      <c r="AD441" s="8" t="b">
        <f>AND(
 H441&gt;=Filters!$B$3,
 H441&lt;=Filters!$B$4,
 I441&gt;=Filters!$B$5,
 OR(Filters!$B$6="All",B441=Filters!$B$6),
 F441&gt;=Filters!$B$7,
 F441&lt;=Filters!$B$8,
 OR(Filters!$B$9="All",G441=Filters!$B$9)
)</f>
        <v>1</v>
      </c>
      <c r="AE441">
        <f t="shared" si="78"/>
        <v>6</v>
      </c>
      <c r="AF441">
        <f t="shared" si="79"/>
        <v>7</v>
      </c>
      <c r="AG441">
        <f t="shared" si="80"/>
        <v>7</v>
      </c>
      <c r="AH441" s="9">
        <f t="shared" si="81"/>
        <v>0.69047619047619047</v>
      </c>
      <c r="AI441" s="9">
        <f t="shared" si="82"/>
        <v>0.33333333333333331</v>
      </c>
      <c r="AJ441" s="9">
        <f t="shared" si="83"/>
        <v>0.27380952380952378</v>
      </c>
      <c r="AK441" s="9">
        <f t="shared" si="84"/>
        <v>0.56190476190476191</v>
      </c>
      <c r="AL441" s="9">
        <f t="shared" si="85"/>
        <v>0.90476190476190466</v>
      </c>
      <c r="AM441" s="9">
        <f t="shared" si="86"/>
        <v>0.5714285714285714</v>
      </c>
      <c r="AN441" s="9">
        <f t="shared" si="87"/>
        <v>0.69047619047619047</v>
      </c>
      <c r="AO441" s="9">
        <f t="shared" si="88"/>
        <v>0.69047619047619047</v>
      </c>
      <c r="AP441" s="9">
        <f t="shared" si="89"/>
        <v>0.58162023002837071</v>
      </c>
      <c r="AQ441" s="10">
        <f t="shared" si="90"/>
        <v>0.58162067102837067</v>
      </c>
    </row>
    <row r="442" spans="1:43">
      <c r="A442">
        <v>441</v>
      </c>
      <c r="B442" t="s">
        <v>29</v>
      </c>
      <c r="C442" t="s">
        <v>289</v>
      </c>
      <c r="D442" t="s">
        <v>290</v>
      </c>
      <c r="E442" t="s">
        <v>97</v>
      </c>
      <c r="G442" t="s">
        <v>18</v>
      </c>
      <c r="H442" s="4">
        <v>14013000</v>
      </c>
      <c r="I442" s="5">
        <v>0</v>
      </c>
      <c r="J442" s="5">
        <v>1024</v>
      </c>
      <c r="K442" s="5">
        <v>8</v>
      </c>
      <c r="L442">
        <v>6</v>
      </c>
      <c r="M442">
        <v>6.5</v>
      </c>
      <c r="N442">
        <v>5.83</v>
      </c>
      <c r="O442" s="6">
        <v>17.3</v>
      </c>
      <c r="P442" s="7">
        <v>2.8</v>
      </c>
      <c r="U442" t="s">
        <v>104</v>
      </c>
      <c r="V442" t="s">
        <v>194</v>
      </c>
      <c r="W442">
        <v>2.5</v>
      </c>
      <c r="X442" t="s">
        <v>104</v>
      </c>
      <c r="Y442" t="s">
        <v>764</v>
      </c>
      <c r="Z442" t="s">
        <v>146</v>
      </c>
      <c r="AA442" t="s">
        <v>452</v>
      </c>
      <c r="AB442" t="s">
        <v>115</v>
      </c>
      <c r="AC442">
        <v>519</v>
      </c>
      <c r="AD442" s="8" t="b">
        <f>AND(
 H442&gt;=Filters!$B$3,
 H442&lt;=Filters!$B$4,
 I442&gt;=Filters!$B$5,
 OR(Filters!$B$6="All",B442=Filters!$B$6),
 F442&gt;=Filters!$B$7,
 F442&lt;=Filters!$B$8,
 OR(Filters!$B$9="All",G442=Filters!$B$9)
)</f>
        <v>0</v>
      </c>
      <c r="AE442">
        <f t="shared" si="78"/>
        <v>6</v>
      </c>
      <c r="AF442">
        <f t="shared" si="79"/>
        <v>7</v>
      </c>
      <c r="AG442">
        <f t="shared" si="80"/>
        <v>7</v>
      </c>
      <c r="AH442" s="9" t="str">
        <f t="shared" si="81"/>
        <v/>
      </c>
      <c r="AI442" s="9" t="str">
        <f t="shared" si="82"/>
        <v/>
      </c>
      <c r="AJ442" s="9" t="str">
        <f t="shared" si="83"/>
        <v/>
      </c>
      <c r="AK442" s="9" t="str">
        <f t="shared" si="84"/>
        <v/>
      </c>
      <c r="AL442" s="9" t="str">
        <f t="shared" si="85"/>
        <v/>
      </c>
      <c r="AM442" s="9" t="str">
        <f t="shared" si="86"/>
        <v/>
      </c>
      <c r="AN442" s="9" t="str">
        <f t="shared" si="87"/>
        <v/>
      </c>
      <c r="AO442" s="9" t="str">
        <f t="shared" si="88"/>
        <v/>
      </c>
      <c r="AP442" s="9" t="str">
        <f t="shared" si="89"/>
        <v/>
      </c>
      <c r="AQ442" s="10" t="str">
        <f t="shared" si="90"/>
        <v/>
      </c>
    </row>
    <row r="443" spans="1:43">
      <c r="A443">
        <v>442</v>
      </c>
      <c r="B443" t="s">
        <v>23</v>
      </c>
      <c r="C443" t="s">
        <v>174</v>
      </c>
      <c r="D443" t="s">
        <v>175</v>
      </c>
      <c r="E443" t="s">
        <v>97</v>
      </c>
      <c r="G443" t="s">
        <v>18</v>
      </c>
      <c r="H443" s="4">
        <v>20223000</v>
      </c>
      <c r="I443" s="5">
        <v>256</v>
      </c>
      <c r="J443" s="5">
        <v>0</v>
      </c>
      <c r="K443" s="5">
        <v>4</v>
      </c>
      <c r="L443">
        <v>5.2</v>
      </c>
      <c r="M443">
        <v>6.5</v>
      </c>
      <c r="N443">
        <v>5.92</v>
      </c>
      <c r="O443" s="6">
        <v>15.6</v>
      </c>
      <c r="P443" s="7">
        <v>2.2000000000000002</v>
      </c>
      <c r="U443" t="s">
        <v>84</v>
      </c>
      <c r="V443" t="s">
        <v>126</v>
      </c>
      <c r="W443">
        <v>1.6</v>
      </c>
      <c r="X443" t="s">
        <v>104</v>
      </c>
      <c r="Y443" t="s">
        <v>176</v>
      </c>
      <c r="Z443" t="s">
        <v>100</v>
      </c>
      <c r="AA443" t="s">
        <v>101</v>
      </c>
      <c r="AB443" t="s">
        <v>115</v>
      </c>
      <c r="AC443">
        <v>749</v>
      </c>
      <c r="AD443" s="8" t="b">
        <f>AND(
 H443&gt;=Filters!$B$3,
 H443&lt;=Filters!$B$4,
 I443&gt;=Filters!$B$5,
 OR(Filters!$B$6="All",B443=Filters!$B$6),
 F443&gt;=Filters!$B$7,
 F443&lt;=Filters!$B$8,
 OR(Filters!$B$9="All",G443=Filters!$B$9)
)</f>
        <v>1</v>
      </c>
      <c r="AE443">
        <f t="shared" si="78"/>
        <v>6</v>
      </c>
      <c r="AF443">
        <f t="shared" si="79"/>
        <v>7</v>
      </c>
      <c r="AG443">
        <f t="shared" si="80"/>
        <v>7</v>
      </c>
      <c r="AH443" s="9">
        <f t="shared" si="81"/>
        <v>0.47619047619047616</v>
      </c>
      <c r="AI443" s="9">
        <f t="shared" si="82"/>
        <v>0.33333333333333331</v>
      </c>
      <c r="AJ443" s="9">
        <f t="shared" si="83"/>
        <v>0.63095238095238093</v>
      </c>
      <c r="AK443" s="9">
        <f t="shared" si="84"/>
        <v>0.56190476190476191</v>
      </c>
      <c r="AL443" s="9">
        <f t="shared" si="85"/>
        <v>0.88095238095238082</v>
      </c>
      <c r="AM443" s="9">
        <f t="shared" si="86"/>
        <v>0.5714285714285714</v>
      </c>
      <c r="AN443" s="9">
        <f t="shared" si="87"/>
        <v>0.69047619047619047</v>
      </c>
      <c r="AO443" s="9">
        <f t="shared" si="88"/>
        <v>0.69047619047619047</v>
      </c>
      <c r="AP443" s="9">
        <f t="shared" si="89"/>
        <v>0.55913638132275711</v>
      </c>
      <c r="AQ443" s="10">
        <f t="shared" si="90"/>
        <v>0.55913682432275713</v>
      </c>
    </row>
    <row r="444" spans="1:43">
      <c r="A444">
        <v>443</v>
      </c>
      <c r="B444" t="s">
        <v>29</v>
      </c>
      <c r="C444" t="s">
        <v>765</v>
      </c>
      <c r="D444" t="s">
        <v>766</v>
      </c>
      <c r="E444" t="s">
        <v>83</v>
      </c>
      <c r="G444" t="s">
        <v>18</v>
      </c>
      <c r="H444" s="4">
        <v>38583000</v>
      </c>
      <c r="I444" s="5">
        <v>256</v>
      </c>
      <c r="J444" s="5">
        <v>0</v>
      </c>
      <c r="K444" s="5">
        <v>8</v>
      </c>
      <c r="L444">
        <v>7</v>
      </c>
      <c r="M444">
        <v>3.5</v>
      </c>
      <c r="N444">
        <v>6.33</v>
      </c>
      <c r="O444" s="6">
        <v>12.5</v>
      </c>
      <c r="P444" s="7">
        <v>1.36</v>
      </c>
      <c r="U444" t="s">
        <v>84</v>
      </c>
      <c r="V444" t="s">
        <v>98</v>
      </c>
      <c r="W444">
        <v>2.5</v>
      </c>
      <c r="X444" t="s">
        <v>84</v>
      </c>
      <c r="Y444" t="s">
        <v>99</v>
      </c>
      <c r="Z444" t="s">
        <v>100</v>
      </c>
      <c r="AA444" t="s">
        <v>128</v>
      </c>
      <c r="AB444" t="s">
        <v>115</v>
      </c>
      <c r="AC444">
        <v>1429</v>
      </c>
      <c r="AD444" s="8" t="b">
        <f>AND(
 H444&gt;=Filters!$B$3,
 H444&lt;=Filters!$B$4,
 I444&gt;=Filters!$B$5,
 OR(Filters!$B$6="All",B444=Filters!$B$6),
 F444&gt;=Filters!$B$7,
 F444&lt;=Filters!$B$8,
 OR(Filters!$B$9="All",G444=Filters!$B$9)
)</f>
        <v>0</v>
      </c>
      <c r="AE444">
        <f t="shared" si="78"/>
        <v>6</v>
      </c>
      <c r="AF444">
        <f t="shared" si="79"/>
        <v>7</v>
      </c>
      <c r="AG444">
        <f t="shared" si="80"/>
        <v>7</v>
      </c>
      <c r="AH444" s="9" t="str">
        <f t="shared" si="81"/>
        <v/>
      </c>
      <c r="AI444" s="9" t="str">
        <f t="shared" si="82"/>
        <v/>
      </c>
      <c r="AJ444" s="9" t="str">
        <f t="shared" si="83"/>
        <v/>
      </c>
      <c r="AK444" s="9" t="str">
        <f t="shared" si="84"/>
        <v/>
      </c>
      <c r="AL444" s="9" t="str">
        <f t="shared" si="85"/>
        <v/>
      </c>
      <c r="AM444" s="9" t="str">
        <f t="shared" si="86"/>
        <v/>
      </c>
      <c r="AN444" s="9" t="str">
        <f t="shared" si="87"/>
        <v/>
      </c>
      <c r="AO444" s="9" t="str">
        <f t="shared" si="88"/>
        <v/>
      </c>
      <c r="AP444" s="9" t="str">
        <f t="shared" si="89"/>
        <v/>
      </c>
      <c r="AQ444" s="10" t="str">
        <f t="shared" si="90"/>
        <v/>
      </c>
    </row>
    <row r="445" spans="1:43">
      <c r="A445">
        <v>444</v>
      </c>
      <c r="B445" t="s">
        <v>29</v>
      </c>
      <c r="C445" t="s">
        <v>588</v>
      </c>
      <c r="D445" t="s">
        <v>589</v>
      </c>
      <c r="E445" t="s">
        <v>97</v>
      </c>
      <c r="G445" t="s">
        <v>18</v>
      </c>
      <c r="H445" s="4">
        <v>9423000</v>
      </c>
      <c r="I445" s="5">
        <v>128</v>
      </c>
      <c r="J445" s="5">
        <v>0</v>
      </c>
      <c r="K445" s="5">
        <v>4</v>
      </c>
      <c r="L445">
        <v>1.2</v>
      </c>
      <c r="M445">
        <v>3.5</v>
      </c>
      <c r="N445">
        <v>5.92</v>
      </c>
      <c r="O445" s="6">
        <v>15.6</v>
      </c>
      <c r="P445" s="7">
        <v>2.2000000000000002</v>
      </c>
      <c r="U445" t="s">
        <v>84</v>
      </c>
      <c r="V445" t="s">
        <v>229</v>
      </c>
      <c r="W445">
        <v>1.1000000000000001</v>
      </c>
      <c r="X445" t="s">
        <v>84</v>
      </c>
      <c r="Y445" t="s">
        <v>418</v>
      </c>
      <c r="Z445" t="s">
        <v>87</v>
      </c>
      <c r="AA445" t="s">
        <v>101</v>
      </c>
      <c r="AB445" t="s">
        <v>115</v>
      </c>
      <c r="AC445">
        <v>349</v>
      </c>
      <c r="AD445" s="8" t="b">
        <f>AND(
 H445&gt;=Filters!$B$3,
 H445&lt;=Filters!$B$4,
 I445&gt;=Filters!$B$5,
 OR(Filters!$B$6="All",B445=Filters!$B$6),
 F445&gt;=Filters!$B$7,
 F445&lt;=Filters!$B$8,
 OR(Filters!$B$9="All",G445=Filters!$B$9)
)</f>
        <v>0</v>
      </c>
      <c r="AE445">
        <f t="shared" si="78"/>
        <v>6</v>
      </c>
      <c r="AF445">
        <f t="shared" si="79"/>
        <v>7</v>
      </c>
      <c r="AG445">
        <f t="shared" si="80"/>
        <v>7</v>
      </c>
      <c r="AH445" s="9" t="str">
        <f t="shared" si="81"/>
        <v/>
      </c>
      <c r="AI445" s="9" t="str">
        <f t="shared" si="82"/>
        <v/>
      </c>
      <c r="AJ445" s="9" t="str">
        <f t="shared" si="83"/>
        <v/>
      </c>
      <c r="AK445" s="9" t="str">
        <f t="shared" si="84"/>
        <v/>
      </c>
      <c r="AL445" s="9" t="str">
        <f t="shared" si="85"/>
        <v/>
      </c>
      <c r="AM445" s="9" t="str">
        <f t="shared" si="86"/>
        <v/>
      </c>
      <c r="AN445" s="9" t="str">
        <f t="shared" si="87"/>
        <v/>
      </c>
      <c r="AO445" s="9" t="str">
        <f t="shared" si="88"/>
        <v/>
      </c>
      <c r="AP445" s="9" t="str">
        <f t="shared" si="89"/>
        <v/>
      </c>
      <c r="AQ445" s="10" t="str">
        <f t="shared" si="90"/>
        <v/>
      </c>
    </row>
    <row r="446" spans="1:43">
      <c r="A446">
        <v>445</v>
      </c>
      <c r="B446" t="s">
        <v>26</v>
      </c>
      <c r="C446" t="s">
        <v>767</v>
      </c>
      <c r="D446" t="s">
        <v>768</v>
      </c>
      <c r="E446" t="s">
        <v>158</v>
      </c>
      <c r="G446" t="s">
        <v>18</v>
      </c>
      <c r="H446" s="4">
        <v>29673000</v>
      </c>
      <c r="I446" s="5">
        <v>128</v>
      </c>
      <c r="J446" s="5">
        <v>1024</v>
      </c>
      <c r="K446" s="5">
        <v>8</v>
      </c>
      <c r="L446">
        <v>9.6</v>
      </c>
      <c r="M446">
        <v>9.1999999999999993</v>
      </c>
      <c r="N446">
        <v>6.32</v>
      </c>
      <c r="O446" s="6">
        <v>15.6</v>
      </c>
      <c r="P446" s="7">
        <v>2.2000000000000002</v>
      </c>
      <c r="U446" t="s">
        <v>84</v>
      </c>
      <c r="V446" t="s">
        <v>210</v>
      </c>
      <c r="W446">
        <v>2.8</v>
      </c>
      <c r="X446" t="s">
        <v>122</v>
      </c>
      <c r="Y446" t="s">
        <v>160</v>
      </c>
      <c r="Z446" t="s">
        <v>161</v>
      </c>
      <c r="AA446" t="s">
        <v>128</v>
      </c>
      <c r="AB446" t="s">
        <v>115</v>
      </c>
      <c r="AC446">
        <v>1099</v>
      </c>
      <c r="AD446" s="8" t="b">
        <f>AND(
 H446&gt;=Filters!$B$3,
 H446&lt;=Filters!$B$4,
 I446&gt;=Filters!$B$5,
 OR(Filters!$B$6="All",B446=Filters!$B$6),
 F446&gt;=Filters!$B$7,
 F446&lt;=Filters!$B$8,
 OR(Filters!$B$9="All",G446=Filters!$B$9)
)</f>
        <v>0</v>
      </c>
      <c r="AE446">
        <f t="shared" si="78"/>
        <v>6</v>
      </c>
      <c r="AF446">
        <f t="shared" si="79"/>
        <v>7</v>
      </c>
      <c r="AG446">
        <f t="shared" si="80"/>
        <v>7</v>
      </c>
      <c r="AH446" s="9" t="str">
        <f t="shared" si="81"/>
        <v/>
      </c>
      <c r="AI446" s="9" t="str">
        <f t="shared" si="82"/>
        <v/>
      </c>
      <c r="AJ446" s="9" t="str">
        <f t="shared" si="83"/>
        <v/>
      </c>
      <c r="AK446" s="9" t="str">
        <f t="shared" si="84"/>
        <v/>
      </c>
      <c r="AL446" s="9" t="str">
        <f t="shared" si="85"/>
        <v/>
      </c>
      <c r="AM446" s="9" t="str">
        <f t="shared" si="86"/>
        <v/>
      </c>
      <c r="AN446" s="9" t="str">
        <f t="shared" si="87"/>
        <v/>
      </c>
      <c r="AO446" s="9" t="str">
        <f t="shared" si="88"/>
        <v/>
      </c>
      <c r="AP446" s="9" t="str">
        <f t="shared" si="89"/>
        <v/>
      </c>
      <c r="AQ446" s="10" t="str">
        <f t="shared" si="90"/>
        <v/>
      </c>
    </row>
    <row r="447" spans="1:43">
      <c r="A447">
        <v>446</v>
      </c>
      <c r="B447" t="s">
        <v>23</v>
      </c>
      <c r="C447" t="s">
        <v>769</v>
      </c>
      <c r="D447" t="s">
        <v>739</v>
      </c>
      <c r="E447" t="s">
        <v>97</v>
      </c>
      <c r="G447" t="s">
        <v>18</v>
      </c>
      <c r="H447" s="4">
        <v>31833000</v>
      </c>
      <c r="I447" s="5">
        <v>256</v>
      </c>
      <c r="J447" s="5">
        <v>0</v>
      </c>
      <c r="K447" s="5">
        <v>8</v>
      </c>
      <c r="L447">
        <v>7.6</v>
      </c>
      <c r="M447">
        <v>6.5</v>
      </c>
      <c r="N447">
        <v>6</v>
      </c>
      <c r="O447" s="6">
        <v>14</v>
      </c>
      <c r="P447" s="7">
        <v>1.64</v>
      </c>
      <c r="U447" t="s">
        <v>84</v>
      </c>
      <c r="V447" t="s">
        <v>770</v>
      </c>
      <c r="W447">
        <v>2.8</v>
      </c>
      <c r="X447" t="s">
        <v>122</v>
      </c>
      <c r="Y447" t="s">
        <v>183</v>
      </c>
      <c r="Z447" t="s">
        <v>100</v>
      </c>
      <c r="AA447" t="s">
        <v>101</v>
      </c>
      <c r="AB447" t="s">
        <v>115</v>
      </c>
      <c r="AC447">
        <v>1179</v>
      </c>
      <c r="AD447" s="8" t="b">
        <f>AND(
 H447&gt;=Filters!$B$3,
 H447&lt;=Filters!$B$4,
 I447&gt;=Filters!$B$5,
 OR(Filters!$B$6="All",B447=Filters!$B$6),
 F447&gt;=Filters!$B$7,
 F447&lt;=Filters!$B$8,
 OR(Filters!$B$9="All",G447=Filters!$B$9)
)</f>
        <v>0</v>
      </c>
      <c r="AE447">
        <f t="shared" si="78"/>
        <v>6</v>
      </c>
      <c r="AF447">
        <f t="shared" si="79"/>
        <v>7</v>
      </c>
      <c r="AG447">
        <f t="shared" si="80"/>
        <v>7</v>
      </c>
      <c r="AH447" s="9" t="str">
        <f t="shared" si="81"/>
        <v/>
      </c>
      <c r="AI447" s="9" t="str">
        <f t="shared" si="82"/>
        <v/>
      </c>
      <c r="AJ447" s="9" t="str">
        <f t="shared" si="83"/>
        <v/>
      </c>
      <c r="AK447" s="9" t="str">
        <f t="shared" si="84"/>
        <v/>
      </c>
      <c r="AL447" s="9" t="str">
        <f t="shared" si="85"/>
        <v/>
      </c>
      <c r="AM447" s="9" t="str">
        <f t="shared" si="86"/>
        <v/>
      </c>
      <c r="AN447" s="9" t="str">
        <f t="shared" si="87"/>
        <v/>
      </c>
      <c r="AO447" s="9" t="str">
        <f t="shared" si="88"/>
        <v/>
      </c>
      <c r="AP447" s="9" t="str">
        <f t="shared" si="89"/>
        <v/>
      </c>
      <c r="AQ447" s="10" t="str">
        <f t="shared" si="90"/>
        <v/>
      </c>
    </row>
    <row r="448" spans="1:43">
      <c r="A448">
        <v>447</v>
      </c>
      <c r="B448" t="s">
        <v>17</v>
      </c>
      <c r="C448" t="s">
        <v>771</v>
      </c>
      <c r="D448" t="s">
        <v>772</v>
      </c>
      <c r="E448" t="s">
        <v>97</v>
      </c>
      <c r="G448" t="s">
        <v>18</v>
      </c>
      <c r="H448" s="4">
        <v>11928600</v>
      </c>
      <c r="I448" s="5">
        <v>0</v>
      </c>
      <c r="J448" s="5">
        <v>500</v>
      </c>
      <c r="K448" s="5">
        <v>4</v>
      </c>
      <c r="L448">
        <v>7</v>
      </c>
      <c r="M448">
        <v>3.5</v>
      </c>
      <c r="N448">
        <v>3.92</v>
      </c>
      <c r="O448" s="6">
        <v>15.6</v>
      </c>
      <c r="P448" s="7">
        <v>2.4</v>
      </c>
      <c r="U448" t="s">
        <v>84</v>
      </c>
      <c r="V448" t="s">
        <v>98</v>
      </c>
      <c r="W448">
        <v>2.5</v>
      </c>
      <c r="X448" t="s">
        <v>84</v>
      </c>
      <c r="Y448" t="s">
        <v>99</v>
      </c>
      <c r="Z448" t="s">
        <v>113</v>
      </c>
      <c r="AA448" t="s">
        <v>114</v>
      </c>
      <c r="AB448" t="s">
        <v>201</v>
      </c>
      <c r="AC448">
        <v>441.8</v>
      </c>
      <c r="AD448" s="8" t="b">
        <f>AND(
 H448&gt;=Filters!$B$3,
 H448&lt;=Filters!$B$4,
 I448&gt;=Filters!$B$5,
 OR(Filters!$B$6="All",B448=Filters!$B$6),
 F448&gt;=Filters!$B$7,
 F448&lt;=Filters!$B$8,
 OR(Filters!$B$9="All",G448=Filters!$B$9)
)</f>
        <v>0</v>
      </c>
      <c r="AE448">
        <f t="shared" si="78"/>
        <v>6</v>
      </c>
      <c r="AF448">
        <f t="shared" si="79"/>
        <v>7</v>
      </c>
      <c r="AG448">
        <f t="shared" si="80"/>
        <v>7</v>
      </c>
      <c r="AH448" s="9" t="str">
        <f t="shared" si="81"/>
        <v/>
      </c>
      <c r="AI448" s="9" t="str">
        <f t="shared" si="82"/>
        <v/>
      </c>
      <c r="AJ448" s="9" t="str">
        <f t="shared" si="83"/>
        <v/>
      </c>
      <c r="AK448" s="9" t="str">
        <f t="shared" si="84"/>
        <v/>
      </c>
      <c r="AL448" s="9" t="str">
        <f t="shared" si="85"/>
        <v/>
      </c>
      <c r="AM448" s="9" t="str">
        <f t="shared" si="86"/>
        <v/>
      </c>
      <c r="AN448" s="9" t="str">
        <f t="shared" si="87"/>
        <v/>
      </c>
      <c r="AO448" s="9" t="str">
        <f t="shared" si="88"/>
        <v/>
      </c>
      <c r="AP448" s="9" t="str">
        <f t="shared" si="89"/>
        <v/>
      </c>
      <c r="AQ448" s="10" t="str">
        <f t="shared" si="90"/>
        <v/>
      </c>
    </row>
    <row r="449" spans="1:43">
      <c r="A449">
        <v>448</v>
      </c>
      <c r="B449" t="s">
        <v>23</v>
      </c>
      <c r="C449" t="s">
        <v>773</v>
      </c>
      <c r="D449" t="s">
        <v>774</v>
      </c>
      <c r="E449" t="s">
        <v>468</v>
      </c>
      <c r="G449" t="s">
        <v>18</v>
      </c>
      <c r="H449" s="4">
        <v>53811000</v>
      </c>
      <c r="I449" s="5">
        <v>64</v>
      </c>
      <c r="J449" s="5">
        <v>1024</v>
      </c>
      <c r="K449" s="5">
        <v>8</v>
      </c>
      <c r="L449">
        <v>10</v>
      </c>
      <c r="M449">
        <v>8</v>
      </c>
      <c r="N449">
        <v>5.92</v>
      </c>
      <c r="O449" s="6">
        <v>15.6</v>
      </c>
      <c r="P449" s="7">
        <v>2.23</v>
      </c>
      <c r="U449" t="s">
        <v>84</v>
      </c>
      <c r="V449" t="s">
        <v>469</v>
      </c>
      <c r="W449">
        <v>3</v>
      </c>
      <c r="X449" t="s">
        <v>122</v>
      </c>
      <c r="Y449" t="s">
        <v>775</v>
      </c>
      <c r="Z449" t="s">
        <v>776</v>
      </c>
      <c r="AA449" t="s">
        <v>101</v>
      </c>
      <c r="AB449" t="s">
        <v>115</v>
      </c>
      <c r="AC449">
        <v>1993</v>
      </c>
      <c r="AD449" s="8" t="b">
        <f>AND(
 H449&gt;=Filters!$B$3,
 H449&lt;=Filters!$B$4,
 I449&gt;=Filters!$B$5,
 OR(Filters!$B$6="All",B449=Filters!$B$6),
 F449&gt;=Filters!$B$7,
 F449&lt;=Filters!$B$8,
 OR(Filters!$B$9="All",G449=Filters!$B$9)
)</f>
        <v>0</v>
      </c>
      <c r="AE449">
        <f t="shared" si="78"/>
        <v>6</v>
      </c>
      <c r="AF449">
        <f t="shared" si="79"/>
        <v>7</v>
      </c>
      <c r="AG449">
        <f t="shared" si="80"/>
        <v>7</v>
      </c>
      <c r="AH449" s="9" t="str">
        <f t="shared" si="81"/>
        <v/>
      </c>
      <c r="AI449" s="9" t="str">
        <f t="shared" si="82"/>
        <v/>
      </c>
      <c r="AJ449" s="9" t="str">
        <f t="shared" si="83"/>
        <v/>
      </c>
      <c r="AK449" s="9" t="str">
        <f t="shared" si="84"/>
        <v/>
      </c>
      <c r="AL449" s="9" t="str">
        <f t="shared" si="85"/>
        <v/>
      </c>
      <c r="AM449" s="9" t="str">
        <f t="shared" si="86"/>
        <v/>
      </c>
      <c r="AN449" s="9" t="str">
        <f t="shared" si="87"/>
        <v/>
      </c>
      <c r="AO449" s="9" t="str">
        <f t="shared" si="88"/>
        <v/>
      </c>
      <c r="AP449" s="9" t="str">
        <f t="shared" si="89"/>
        <v/>
      </c>
      <c r="AQ449" s="10" t="str">
        <f t="shared" si="90"/>
        <v/>
      </c>
    </row>
    <row r="450" spans="1:43">
      <c r="A450">
        <v>449</v>
      </c>
      <c r="B450" t="s">
        <v>30</v>
      </c>
      <c r="C450" t="s">
        <v>777</v>
      </c>
      <c r="D450" t="s">
        <v>778</v>
      </c>
      <c r="E450" t="s">
        <v>158</v>
      </c>
      <c r="G450" t="s">
        <v>18</v>
      </c>
      <c r="H450" s="4">
        <v>27748980</v>
      </c>
      <c r="I450" s="5">
        <v>256</v>
      </c>
      <c r="J450" s="5">
        <v>0</v>
      </c>
      <c r="K450" s="5">
        <v>8</v>
      </c>
      <c r="L450">
        <v>7</v>
      </c>
      <c r="M450">
        <v>9.1999999999999993</v>
      </c>
      <c r="N450">
        <v>5.92</v>
      </c>
      <c r="O450" s="6">
        <v>15.6</v>
      </c>
      <c r="P450" s="7">
        <v>2.2000000000000002</v>
      </c>
      <c r="U450" t="s">
        <v>84</v>
      </c>
      <c r="V450" t="s">
        <v>159</v>
      </c>
      <c r="W450">
        <v>2.5</v>
      </c>
      <c r="X450" t="s">
        <v>122</v>
      </c>
      <c r="Y450" t="s">
        <v>160</v>
      </c>
      <c r="Z450" t="s">
        <v>100</v>
      </c>
      <c r="AA450" t="s">
        <v>101</v>
      </c>
      <c r="AB450" t="s">
        <v>115</v>
      </c>
      <c r="AC450">
        <v>1027.74</v>
      </c>
      <c r="AD450" s="8" t="b">
        <f>AND(
 H450&gt;=Filters!$B$3,
 H450&lt;=Filters!$B$4,
 I450&gt;=Filters!$B$5,
 OR(Filters!$B$6="All",B450=Filters!$B$6),
 F450&gt;=Filters!$B$7,
 F450&lt;=Filters!$B$8,
 OR(Filters!$B$9="All",G450=Filters!$B$9)
)</f>
        <v>0</v>
      </c>
      <c r="AE450">
        <f t="shared" ref="AE450:AE513" si="91">IF(Q450="",6,Q450)</f>
        <v>6</v>
      </c>
      <c r="AF450">
        <f t="shared" ref="AF450:AF513" si="92">IF(R450="",7,R450)</f>
        <v>7</v>
      </c>
      <c r="AG450">
        <f t="shared" ref="AG450:AG513" si="93">IF(S450="",7,S450)</f>
        <v>7</v>
      </c>
      <c r="AH450" s="9" t="str">
        <f t="shared" ref="AH450:AH513" si="94">IF(AD450,IF(CPU_MAX=CPU_MIN,1,(L450-CPU_MIN)/(CPU_MAX-CPU_MIN)),"")</f>
        <v/>
      </c>
      <c r="AI450" s="9" t="str">
        <f t="shared" ref="AI450:AI513" si="95">IF(AD450,IF(RAM_MAX=RAM_MIN,1,(K450-RAM_MIN)/(RAM_MAX-RAM_MIN)),"")</f>
        <v/>
      </c>
      <c r="AJ450" s="9" t="str">
        <f t="shared" ref="AJ450:AJ513" si="96">IF(AD450,IF(GPU_MAX=GPU_MIN,1,(M450-GPU_MIN)/(GPU_MAX-GPU_MIN)),"")</f>
        <v/>
      </c>
      <c r="AK450" s="9" t="str">
        <f t="shared" ref="AK450:AK513" si="97">IF(AD450,IF(SCREEN_MAX=SCREEN_MIN,1,(N450-SCREEN_MIN)/(SCREEN_MAX-SCREEN_MIN)),"")</f>
        <v/>
      </c>
      <c r="AL450" s="9" t="str">
        <f t="shared" ref="AL450:AL513" si="98">IF(AD450,IF(WEIGHT_MAX=WEIGHT_MIN,1,(WEIGHT_MAX-P450)/(WEIGHT_MAX-WEIGHT_MIN)),"")</f>
        <v/>
      </c>
      <c r="AM450" s="9" t="str">
        <f t="shared" ref="AM450:AM513" si="99">IF(AD450,IF(BATTERY_MAX=BATTERY_MIN,1,(AE450-BATTERY_MIN)/(BATTERY_MAX-BATTERY_MIN)),"")</f>
        <v/>
      </c>
      <c r="AN450" s="9" t="str">
        <f t="shared" ref="AN450:AN513" si="100">IF(AD450,IF(DURABILITY_MAX=DURABILITY_MIN,1,(AF450-DURABILITY_MIN)/(DURABILITY_MAX-DURABILITY_MIN)),"")</f>
        <v/>
      </c>
      <c r="AO450" s="9" t="str">
        <f t="shared" ref="AO450:AO513" si="101">IF(AD450,IF(UPGRADE_MAX=UPGRADE_MIN,1,(AG450-UPGRADE_MIN)/(UPGRADE_MAX-UPGRADE_MIN)),"")</f>
        <v/>
      </c>
      <c r="AP450" s="9" t="str">
        <f t="shared" ref="AP450:AP513" si="102">IF(AD450,W_CPU*AH450+W_RAM*AI450+W_GPU*AJ450+W_SCREEN*AK450+W_WEIGHT*AL450+W_BATTERY*AM450+W_DURABILITY*AN450+W_UPGRADE*AO450,"" )</f>
        <v/>
      </c>
      <c r="AQ450" s="10" t="str">
        <f t="shared" ref="AQ450:AQ513" si="103">IF(AP450="","",AP450+ROW()*0.000000001)</f>
        <v/>
      </c>
    </row>
    <row r="451" spans="1:43">
      <c r="A451">
        <v>450</v>
      </c>
      <c r="B451" t="s">
        <v>32</v>
      </c>
      <c r="C451" t="s">
        <v>269</v>
      </c>
      <c r="D451" t="s">
        <v>270</v>
      </c>
      <c r="E451" t="s">
        <v>83</v>
      </c>
      <c r="G451" t="s">
        <v>18</v>
      </c>
      <c r="H451" s="4">
        <v>69903000</v>
      </c>
      <c r="I451" s="5">
        <v>512</v>
      </c>
      <c r="J451" s="5">
        <v>0</v>
      </c>
      <c r="K451" s="5">
        <v>16</v>
      </c>
      <c r="L451">
        <v>9</v>
      </c>
      <c r="M451">
        <v>4.2</v>
      </c>
      <c r="N451">
        <v>7.27</v>
      </c>
      <c r="O451" s="6">
        <v>13.5</v>
      </c>
      <c r="P451" s="7">
        <v>1.25</v>
      </c>
      <c r="U451" t="s">
        <v>84</v>
      </c>
      <c r="V451" t="s">
        <v>779</v>
      </c>
      <c r="W451">
        <v>2.5</v>
      </c>
      <c r="X451" t="s">
        <v>84</v>
      </c>
      <c r="Y451" t="s">
        <v>86</v>
      </c>
      <c r="Z451" t="s">
        <v>106</v>
      </c>
      <c r="AA451" t="s">
        <v>271</v>
      </c>
      <c r="AB451" t="s">
        <v>272</v>
      </c>
      <c r="AC451">
        <v>2589</v>
      </c>
      <c r="AD451" s="8" t="b">
        <f>AND(
 H451&gt;=Filters!$B$3,
 H451&lt;=Filters!$B$4,
 I451&gt;=Filters!$B$5,
 OR(Filters!$B$6="All",B451=Filters!$B$6),
 F451&gt;=Filters!$B$7,
 F451&lt;=Filters!$B$8,
 OR(Filters!$B$9="All",G451=Filters!$B$9)
)</f>
        <v>0</v>
      </c>
      <c r="AE451">
        <f t="shared" si="91"/>
        <v>6</v>
      </c>
      <c r="AF451">
        <f t="shared" si="92"/>
        <v>7</v>
      </c>
      <c r="AG451">
        <f t="shared" si="93"/>
        <v>7</v>
      </c>
      <c r="AH451" s="9" t="str">
        <f t="shared" si="94"/>
        <v/>
      </c>
      <c r="AI451" s="9" t="str">
        <f t="shared" si="95"/>
        <v/>
      </c>
      <c r="AJ451" s="9" t="str">
        <f t="shared" si="96"/>
        <v/>
      </c>
      <c r="AK451" s="9" t="str">
        <f t="shared" si="97"/>
        <v/>
      </c>
      <c r="AL451" s="9" t="str">
        <f t="shared" si="98"/>
        <v/>
      </c>
      <c r="AM451" s="9" t="str">
        <f t="shared" si="99"/>
        <v/>
      </c>
      <c r="AN451" s="9" t="str">
        <f t="shared" si="100"/>
        <v/>
      </c>
      <c r="AO451" s="9" t="str">
        <f t="shared" si="101"/>
        <v/>
      </c>
      <c r="AP451" s="9" t="str">
        <f t="shared" si="102"/>
        <v/>
      </c>
      <c r="AQ451" s="10" t="str">
        <f t="shared" si="103"/>
        <v/>
      </c>
    </row>
    <row r="452" spans="1:43">
      <c r="A452">
        <v>451</v>
      </c>
      <c r="B452" t="s">
        <v>26</v>
      </c>
      <c r="C452" t="s">
        <v>780</v>
      </c>
      <c r="D452" t="s">
        <v>781</v>
      </c>
      <c r="E452" t="s">
        <v>97</v>
      </c>
      <c r="G452" t="s">
        <v>18</v>
      </c>
      <c r="H452" s="4">
        <v>15903000</v>
      </c>
      <c r="I452" s="5">
        <v>128</v>
      </c>
      <c r="J452" s="5">
        <v>0</v>
      </c>
      <c r="K452" s="5">
        <v>8</v>
      </c>
      <c r="L452">
        <v>7</v>
      </c>
      <c r="M452">
        <v>3.5</v>
      </c>
      <c r="N452">
        <v>3.92</v>
      </c>
      <c r="O452" s="6">
        <v>15.6</v>
      </c>
      <c r="P452" s="7">
        <v>1.91</v>
      </c>
      <c r="U452" t="s">
        <v>84</v>
      </c>
      <c r="V452" t="s">
        <v>98</v>
      </c>
      <c r="W452">
        <v>2.5</v>
      </c>
      <c r="X452" t="s">
        <v>84</v>
      </c>
      <c r="Y452" t="s">
        <v>99</v>
      </c>
      <c r="Z452" t="s">
        <v>87</v>
      </c>
      <c r="AA452" t="s">
        <v>114</v>
      </c>
      <c r="AB452" t="s">
        <v>115</v>
      </c>
      <c r="AC452">
        <v>589</v>
      </c>
      <c r="AD452" s="8" t="b">
        <f>AND(
 H452&gt;=Filters!$B$3,
 H452&lt;=Filters!$B$4,
 I452&gt;=Filters!$B$5,
 OR(Filters!$B$6="All",B452=Filters!$B$6),
 F452&gt;=Filters!$B$7,
 F452&lt;=Filters!$B$8,
 OR(Filters!$B$9="All",G452=Filters!$B$9)
)</f>
        <v>0</v>
      </c>
      <c r="AE452">
        <f t="shared" si="91"/>
        <v>6</v>
      </c>
      <c r="AF452">
        <f t="shared" si="92"/>
        <v>7</v>
      </c>
      <c r="AG452">
        <f t="shared" si="93"/>
        <v>7</v>
      </c>
      <c r="AH452" s="9" t="str">
        <f t="shared" si="94"/>
        <v/>
      </c>
      <c r="AI452" s="9" t="str">
        <f t="shared" si="95"/>
        <v/>
      </c>
      <c r="AJ452" s="9" t="str">
        <f t="shared" si="96"/>
        <v/>
      </c>
      <c r="AK452" s="9" t="str">
        <f t="shared" si="97"/>
        <v/>
      </c>
      <c r="AL452" s="9" t="str">
        <f t="shared" si="98"/>
        <v/>
      </c>
      <c r="AM452" s="9" t="str">
        <f t="shared" si="99"/>
        <v/>
      </c>
      <c r="AN452" s="9" t="str">
        <f t="shared" si="100"/>
        <v/>
      </c>
      <c r="AO452" s="9" t="str">
        <f t="shared" si="101"/>
        <v/>
      </c>
      <c r="AP452" s="9" t="str">
        <f t="shared" si="102"/>
        <v/>
      </c>
      <c r="AQ452" s="10" t="str">
        <f t="shared" si="103"/>
        <v/>
      </c>
    </row>
    <row r="453" spans="1:43">
      <c r="A453">
        <v>452</v>
      </c>
      <c r="B453" t="s">
        <v>23</v>
      </c>
      <c r="C453" t="s">
        <v>773</v>
      </c>
      <c r="D453" t="s">
        <v>774</v>
      </c>
      <c r="E453" t="s">
        <v>468</v>
      </c>
      <c r="G453" t="s">
        <v>18</v>
      </c>
      <c r="H453" s="4">
        <v>53325000</v>
      </c>
      <c r="I453" s="5">
        <v>256</v>
      </c>
      <c r="J453" s="5">
        <v>0</v>
      </c>
      <c r="K453" s="5">
        <v>16</v>
      </c>
      <c r="L453">
        <v>9.4</v>
      </c>
      <c r="M453">
        <v>8</v>
      </c>
      <c r="N453">
        <v>6.32</v>
      </c>
      <c r="O453" s="6">
        <v>15.6</v>
      </c>
      <c r="P453" s="7">
        <v>2.17</v>
      </c>
      <c r="U453" t="s">
        <v>84</v>
      </c>
      <c r="V453" t="s">
        <v>693</v>
      </c>
      <c r="W453">
        <v>2.7</v>
      </c>
      <c r="X453" t="s">
        <v>122</v>
      </c>
      <c r="Y453" t="s">
        <v>775</v>
      </c>
      <c r="Z453" t="s">
        <v>100</v>
      </c>
      <c r="AA453" t="s">
        <v>128</v>
      </c>
      <c r="AB453" t="s">
        <v>115</v>
      </c>
      <c r="AC453">
        <v>1975</v>
      </c>
      <c r="AD453" s="8" t="b">
        <f>AND(
 H453&gt;=Filters!$B$3,
 H453&lt;=Filters!$B$4,
 I453&gt;=Filters!$B$5,
 OR(Filters!$B$6="All",B453=Filters!$B$6),
 F453&gt;=Filters!$B$7,
 F453&lt;=Filters!$B$8,
 OR(Filters!$B$9="All",G453=Filters!$B$9)
)</f>
        <v>0</v>
      </c>
      <c r="AE453">
        <f t="shared" si="91"/>
        <v>6</v>
      </c>
      <c r="AF453">
        <f t="shared" si="92"/>
        <v>7</v>
      </c>
      <c r="AG453">
        <f t="shared" si="93"/>
        <v>7</v>
      </c>
      <c r="AH453" s="9" t="str">
        <f t="shared" si="94"/>
        <v/>
      </c>
      <c r="AI453" s="9" t="str">
        <f t="shared" si="95"/>
        <v/>
      </c>
      <c r="AJ453" s="9" t="str">
        <f t="shared" si="96"/>
        <v/>
      </c>
      <c r="AK453" s="9" t="str">
        <f t="shared" si="97"/>
        <v/>
      </c>
      <c r="AL453" s="9" t="str">
        <f t="shared" si="98"/>
        <v/>
      </c>
      <c r="AM453" s="9" t="str">
        <f t="shared" si="99"/>
        <v/>
      </c>
      <c r="AN453" s="9" t="str">
        <f t="shared" si="100"/>
        <v/>
      </c>
      <c r="AO453" s="9" t="str">
        <f t="shared" si="101"/>
        <v/>
      </c>
      <c r="AP453" s="9" t="str">
        <f t="shared" si="102"/>
        <v/>
      </c>
      <c r="AQ453" s="10" t="str">
        <f t="shared" si="103"/>
        <v/>
      </c>
    </row>
    <row r="454" spans="1:43">
      <c r="A454">
        <v>453</v>
      </c>
      <c r="B454" t="s">
        <v>26</v>
      </c>
      <c r="C454" t="s">
        <v>782</v>
      </c>
      <c r="D454" t="s">
        <v>735</v>
      </c>
      <c r="E454" t="s">
        <v>468</v>
      </c>
      <c r="G454" t="s">
        <v>18</v>
      </c>
      <c r="H454" s="4">
        <v>41418000</v>
      </c>
      <c r="I454" s="5">
        <v>512</v>
      </c>
      <c r="J454" s="5">
        <v>0</v>
      </c>
      <c r="K454" s="5">
        <v>8</v>
      </c>
      <c r="L454">
        <v>9.8000000000000007</v>
      </c>
      <c r="M454">
        <v>3.5</v>
      </c>
      <c r="N454">
        <v>6.32</v>
      </c>
      <c r="O454" s="6">
        <v>15.6</v>
      </c>
      <c r="P454" s="7">
        <v>2.31</v>
      </c>
      <c r="U454" t="s">
        <v>84</v>
      </c>
      <c r="V454" t="s">
        <v>574</v>
      </c>
      <c r="W454">
        <v>2.9</v>
      </c>
      <c r="X454" t="s">
        <v>84</v>
      </c>
      <c r="Y454" t="s">
        <v>99</v>
      </c>
      <c r="Z454" t="s">
        <v>106</v>
      </c>
      <c r="AA454" t="s">
        <v>128</v>
      </c>
      <c r="AB454" t="s">
        <v>115</v>
      </c>
      <c r="AC454">
        <v>1534</v>
      </c>
      <c r="AD454" s="8" t="b">
        <f>AND(
 H454&gt;=Filters!$B$3,
 H454&lt;=Filters!$B$4,
 I454&gt;=Filters!$B$5,
 OR(Filters!$B$6="All",B454=Filters!$B$6),
 F454&gt;=Filters!$B$7,
 F454&lt;=Filters!$B$8,
 OR(Filters!$B$9="All",G454=Filters!$B$9)
)</f>
        <v>0</v>
      </c>
      <c r="AE454">
        <f t="shared" si="91"/>
        <v>6</v>
      </c>
      <c r="AF454">
        <f t="shared" si="92"/>
        <v>7</v>
      </c>
      <c r="AG454">
        <f t="shared" si="93"/>
        <v>7</v>
      </c>
      <c r="AH454" s="9" t="str">
        <f t="shared" si="94"/>
        <v/>
      </c>
      <c r="AI454" s="9" t="str">
        <f t="shared" si="95"/>
        <v/>
      </c>
      <c r="AJ454" s="9" t="str">
        <f t="shared" si="96"/>
        <v/>
      </c>
      <c r="AK454" s="9" t="str">
        <f t="shared" si="97"/>
        <v/>
      </c>
      <c r="AL454" s="9" t="str">
        <f t="shared" si="98"/>
        <v/>
      </c>
      <c r="AM454" s="9" t="str">
        <f t="shared" si="99"/>
        <v/>
      </c>
      <c r="AN454" s="9" t="str">
        <f t="shared" si="100"/>
        <v/>
      </c>
      <c r="AO454" s="9" t="str">
        <f t="shared" si="101"/>
        <v/>
      </c>
      <c r="AP454" s="9" t="str">
        <f t="shared" si="102"/>
        <v/>
      </c>
      <c r="AQ454" s="10" t="str">
        <f t="shared" si="103"/>
        <v/>
      </c>
    </row>
    <row r="455" spans="1:43">
      <c r="A455">
        <v>454</v>
      </c>
      <c r="B455" t="s">
        <v>29</v>
      </c>
      <c r="C455" t="s">
        <v>783</v>
      </c>
      <c r="D455" t="s">
        <v>784</v>
      </c>
      <c r="E455" t="s">
        <v>97</v>
      </c>
      <c r="G455" t="s">
        <v>18</v>
      </c>
      <c r="H455" s="4">
        <v>36315000</v>
      </c>
      <c r="I455" s="5">
        <v>256</v>
      </c>
      <c r="J455" s="5">
        <v>0</v>
      </c>
      <c r="K455" s="5">
        <v>8</v>
      </c>
      <c r="L455">
        <v>7</v>
      </c>
      <c r="M455">
        <v>3.5</v>
      </c>
      <c r="N455">
        <v>6</v>
      </c>
      <c r="O455" s="6">
        <v>14</v>
      </c>
      <c r="P455" s="7">
        <v>1.65</v>
      </c>
      <c r="U455" t="s">
        <v>84</v>
      </c>
      <c r="V455" t="s">
        <v>98</v>
      </c>
      <c r="W455">
        <v>2.5</v>
      </c>
      <c r="X455" t="s">
        <v>84</v>
      </c>
      <c r="Y455" t="s">
        <v>99</v>
      </c>
      <c r="Z455" t="s">
        <v>100</v>
      </c>
      <c r="AA455" t="s">
        <v>101</v>
      </c>
      <c r="AB455" t="s">
        <v>115</v>
      </c>
      <c r="AC455">
        <v>1345</v>
      </c>
      <c r="AD455" s="8" t="b">
        <f>AND(
 H455&gt;=Filters!$B$3,
 H455&lt;=Filters!$B$4,
 I455&gt;=Filters!$B$5,
 OR(Filters!$B$6="All",B455=Filters!$B$6),
 F455&gt;=Filters!$B$7,
 F455&lt;=Filters!$B$8,
 OR(Filters!$B$9="All",G455=Filters!$B$9)
)</f>
        <v>0</v>
      </c>
      <c r="AE455">
        <f t="shared" si="91"/>
        <v>6</v>
      </c>
      <c r="AF455">
        <f t="shared" si="92"/>
        <v>7</v>
      </c>
      <c r="AG455">
        <f t="shared" si="93"/>
        <v>7</v>
      </c>
      <c r="AH455" s="9" t="str">
        <f t="shared" si="94"/>
        <v/>
      </c>
      <c r="AI455" s="9" t="str">
        <f t="shared" si="95"/>
        <v/>
      </c>
      <c r="AJ455" s="9" t="str">
        <f t="shared" si="96"/>
        <v/>
      </c>
      <c r="AK455" s="9" t="str">
        <f t="shared" si="97"/>
        <v/>
      </c>
      <c r="AL455" s="9" t="str">
        <f t="shared" si="98"/>
        <v/>
      </c>
      <c r="AM455" s="9" t="str">
        <f t="shared" si="99"/>
        <v/>
      </c>
      <c r="AN455" s="9" t="str">
        <f t="shared" si="100"/>
        <v/>
      </c>
      <c r="AO455" s="9" t="str">
        <f t="shared" si="101"/>
        <v/>
      </c>
      <c r="AP455" s="9" t="str">
        <f t="shared" si="102"/>
        <v/>
      </c>
      <c r="AQ455" s="10" t="str">
        <f t="shared" si="103"/>
        <v/>
      </c>
    </row>
    <row r="456" spans="1:43">
      <c r="A456">
        <v>455</v>
      </c>
      <c r="B456" t="s">
        <v>23</v>
      </c>
      <c r="C456" t="s">
        <v>174</v>
      </c>
      <c r="D456" t="s">
        <v>175</v>
      </c>
      <c r="E456" t="s">
        <v>97</v>
      </c>
      <c r="G456" t="s">
        <v>18</v>
      </c>
      <c r="H456" s="4">
        <v>26433000</v>
      </c>
      <c r="I456" s="5">
        <v>128</v>
      </c>
      <c r="J456" s="5">
        <v>1024</v>
      </c>
      <c r="K456" s="5">
        <v>8</v>
      </c>
      <c r="L456">
        <v>7.6</v>
      </c>
      <c r="M456">
        <v>6.5</v>
      </c>
      <c r="N456">
        <v>5.92</v>
      </c>
      <c r="O456" s="6">
        <v>15.6</v>
      </c>
      <c r="P456" s="7">
        <v>2.36</v>
      </c>
      <c r="U456" t="s">
        <v>84</v>
      </c>
      <c r="V456" t="s">
        <v>121</v>
      </c>
      <c r="W456">
        <v>1.8</v>
      </c>
      <c r="X456" t="s">
        <v>104</v>
      </c>
      <c r="Y456" t="s">
        <v>176</v>
      </c>
      <c r="Z456" t="s">
        <v>161</v>
      </c>
      <c r="AA456" t="s">
        <v>101</v>
      </c>
      <c r="AB456" t="s">
        <v>115</v>
      </c>
      <c r="AC456">
        <v>979</v>
      </c>
      <c r="AD456" s="8" t="b">
        <f>AND(
 H456&gt;=Filters!$B$3,
 H456&lt;=Filters!$B$4,
 I456&gt;=Filters!$B$5,
 OR(Filters!$B$6="All",B456=Filters!$B$6),
 F456&gt;=Filters!$B$7,
 F456&lt;=Filters!$B$8,
 OR(Filters!$B$9="All",G456=Filters!$B$9)
)</f>
        <v>0</v>
      </c>
      <c r="AE456">
        <f t="shared" si="91"/>
        <v>6</v>
      </c>
      <c r="AF456">
        <f t="shared" si="92"/>
        <v>7</v>
      </c>
      <c r="AG456">
        <f t="shared" si="93"/>
        <v>7</v>
      </c>
      <c r="AH456" s="9" t="str">
        <f t="shared" si="94"/>
        <v/>
      </c>
      <c r="AI456" s="9" t="str">
        <f t="shared" si="95"/>
        <v/>
      </c>
      <c r="AJ456" s="9" t="str">
        <f t="shared" si="96"/>
        <v/>
      </c>
      <c r="AK456" s="9" t="str">
        <f t="shared" si="97"/>
        <v/>
      </c>
      <c r="AL456" s="9" t="str">
        <f t="shared" si="98"/>
        <v/>
      </c>
      <c r="AM456" s="9" t="str">
        <f t="shared" si="99"/>
        <v/>
      </c>
      <c r="AN456" s="9" t="str">
        <f t="shared" si="100"/>
        <v/>
      </c>
      <c r="AO456" s="9" t="str">
        <f t="shared" si="101"/>
        <v/>
      </c>
      <c r="AP456" s="9" t="str">
        <f t="shared" si="102"/>
        <v/>
      </c>
      <c r="AQ456" s="10" t="str">
        <f t="shared" si="103"/>
        <v/>
      </c>
    </row>
    <row r="457" spans="1:43">
      <c r="A457">
        <v>456</v>
      </c>
      <c r="B457" t="s">
        <v>23</v>
      </c>
      <c r="C457" t="s">
        <v>785</v>
      </c>
      <c r="D457" t="s">
        <v>786</v>
      </c>
      <c r="E457" t="s">
        <v>168</v>
      </c>
      <c r="G457" t="s">
        <v>18</v>
      </c>
      <c r="H457" s="4">
        <v>12933000</v>
      </c>
      <c r="I457" s="5">
        <v>0</v>
      </c>
      <c r="J457" s="5">
        <v>500</v>
      </c>
      <c r="K457" s="5">
        <v>4</v>
      </c>
      <c r="L457">
        <v>2.2000000000000002</v>
      </c>
      <c r="M457">
        <v>3.5</v>
      </c>
      <c r="N457">
        <v>4.18</v>
      </c>
      <c r="O457" s="6">
        <v>11.6</v>
      </c>
      <c r="P457" s="7">
        <v>1.47</v>
      </c>
      <c r="U457" t="s">
        <v>84</v>
      </c>
      <c r="V457" t="s">
        <v>611</v>
      </c>
      <c r="W457">
        <v>1.6</v>
      </c>
      <c r="X457" t="s">
        <v>84</v>
      </c>
      <c r="Y457" t="s">
        <v>612</v>
      </c>
      <c r="Z457" t="s">
        <v>113</v>
      </c>
      <c r="AA457" t="s">
        <v>472</v>
      </c>
      <c r="AB457" t="s">
        <v>115</v>
      </c>
      <c r="AC457">
        <v>479</v>
      </c>
      <c r="AD457" s="8" t="b">
        <f>AND(
 H457&gt;=Filters!$B$3,
 H457&lt;=Filters!$B$4,
 I457&gt;=Filters!$B$5,
 OR(Filters!$B$6="All",B457=Filters!$B$6),
 F457&gt;=Filters!$B$7,
 F457&lt;=Filters!$B$8,
 OR(Filters!$B$9="All",G457=Filters!$B$9)
)</f>
        <v>0</v>
      </c>
      <c r="AE457">
        <f t="shared" si="91"/>
        <v>6</v>
      </c>
      <c r="AF457">
        <f t="shared" si="92"/>
        <v>7</v>
      </c>
      <c r="AG457">
        <f t="shared" si="93"/>
        <v>7</v>
      </c>
      <c r="AH457" s="9" t="str">
        <f t="shared" si="94"/>
        <v/>
      </c>
      <c r="AI457" s="9" t="str">
        <f t="shared" si="95"/>
        <v/>
      </c>
      <c r="AJ457" s="9" t="str">
        <f t="shared" si="96"/>
        <v/>
      </c>
      <c r="AK457" s="9" t="str">
        <f t="shared" si="97"/>
        <v/>
      </c>
      <c r="AL457" s="9" t="str">
        <f t="shared" si="98"/>
        <v/>
      </c>
      <c r="AM457" s="9" t="str">
        <f t="shared" si="99"/>
        <v/>
      </c>
      <c r="AN457" s="9" t="str">
        <f t="shared" si="100"/>
        <v/>
      </c>
      <c r="AO457" s="9" t="str">
        <f t="shared" si="101"/>
        <v/>
      </c>
      <c r="AP457" s="9" t="str">
        <f t="shared" si="102"/>
        <v/>
      </c>
      <c r="AQ457" s="10" t="str">
        <f t="shared" si="103"/>
        <v/>
      </c>
    </row>
    <row r="458" spans="1:43">
      <c r="A458">
        <v>457</v>
      </c>
      <c r="B458" t="s">
        <v>23</v>
      </c>
      <c r="C458" t="s">
        <v>787</v>
      </c>
      <c r="D458" t="s">
        <v>487</v>
      </c>
      <c r="E458" t="s">
        <v>97</v>
      </c>
      <c r="G458" t="s">
        <v>18</v>
      </c>
      <c r="H458" s="4">
        <v>55242000</v>
      </c>
      <c r="I458" s="5">
        <v>0</v>
      </c>
      <c r="J458" s="5">
        <v>1024</v>
      </c>
      <c r="K458" s="5">
        <v>8</v>
      </c>
      <c r="L458">
        <v>9.4</v>
      </c>
      <c r="M458">
        <v>9.1999999999999993</v>
      </c>
      <c r="N458">
        <v>6.24</v>
      </c>
      <c r="O458" s="6">
        <v>17.3</v>
      </c>
      <c r="P458" s="7">
        <v>4.42</v>
      </c>
      <c r="U458" t="s">
        <v>84</v>
      </c>
      <c r="V458" t="s">
        <v>210</v>
      </c>
      <c r="W458">
        <v>2.7</v>
      </c>
      <c r="X458" t="s">
        <v>122</v>
      </c>
      <c r="Y458" t="s">
        <v>211</v>
      </c>
      <c r="Z458" t="s">
        <v>146</v>
      </c>
      <c r="AA458" t="s">
        <v>128</v>
      </c>
      <c r="AB458" t="s">
        <v>115</v>
      </c>
      <c r="AC458">
        <v>2046</v>
      </c>
      <c r="AD458" s="8" t="b">
        <f>AND(
 H458&gt;=Filters!$B$3,
 H458&lt;=Filters!$B$4,
 I458&gt;=Filters!$B$5,
 OR(Filters!$B$6="All",B458=Filters!$B$6),
 F458&gt;=Filters!$B$7,
 F458&lt;=Filters!$B$8,
 OR(Filters!$B$9="All",G458=Filters!$B$9)
)</f>
        <v>0</v>
      </c>
      <c r="AE458">
        <f t="shared" si="91"/>
        <v>6</v>
      </c>
      <c r="AF458">
        <f t="shared" si="92"/>
        <v>7</v>
      </c>
      <c r="AG458">
        <f t="shared" si="93"/>
        <v>7</v>
      </c>
      <c r="AH458" s="9" t="str">
        <f t="shared" si="94"/>
        <v/>
      </c>
      <c r="AI458" s="9" t="str">
        <f t="shared" si="95"/>
        <v/>
      </c>
      <c r="AJ458" s="9" t="str">
        <f t="shared" si="96"/>
        <v/>
      </c>
      <c r="AK458" s="9" t="str">
        <f t="shared" si="97"/>
        <v/>
      </c>
      <c r="AL458" s="9" t="str">
        <f t="shared" si="98"/>
        <v/>
      </c>
      <c r="AM458" s="9" t="str">
        <f t="shared" si="99"/>
        <v/>
      </c>
      <c r="AN458" s="9" t="str">
        <f t="shared" si="100"/>
        <v/>
      </c>
      <c r="AO458" s="9" t="str">
        <f t="shared" si="101"/>
        <v/>
      </c>
      <c r="AP458" s="9" t="str">
        <f t="shared" si="102"/>
        <v/>
      </c>
      <c r="AQ458" s="10" t="str">
        <f t="shared" si="103"/>
        <v/>
      </c>
    </row>
    <row r="459" spans="1:43">
      <c r="A459">
        <v>458</v>
      </c>
      <c r="B459" t="s">
        <v>32</v>
      </c>
      <c r="C459" t="s">
        <v>269</v>
      </c>
      <c r="D459" t="s">
        <v>270</v>
      </c>
      <c r="E459" t="s">
        <v>83</v>
      </c>
      <c r="G459" t="s">
        <v>18</v>
      </c>
      <c r="H459" s="4">
        <v>26703000</v>
      </c>
      <c r="I459" s="5">
        <v>128</v>
      </c>
      <c r="J459" s="5">
        <v>0</v>
      </c>
      <c r="K459" s="5">
        <v>4</v>
      </c>
      <c r="L459">
        <v>5.4</v>
      </c>
      <c r="M459">
        <v>3.5</v>
      </c>
      <c r="N459">
        <v>7.27</v>
      </c>
      <c r="O459" s="6">
        <v>13.5</v>
      </c>
      <c r="P459" s="7">
        <v>1.252</v>
      </c>
      <c r="U459" t="s">
        <v>84</v>
      </c>
      <c r="V459" t="s">
        <v>788</v>
      </c>
      <c r="W459">
        <v>2.2000000000000002</v>
      </c>
      <c r="X459" t="s">
        <v>84</v>
      </c>
      <c r="Y459" t="s">
        <v>138</v>
      </c>
      <c r="Z459" t="s">
        <v>87</v>
      </c>
      <c r="AA459" t="s">
        <v>271</v>
      </c>
      <c r="AB459" t="s">
        <v>272</v>
      </c>
      <c r="AC459">
        <v>989</v>
      </c>
      <c r="AD459" s="8" t="b">
        <f>AND(
 H459&gt;=Filters!$B$3,
 H459&lt;=Filters!$B$4,
 I459&gt;=Filters!$B$5,
 OR(Filters!$B$6="All",B459=Filters!$B$6),
 F459&gt;=Filters!$B$7,
 F459&lt;=Filters!$B$8,
 OR(Filters!$B$9="All",G459=Filters!$B$9)
)</f>
        <v>0</v>
      </c>
      <c r="AE459">
        <f t="shared" si="91"/>
        <v>6</v>
      </c>
      <c r="AF459">
        <f t="shared" si="92"/>
        <v>7</v>
      </c>
      <c r="AG459">
        <f t="shared" si="93"/>
        <v>7</v>
      </c>
      <c r="AH459" s="9" t="str">
        <f t="shared" si="94"/>
        <v/>
      </c>
      <c r="AI459" s="9" t="str">
        <f t="shared" si="95"/>
        <v/>
      </c>
      <c r="AJ459" s="9" t="str">
        <f t="shared" si="96"/>
        <v/>
      </c>
      <c r="AK459" s="9" t="str">
        <f t="shared" si="97"/>
        <v/>
      </c>
      <c r="AL459" s="9" t="str">
        <f t="shared" si="98"/>
        <v/>
      </c>
      <c r="AM459" s="9" t="str">
        <f t="shared" si="99"/>
        <v/>
      </c>
      <c r="AN459" s="9" t="str">
        <f t="shared" si="100"/>
        <v/>
      </c>
      <c r="AO459" s="9" t="str">
        <f t="shared" si="101"/>
        <v/>
      </c>
      <c r="AP459" s="9" t="str">
        <f t="shared" si="102"/>
        <v/>
      </c>
      <c r="AQ459" s="10" t="str">
        <f t="shared" si="103"/>
        <v/>
      </c>
    </row>
    <row r="460" spans="1:43">
      <c r="A460">
        <v>459</v>
      </c>
      <c r="B460" t="s">
        <v>32</v>
      </c>
      <c r="C460" t="s">
        <v>269</v>
      </c>
      <c r="D460" t="s">
        <v>270</v>
      </c>
      <c r="E460" t="s">
        <v>83</v>
      </c>
      <c r="G460" t="s">
        <v>18</v>
      </c>
      <c r="H460" s="4">
        <v>48573000</v>
      </c>
      <c r="I460" s="5">
        <v>256</v>
      </c>
      <c r="J460" s="5">
        <v>0</v>
      </c>
      <c r="K460" s="5">
        <v>8</v>
      </c>
      <c r="L460">
        <v>9</v>
      </c>
      <c r="M460">
        <v>4.2</v>
      </c>
      <c r="N460">
        <v>7.27</v>
      </c>
      <c r="O460" s="6">
        <v>13.5</v>
      </c>
      <c r="P460" s="7">
        <v>1.25</v>
      </c>
      <c r="U460" t="s">
        <v>84</v>
      </c>
      <c r="V460" t="s">
        <v>779</v>
      </c>
      <c r="W460">
        <v>2.5</v>
      </c>
      <c r="X460" t="s">
        <v>84</v>
      </c>
      <c r="Y460" t="s">
        <v>86</v>
      </c>
      <c r="Z460" t="s">
        <v>100</v>
      </c>
      <c r="AA460" t="s">
        <v>271</v>
      </c>
      <c r="AB460" t="s">
        <v>272</v>
      </c>
      <c r="AC460">
        <v>1799</v>
      </c>
      <c r="AD460" s="8" t="b">
        <f>AND(
 H460&gt;=Filters!$B$3,
 H460&lt;=Filters!$B$4,
 I460&gt;=Filters!$B$5,
 OR(Filters!$B$6="All",B460=Filters!$B$6),
 F460&gt;=Filters!$B$7,
 F460&lt;=Filters!$B$8,
 OR(Filters!$B$9="All",G460=Filters!$B$9)
)</f>
        <v>0</v>
      </c>
      <c r="AE460">
        <f t="shared" si="91"/>
        <v>6</v>
      </c>
      <c r="AF460">
        <f t="shared" si="92"/>
        <v>7</v>
      </c>
      <c r="AG460">
        <f t="shared" si="93"/>
        <v>7</v>
      </c>
      <c r="AH460" s="9" t="str">
        <f t="shared" si="94"/>
        <v/>
      </c>
      <c r="AI460" s="9" t="str">
        <f t="shared" si="95"/>
        <v/>
      </c>
      <c r="AJ460" s="9" t="str">
        <f t="shared" si="96"/>
        <v/>
      </c>
      <c r="AK460" s="9" t="str">
        <f t="shared" si="97"/>
        <v/>
      </c>
      <c r="AL460" s="9" t="str">
        <f t="shared" si="98"/>
        <v/>
      </c>
      <c r="AM460" s="9" t="str">
        <f t="shared" si="99"/>
        <v/>
      </c>
      <c r="AN460" s="9" t="str">
        <f t="shared" si="100"/>
        <v/>
      </c>
      <c r="AO460" s="9" t="str">
        <f t="shared" si="101"/>
        <v/>
      </c>
      <c r="AP460" s="9" t="str">
        <f t="shared" si="102"/>
        <v/>
      </c>
      <c r="AQ460" s="10" t="str">
        <f t="shared" si="103"/>
        <v/>
      </c>
    </row>
    <row r="461" spans="1:43">
      <c r="A461">
        <v>460</v>
      </c>
      <c r="B461" t="s">
        <v>26</v>
      </c>
      <c r="C461" t="s">
        <v>789</v>
      </c>
      <c r="D461" t="s">
        <v>790</v>
      </c>
      <c r="E461" t="s">
        <v>97</v>
      </c>
      <c r="G461" t="s">
        <v>18</v>
      </c>
      <c r="H461" s="4">
        <v>17277300</v>
      </c>
      <c r="I461" s="5">
        <v>256</v>
      </c>
      <c r="J461" s="5">
        <v>0</v>
      </c>
      <c r="K461" s="5">
        <v>8</v>
      </c>
      <c r="L461">
        <v>4</v>
      </c>
      <c r="M461">
        <v>3.5</v>
      </c>
      <c r="N461">
        <v>5.83</v>
      </c>
      <c r="O461" s="6">
        <v>17.3</v>
      </c>
      <c r="P461" s="7">
        <v>2.5</v>
      </c>
      <c r="U461" t="s">
        <v>84</v>
      </c>
      <c r="V461" t="s">
        <v>129</v>
      </c>
      <c r="W461">
        <v>2</v>
      </c>
      <c r="X461" t="s">
        <v>84</v>
      </c>
      <c r="Y461" t="s">
        <v>130</v>
      </c>
      <c r="Z461" t="s">
        <v>100</v>
      </c>
      <c r="AA461" t="s">
        <v>452</v>
      </c>
      <c r="AB461" t="s">
        <v>115</v>
      </c>
      <c r="AC461">
        <v>639.9</v>
      </c>
      <c r="AD461" s="8" t="b">
        <f>AND(
 H461&gt;=Filters!$B$3,
 H461&lt;=Filters!$B$4,
 I461&gt;=Filters!$B$5,
 OR(Filters!$B$6="All",B461=Filters!$B$6),
 F461&gt;=Filters!$B$7,
 F461&lt;=Filters!$B$8,
 OR(Filters!$B$9="All",G461=Filters!$B$9)
)</f>
        <v>1</v>
      </c>
      <c r="AE461">
        <f t="shared" si="91"/>
        <v>6</v>
      </c>
      <c r="AF461">
        <f t="shared" si="92"/>
        <v>7</v>
      </c>
      <c r="AG461">
        <f t="shared" si="93"/>
        <v>7</v>
      </c>
      <c r="AH461" s="9">
        <f t="shared" si="94"/>
        <v>0.33333333333333331</v>
      </c>
      <c r="AI461" s="9">
        <f t="shared" si="95"/>
        <v>0.80952380952380942</v>
      </c>
      <c r="AJ461" s="9">
        <f t="shared" si="96"/>
        <v>0.27380952380952378</v>
      </c>
      <c r="AK461" s="9">
        <f t="shared" si="97"/>
        <v>0.55119047619047612</v>
      </c>
      <c r="AL461" s="9">
        <f t="shared" si="98"/>
        <v>0.84523809523809512</v>
      </c>
      <c r="AM461" s="9">
        <f t="shared" si="99"/>
        <v>0.5714285714285714</v>
      </c>
      <c r="AN461" s="9">
        <f t="shared" si="100"/>
        <v>0.69047619047619047</v>
      </c>
      <c r="AO461" s="9">
        <f t="shared" si="101"/>
        <v>0.69047619047619047</v>
      </c>
      <c r="AP461" s="9">
        <f t="shared" si="102"/>
        <v>0.58982466942304446</v>
      </c>
      <c r="AQ461" s="10">
        <f t="shared" si="103"/>
        <v>0.58982513042304441</v>
      </c>
    </row>
    <row r="462" spans="1:43">
      <c r="A462">
        <v>461</v>
      </c>
      <c r="B462" t="s">
        <v>17</v>
      </c>
      <c r="C462" t="s">
        <v>462</v>
      </c>
      <c r="D462" t="s">
        <v>463</v>
      </c>
      <c r="E462" t="s">
        <v>97</v>
      </c>
      <c r="G462" t="s">
        <v>18</v>
      </c>
      <c r="H462" s="4">
        <v>14688000</v>
      </c>
      <c r="I462" s="5">
        <v>0</v>
      </c>
      <c r="J462" s="5">
        <v>1024</v>
      </c>
      <c r="K462" s="5">
        <v>4</v>
      </c>
      <c r="L462">
        <v>4</v>
      </c>
      <c r="M462">
        <v>6.5</v>
      </c>
      <c r="N462">
        <v>5.92</v>
      </c>
      <c r="O462" s="6">
        <v>15.6</v>
      </c>
      <c r="P462" s="7">
        <v>2.23</v>
      </c>
      <c r="U462" t="s">
        <v>84</v>
      </c>
      <c r="V462" t="s">
        <v>129</v>
      </c>
      <c r="W462">
        <v>2</v>
      </c>
      <c r="X462" t="s">
        <v>122</v>
      </c>
      <c r="Y462" t="s">
        <v>145</v>
      </c>
      <c r="Z462" t="s">
        <v>146</v>
      </c>
      <c r="AA462" t="s">
        <v>101</v>
      </c>
      <c r="AB462" t="s">
        <v>115</v>
      </c>
      <c r="AC462">
        <v>544</v>
      </c>
      <c r="AD462" s="8" t="b">
        <f>AND(
 H462&gt;=Filters!$B$3,
 H462&lt;=Filters!$B$4,
 I462&gt;=Filters!$B$5,
 OR(Filters!$B$6="All",B462=Filters!$B$6),
 F462&gt;=Filters!$B$7,
 F462&lt;=Filters!$B$8,
 OR(Filters!$B$9="All",G462=Filters!$B$9)
)</f>
        <v>0</v>
      </c>
      <c r="AE462">
        <f t="shared" si="91"/>
        <v>6</v>
      </c>
      <c r="AF462">
        <f t="shared" si="92"/>
        <v>7</v>
      </c>
      <c r="AG462">
        <f t="shared" si="93"/>
        <v>7</v>
      </c>
      <c r="AH462" s="9" t="str">
        <f t="shared" si="94"/>
        <v/>
      </c>
      <c r="AI462" s="9" t="str">
        <f t="shared" si="95"/>
        <v/>
      </c>
      <c r="AJ462" s="9" t="str">
        <f t="shared" si="96"/>
        <v/>
      </c>
      <c r="AK462" s="9" t="str">
        <f t="shared" si="97"/>
        <v/>
      </c>
      <c r="AL462" s="9" t="str">
        <f t="shared" si="98"/>
        <v/>
      </c>
      <c r="AM462" s="9" t="str">
        <f t="shared" si="99"/>
        <v/>
      </c>
      <c r="AN462" s="9" t="str">
        <f t="shared" si="100"/>
        <v/>
      </c>
      <c r="AO462" s="9" t="str">
        <f t="shared" si="101"/>
        <v/>
      </c>
      <c r="AP462" s="9" t="str">
        <f t="shared" si="102"/>
        <v/>
      </c>
      <c r="AQ462" s="10" t="str">
        <f t="shared" si="103"/>
        <v/>
      </c>
    </row>
    <row r="463" spans="1:43">
      <c r="A463">
        <v>462</v>
      </c>
      <c r="B463" t="s">
        <v>17</v>
      </c>
      <c r="C463" t="s">
        <v>791</v>
      </c>
      <c r="D463" t="s">
        <v>610</v>
      </c>
      <c r="E463" t="s">
        <v>152</v>
      </c>
      <c r="G463" t="s">
        <v>18</v>
      </c>
      <c r="H463" s="4">
        <v>11745000</v>
      </c>
      <c r="I463" s="5">
        <v>128</v>
      </c>
      <c r="J463" s="5">
        <v>0</v>
      </c>
      <c r="K463" s="5">
        <v>4</v>
      </c>
      <c r="L463">
        <v>1.2</v>
      </c>
      <c r="M463">
        <v>3.5</v>
      </c>
      <c r="N463">
        <v>3.88</v>
      </c>
      <c r="O463" s="6">
        <v>11.6</v>
      </c>
      <c r="P463" s="7">
        <v>1.4</v>
      </c>
      <c r="U463" t="s">
        <v>84</v>
      </c>
      <c r="V463" t="s">
        <v>263</v>
      </c>
      <c r="W463">
        <v>1.6</v>
      </c>
      <c r="X463" t="s">
        <v>84</v>
      </c>
      <c r="Y463" t="s">
        <v>154</v>
      </c>
      <c r="Z463" t="s">
        <v>87</v>
      </c>
      <c r="AA463" t="s">
        <v>114</v>
      </c>
      <c r="AB463" t="s">
        <v>115</v>
      </c>
      <c r="AC463">
        <v>435</v>
      </c>
      <c r="AD463" s="8" t="b">
        <f>AND(
 H463&gt;=Filters!$B$3,
 H463&lt;=Filters!$B$4,
 I463&gt;=Filters!$B$5,
 OR(Filters!$B$6="All",B463=Filters!$B$6),
 F463&gt;=Filters!$B$7,
 F463&lt;=Filters!$B$8,
 OR(Filters!$B$9="All",G463=Filters!$B$9)
)</f>
        <v>0</v>
      </c>
      <c r="AE463">
        <f t="shared" si="91"/>
        <v>6</v>
      </c>
      <c r="AF463">
        <f t="shared" si="92"/>
        <v>7</v>
      </c>
      <c r="AG463">
        <f t="shared" si="93"/>
        <v>7</v>
      </c>
      <c r="AH463" s="9" t="str">
        <f t="shared" si="94"/>
        <v/>
      </c>
      <c r="AI463" s="9" t="str">
        <f t="shared" si="95"/>
        <v/>
      </c>
      <c r="AJ463" s="9" t="str">
        <f t="shared" si="96"/>
        <v/>
      </c>
      <c r="AK463" s="9" t="str">
        <f t="shared" si="97"/>
        <v/>
      </c>
      <c r="AL463" s="9" t="str">
        <f t="shared" si="98"/>
        <v/>
      </c>
      <c r="AM463" s="9" t="str">
        <f t="shared" si="99"/>
        <v/>
      </c>
      <c r="AN463" s="9" t="str">
        <f t="shared" si="100"/>
        <v/>
      </c>
      <c r="AO463" s="9" t="str">
        <f t="shared" si="101"/>
        <v/>
      </c>
      <c r="AP463" s="9" t="str">
        <f t="shared" si="102"/>
        <v/>
      </c>
      <c r="AQ463" s="10" t="str">
        <f t="shared" si="103"/>
        <v/>
      </c>
    </row>
    <row r="464" spans="1:43">
      <c r="A464">
        <v>463</v>
      </c>
      <c r="B464" t="s">
        <v>21</v>
      </c>
      <c r="C464" t="s">
        <v>792</v>
      </c>
      <c r="D464" t="s">
        <v>793</v>
      </c>
      <c r="E464" t="s">
        <v>97</v>
      </c>
      <c r="G464" t="s">
        <v>18</v>
      </c>
      <c r="H464" s="4">
        <v>20223000</v>
      </c>
      <c r="I464" s="5">
        <v>0</v>
      </c>
      <c r="J464" s="5">
        <v>1024</v>
      </c>
      <c r="K464" s="5">
        <v>8</v>
      </c>
      <c r="L464">
        <v>7</v>
      </c>
      <c r="M464">
        <v>3.5</v>
      </c>
      <c r="N464">
        <v>5.92</v>
      </c>
      <c r="O464" s="6">
        <v>15.6</v>
      </c>
      <c r="P464" s="7">
        <v>2.37</v>
      </c>
      <c r="U464" t="s">
        <v>84</v>
      </c>
      <c r="V464" t="s">
        <v>98</v>
      </c>
      <c r="W464">
        <v>2.5</v>
      </c>
      <c r="X464" t="s">
        <v>84</v>
      </c>
      <c r="Y464" t="s">
        <v>99</v>
      </c>
      <c r="Z464" t="s">
        <v>146</v>
      </c>
      <c r="AA464" t="s">
        <v>101</v>
      </c>
      <c r="AB464" t="s">
        <v>115</v>
      </c>
      <c r="AC464">
        <v>749</v>
      </c>
      <c r="AD464" s="8" t="b">
        <f>AND(
 H464&gt;=Filters!$B$3,
 H464&lt;=Filters!$B$4,
 I464&gt;=Filters!$B$5,
 OR(Filters!$B$6="All",B464=Filters!$B$6),
 F464&gt;=Filters!$B$7,
 F464&lt;=Filters!$B$8,
 OR(Filters!$B$9="All",G464=Filters!$B$9)
)</f>
        <v>0</v>
      </c>
      <c r="AE464">
        <f t="shared" si="91"/>
        <v>6</v>
      </c>
      <c r="AF464">
        <f t="shared" si="92"/>
        <v>7</v>
      </c>
      <c r="AG464">
        <f t="shared" si="93"/>
        <v>7</v>
      </c>
      <c r="AH464" s="9" t="str">
        <f t="shared" si="94"/>
        <v/>
      </c>
      <c r="AI464" s="9" t="str">
        <f t="shared" si="95"/>
        <v/>
      </c>
      <c r="AJ464" s="9" t="str">
        <f t="shared" si="96"/>
        <v/>
      </c>
      <c r="AK464" s="9" t="str">
        <f t="shared" si="97"/>
        <v/>
      </c>
      <c r="AL464" s="9" t="str">
        <f t="shared" si="98"/>
        <v/>
      </c>
      <c r="AM464" s="9" t="str">
        <f t="shared" si="99"/>
        <v/>
      </c>
      <c r="AN464" s="9" t="str">
        <f t="shared" si="100"/>
        <v/>
      </c>
      <c r="AO464" s="9" t="str">
        <f t="shared" si="101"/>
        <v/>
      </c>
      <c r="AP464" s="9" t="str">
        <f t="shared" si="102"/>
        <v/>
      </c>
      <c r="AQ464" s="10" t="str">
        <f t="shared" si="103"/>
        <v/>
      </c>
    </row>
    <row r="465" spans="1:43">
      <c r="A465">
        <v>464</v>
      </c>
      <c r="B465" t="s">
        <v>29</v>
      </c>
      <c r="C465" t="s">
        <v>794</v>
      </c>
      <c r="D465" t="s">
        <v>795</v>
      </c>
      <c r="E465" t="s">
        <v>97</v>
      </c>
      <c r="G465" t="s">
        <v>18</v>
      </c>
      <c r="H465" s="4">
        <v>21573000</v>
      </c>
      <c r="I465" s="5">
        <v>512</v>
      </c>
      <c r="J465" s="5">
        <v>0</v>
      </c>
      <c r="K465" s="5">
        <v>8</v>
      </c>
      <c r="L465">
        <v>9.4</v>
      </c>
      <c r="M465">
        <v>6.5</v>
      </c>
      <c r="N465">
        <v>6.4</v>
      </c>
      <c r="O465" s="6">
        <v>14</v>
      </c>
      <c r="P465" s="7">
        <v>1.5</v>
      </c>
      <c r="U465" t="s">
        <v>84</v>
      </c>
      <c r="V465" t="s">
        <v>140</v>
      </c>
      <c r="W465">
        <v>2.7</v>
      </c>
      <c r="X465" t="s">
        <v>104</v>
      </c>
      <c r="Y465" t="s">
        <v>796</v>
      </c>
      <c r="Z465" t="s">
        <v>106</v>
      </c>
      <c r="AA465" t="s">
        <v>128</v>
      </c>
      <c r="AB465" t="s">
        <v>102</v>
      </c>
      <c r="AC465">
        <v>799</v>
      </c>
      <c r="AD465" s="8" t="b">
        <f>AND(
 H465&gt;=Filters!$B$3,
 H465&lt;=Filters!$B$4,
 I465&gt;=Filters!$B$5,
 OR(Filters!$B$6="All",B465=Filters!$B$6),
 F465&gt;=Filters!$B$7,
 F465&lt;=Filters!$B$8,
 OR(Filters!$B$9="All",G465=Filters!$B$9)
)</f>
        <v>1</v>
      </c>
      <c r="AE465">
        <f t="shared" si="91"/>
        <v>6</v>
      </c>
      <c r="AF465">
        <f t="shared" si="92"/>
        <v>7</v>
      </c>
      <c r="AG465">
        <f t="shared" si="93"/>
        <v>7</v>
      </c>
      <c r="AH465" s="9">
        <f t="shared" si="94"/>
        <v>0.97619047619047628</v>
      </c>
      <c r="AI465" s="9">
        <f t="shared" si="95"/>
        <v>0.80952380952380942</v>
      </c>
      <c r="AJ465" s="9">
        <f t="shared" si="96"/>
        <v>0.63095238095238093</v>
      </c>
      <c r="AK465" s="9">
        <f t="shared" si="97"/>
        <v>0.61904761904761907</v>
      </c>
      <c r="AL465" s="9">
        <f t="shared" si="98"/>
        <v>0.96428571428571419</v>
      </c>
      <c r="AM465" s="9">
        <f t="shared" si="99"/>
        <v>0.5714285714285714</v>
      </c>
      <c r="AN465" s="9">
        <f t="shared" si="100"/>
        <v>0.69047619047619047</v>
      </c>
      <c r="AO465" s="9">
        <f t="shared" si="101"/>
        <v>0.69047619047619047</v>
      </c>
      <c r="AP465" s="9">
        <f t="shared" si="102"/>
        <v>0.75921379093562036</v>
      </c>
      <c r="AQ465" s="10">
        <f t="shared" si="103"/>
        <v>0.75921425593562031</v>
      </c>
    </row>
    <row r="466" spans="1:43">
      <c r="A466">
        <v>465</v>
      </c>
      <c r="B466" t="s">
        <v>29</v>
      </c>
      <c r="C466" t="s">
        <v>751</v>
      </c>
      <c r="D466" t="s">
        <v>752</v>
      </c>
      <c r="E466" t="s">
        <v>97</v>
      </c>
      <c r="G466" t="s">
        <v>18</v>
      </c>
      <c r="H466" s="4">
        <v>56430000</v>
      </c>
      <c r="I466" s="5">
        <v>256</v>
      </c>
      <c r="J466" s="5">
        <v>0</v>
      </c>
      <c r="K466" s="5">
        <v>8</v>
      </c>
      <c r="L466">
        <v>9.8000000000000007</v>
      </c>
      <c r="M466">
        <v>8</v>
      </c>
      <c r="N466">
        <v>5.92</v>
      </c>
      <c r="O466" s="6">
        <v>15.6</v>
      </c>
      <c r="P466" s="7">
        <v>2.67</v>
      </c>
      <c r="U466" t="s">
        <v>84</v>
      </c>
      <c r="V466" t="s">
        <v>574</v>
      </c>
      <c r="W466">
        <v>2.9</v>
      </c>
      <c r="X466" t="s">
        <v>122</v>
      </c>
      <c r="Y466" t="s">
        <v>753</v>
      </c>
      <c r="Z466" t="s">
        <v>100</v>
      </c>
      <c r="AA466" t="s">
        <v>101</v>
      </c>
      <c r="AB466" t="s">
        <v>115</v>
      </c>
      <c r="AC466">
        <v>2090</v>
      </c>
      <c r="AD466" s="8" t="b">
        <f>AND(
 H466&gt;=Filters!$B$3,
 H466&lt;=Filters!$B$4,
 I466&gt;=Filters!$B$5,
 OR(Filters!$B$6="All",B466=Filters!$B$6),
 F466&gt;=Filters!$B$7,
 F466&lt;=Filters!$B$8,
 OR(Filters!$B$9="All",G466=Filters!$B$9)
)</f>
        <v>0</v>
      </c>
      <c r="AE466">
        <f t="shared" si="91"/>
        <v>6</v>
      </c>
      <c r="AF466">
        <f t="shared" si="92"/>
        <v>7</v>
      </c>
      <c r="AG466">
        <f t="shared" si="93"/>
        <v>7</v>
      </c>
      <c r="AH466" s="9" t="str">
        <f t="shared" si="94"/>
        <v/>
      </c>
      <c r="AI466" s="9" t="str">
        <f t="shared" si="95"/>
        <v/>
      </c>
      <c r="AJ466" s="9" t="str">
        <f t="shared" si="96"/>
        <v/>
      </c>
      <c r="AK466" s="9" t="str">
        <f t="shared" si="97"/>
        <v/>
      </c>
      <c r="AL466" s="9" t="str">
        <f t="shared" si="98"/>
        <v/>
      </c>
      <c r="AM466" s="9" t="str">
        <f t="shared" si="99"/>
        <v/>
      </c>
      <c r="AN466" s="9" t="str">
        <f t="shared" si="100"/>
        <v/>
      </c>
      <c r="AO466" s="9" t="str">
        <f t="shared" si="101"/>
        <v/>
      </c>
      <c r="AP466" s="9" t="str">
        <f t="shared" si="102"/>
        <v/>
      </c>
      <c r="AQ466" s="10" t="str">
        <f t="shared" si="103"/>
        <v/>
      </c>
    </row>
    <row r="467" spans="1:43">
      <c r="A467">
        <v>466</v>
      </c>
      <c r="B467" t="s">
        <v>21</v>
      </c>
      <c r="C467" t="s">
        <v>797</v>
      </c>
      <c r="D467" t="s">
        <v>798</v>
      </c>
      <c r="E467" t="s">
        <v>97</v>
      </c>
      <c r="G467" t="s">
        <v>18</v>
      </c>
      <c r="H467" s="4">
        <v>8208000</v>
      </c>
      <c r="I467" s="5">
        <v>0</v>
      </c>
      <c r="J467" s="5">
        <v>500</v>
      </c>
      <c r="K467" s="5">
        <v>4</v>
      </c>
      <c r="L467">
        <v>1.2</v>
      </c>
      <c r="M467">
        <v>3.5</v>
      </c>
      <c r="N467">
        <v>3.92</v>
      </c>
      <c r="O467" s="6">
        <v>15.6</v>
      </c>
      <c r="P467" s="7">
        <v>2</v>
      </c>
      <c r="U467" t="s">
        <v>84</v>
      </c>
      <c r="V467" t="s">
        <v>229</v>
      </c>
      <c r="W467">
        <v>1.1000000000000001</v>
      </c>
      <c r="X467" t="s">
        <v>84</v>
      </c>
      <c r="Y467" t="s">
        <v>199</v>
      </c>
      <c r="Z467" t="s">
        <v>113</v>
      </c>
      <c r="AA467" t="s">
        <v>114</v>
      </c>
      <c r="AB467" t="s">
        <v>115</v>
      </c>
      <c r="AC467">
        <v>304</v>
      </c>
      <c r="AD467" s="8" t="b">
        <f>AND(
 H467&gt;=Filters!$B$3,
 H467&lt;=Filters!$B$4,
 I467&gt;=Filters!$B$5,
 OR(Filters!$B$6="All",B467=Filters!$B$6),
 F467&gt;=Filters!$B$7,
 F467&lt;=Filters!$B$8,
 OR(Filters!$B$9="All",G467=Filters!$B$9)
)</f>
        <v>0</v>
      </c>
      <c r="AE467">
        <f t="shared" si="91"/>
        <v>6</v>
      </c>
      <c r="AF467">
        <f t="shared" si="92"/>
        <v>7</v>
      </c>
      <c r="AG467">
        <f t="shared" si="93"/>
        <v>7</v>
      </c>
      <c r="AH467" s="9" t="str">
        <f t="shared" si="94"/>
        <v/>
      </c>
      <c r="AI467" s="9" t="str">
        <f t="shared" si="95"/>
        <v/>
      </c>
      <c r="AJ467" s="9" t="str">
        <f t="shared" si="96"/>
        <v/>
      </c>
      <c r="AK467" s="9" t="str">
        <f t="shared" si="97"/>
        <v/>
      </c>
      <c r="AL467" s="9" t="str">
        <f t="shared" si="98"/>
        <v/>
      </c>
      <c r="AM467" s="9" t="str">
        <f t="shared" si="99"/>
        <v/>
      </c>
      <c r="AN467" s="9" t="str">
        <f t="shared" si="100"/>
        <v/>
      </c>
      <c r="AO467" s="9" t="str">
        <f t="shared" si="101"/>
        <v/>
      </c>
      <c r="AP467" s="9" t="str">
        <f t="shared" si="102"/>
        <v/>
      </c>
      <c r="AQ467" s="10" t="str">
        <f t="shared" si="103"/>
        <v/>
      </c>
    </row>
    <row r="468" spans="1:43">
      <c r="A468">
        <v>467</v>
      </c>
      <c r="B468" t="s">
        <v>17</v>
      </c>
      <c r="C468" t="s">
        <v>301</v>
      </c>
      <c r="D468" t="s">
        <v>302</v>
      </c>
      <c r="E468" t="s">
        <v>97</v>
      </c>
      <c r="G468" t="s">
        <v>18</v>
      </c>
      <c r="H468" s="4">
        <v>12663000</v>
      </c>
      <c r="I468" s="5">
        <v>0</v>
      </c>
      <c r="J468" s="5">
        <v>500</v>
      </c>
      <c r="K468" s="5">
        <v>4</v>
      </c>
      <c r="L468">
        <v>4</v>
      </c>
      <c r="M468">
        <v>9.1999999999999993</v>
      </c>
      <c r="N468">
        <v>3.92</v>
      </c>
      <c r="O468" s="6">
        <v>15.6</v>
      </c>
      <c r="P468" s="7">
        <v>2.2000000000000002</v>
      </c>
      <c r="U468" t="s">
        <v>84</v>
      </c>
      <c r="V468" t="s">
        <v>129</v>
      </c>
      <c r="W468">
        <v>2</v>
      </c>
      <c r="X468" t="s">
        <v>122</v>
      </c>
      <c r="Y468" t="s">
        <v>294</v>
      </c>
      <c r="Z468" t="s">
        <v>113</v>
      </c>
      <c r="AA468" t="s">
        <v>114</v>
      </c>
      <c r="AB468" t="s">
        <v>115</v>
      </c>
      <c r="AC468">
        <v>469</v>
      </c>
      <c r="AD468" s="8" t="b">
        <f>AND(
 H468&gt;=Filters!$B$3,
 H468&lt;=Filters!$B$4,
 I468&gt;=Filters!$B$5,
 OR(Filters!$B$6="All",B468=Filters!$B$6),
 F468&gt;=Filters!$B$7,
 F468&lt;=Filters!$B$8,
 OR(Filters!$B$9="All",G468=Filters!$B$9)
)</f>
        <v>0</v>
      </c>
      <c r="AE468">
        <f t="shared" si="91"/>
        <v>6</v>
      </c>
      <c r="AF468">
        <f t="shared" si="92"/>
        <v>7</v>
      </c>
      <c r="AG468">
        <f t="shared" si="93"/>
        <v>7</v>
      </c>
      <c r="AH468" s="9" t="str">
        <f t="shared" si="94"/>
        <v/>
      </c>
      <c r="AI468" s="9" t="str">
        <f t="shared" si="95"/>
        <v/>
      </c>
      <c r="AJ468" s="9" t="str">
        <f t="shared" si="96"/>
        <v/>
      </c>
      <c r="AK468" s="9" t="str">
        <f t="shared" si="97"/>
        <v/>
      </c>
      <c r="AL468" s="9" t="str">
        <f t="shared" si="98"/>
        <v/>
      </c>
      <c r="AM468" s="9" t="str">
        <f t="shared" si="99"/>
        <v/>
      </c>
      <c r="AN468" s="9" t="str">
        <f t="shared" si="100"/>
        <v/>
      </c>
      <c r="AO468" s="9" t="str">
        <f t="shared" si="101"/>
        <v/>
      </c>
      <c r="AP468" s="9" t="str">
        <f t="shared" si="102"/>
        <v/>
      </c>
      <c r="AQ468" s="10" t="str">
        <f t="shared" si="103"/>
        <v/>
      </c>
    </row>
    <row r="469" spans="1:43">
      <c r="A469">
        <v>468</v>
      </c>
      <c r="B469" t="s">
        <v>23</v>
      </c>
      <c r="C469" t="s">
        <v>174</v>
      </c>
      <c r="D469" t="s">
        <v>175</v>
      </c>
      <c r="E469" t="s">
        <v>97</v>
      </c>
      <c r="G469" t="s">
        <v>18</v>
      </c>
      <c r="H469" s="4">
        <v>20493000</v>
      </c>
      <c r="I469" s="5">
        <v>0</v>
      </c>
      <c r="J469" s="5">
        <v>2048</v>
      </c>
      <c r="K469" s="5">
        <v>8</v>
      </c>
      <c r="L469">
        <v>5.2</v>
      </c>
      <c r="M469">
        <v>6.5</v>
      </c>
      <c r="N469">
        <v>5.92</v>
      </c>
      <c r="O469" s="6">
        <v>15.6</v>
      </c>
      <c r="P469" s="7">
        <v>2.02</v>
      </c>
      <c r="U469" t="s">
        <v>84</v>
      </c>
      <c r="V469" t="s">
        <v>126</v>
      </c>
      <c r="W469">
        <v>1.6</v>
      </c>
      <c r="X469" t="s">
        <v>104</v>
      </c>
      <c r="Y469" t="s">
        <v>176</v>
      </c>
      <c r="Z469" t="s">
        <v>283</v>
      </c>
      <c r="AA469" t="s">
        <v>101</v>
      </c>
      <c r="AB469" t="s">
        <v>115</v>
      </c>
      <c r="AC469">
        <v>759</v>
      </c>
      <c r="AD469" s="8" t="b">
        <f>AND(
 H469&gt;=Filters!$B$3,
 H469&lt;=Filters!$B$4,
 I469&gt;=Filters!$B$5,
 OR(Filters!$B$6="All",B469=Filters!$B$6),
 F469&gt;=Filters!$B$7,
 F469&lt;=Filters!$B$8,
 OR(Filters!$B$9="All",G469=Filters!$B$9)
)</f>
        <v>0</v>
      </c>
      <c r="AE469">
        <f t="shared" si="91"/>
        <v>6</v>
      </c>
      <c r="AF469">
        <f t="shared" si="92"/>
        <v>7</v>
      </c>
      <c r="AG469">
        <f t="shared" si="93"/>
        <v>7</v>
      </c>
      <c r="AH469" s="9" t="str">
        <f t="shared" si="94"/>
        <v/>
      </c>
      <c r="AI469" s="9" t="str">
        <f t="shared" si="95"/>
        <v/>
      </c>
      <c r="AJ469" s="9" t="str">
        <f t="shared" si="96"/>
        <v/>
      </c>
      <c r="AK469" s="9" t="str">
        <f t="shared" si="97"/>
        <v/>
      </c>
      <c r="AL469" s="9" t="str">
        <f t="shared" si="98"/>
        <v/>
      </c>
      <c r="AM469" s="9" t="str">
        <f t="shared" si="99"/>
        <v/>
      </c>
      <c r="AN469" s="9" t="str">
        <f t="shared" si="100"/>
        <v/>
      </c>
      <c r="AO469" s="9" t="str">
        <f t="shared" si="101"/>
        <v/>
      </c>
      <c r="AP469" s="9" t="str">
        <f t="shared" si="102"/>
        <v/>
      </c>
      <c r="AQ469" s="10" t="str">
        <f t="shared" si="103"/>
        <v/>
      </c>
    </row>
    <row r="470" spans="1:43">
      <c r="A470">
        <v>469</v>
      </c>
      <c r="B470" t="s">
        <v>26</v>
      </c>
      <c r="C470" t="s">
        <v>799</v>
      </c>
      <c r="D470" t="s">
        <v>800</v>
      </c>
      <c r="E470" t="s">
        <v>158</v>
      </c>
      <c r="G470" t="s">
        <v>18</v>
      </c>
      <c r="H470" s="4">
        <v>45873000</v>
      </c>
      <c r="I470" s="5">
        <v>0</v>
      </c>
      <c r="J470" s="5">
        <v>1024</v>
      </c>
      <c r="K470" s="5">
        <v>12</v>
      </c>
      <c r="L470">
        <v>9.6</v>
      </c>
      <c r="M470">
        <v>9.1999999999999993</v>
      </c>
      <c r="N470">
        <v>6.24</v>
      </c>
      <c r="O470" s="6">
        <v>17.3</v>
      </c>
      <c r="P470" s="7">
        <v>3.78</v>
      </c>
      <c r="U470" t="s">
        <v>84</v>
      </c>
      <c r="V470" t="s">
        <v>210</v>
      </c>
      <c r="W470">
        <v>2.8</v>
      </c>
      <c r="X470" t="s">
        <v>122</v>
      </c>
      <c r="Y470" t="s">
        <v>211</v>
      </c>
      <c r="Z470" t="s">
        <v>146</v>
      </c>
      <c r="AA470" t="s">
        <v>128</v>
      </c>
      <c r="AB470" t="s">
        <v>115</v>
      </c>
      <c r="AC470">
        <v>1699</v>
      </c>
      <c r="AD470" s="8" t="b">
        <f>AND(
 H470&gt;=Filters!$B$3,
 H470&lt;=Filters!$B$4,
 I470&gt;=Filters!$B$5,
 OR(Filters!$B$6="All",B470=Filters!$B$6),
 F470&gt;=Filters!$B$7,
 F470&lt;=Filters!$B$8,
 OR(Filters!$B$9="All",G470=Filters!$B$9)
)</f>
        <v>0</v>
      </c>
      <c r="AE470">
        <f t="shared" si="91"/>
        <v>6</v>
      </c>
      <c r="AF470">
        <f t="shared" si="92"/>
        <v>7</v>
      </c>
      <c r="AG470">
        <f t="shared" si="93"/>
        <v>7</v>
      </c>
      <c r="AH470" s="9" t="str">
        <f t="shared" si="94"/>
        <v/>
      </c>
      <c r="AI470" s="9" t="str">
        <f t="shared" si="95"/>
        <v/>
      </c>
      <c r="AJ470" s="9" t="str">
        <f t="shared" si="96"/>
        <v/>
      </c>
      <c r="AK470" s="9" t="str">
        <f t="shared" si="97"/>
        <v/>
      </c>
      <c r="AL470" s="9" t="str">
        <f t="shared" si="98"/>
        <v/>
      </c>
      <c r="AM470" s="9" t="str">
        <f t="shared" si="99"/>
        <v/>
      </c>
      <c r="AN470" s="9" t="str">
        <f t="shared" si="100"/>
        <v/>
      </c>
      <c r="AO470" s="9" t="str">
        <f t="shared" si="101"/>
        <v/>
      </c>
      <c r="AP470" s="9" t="str">
        <f t="shared" si="102"/>
        <v/>
      </c>
      <c r="AQ470" s="10" t="str">
        <f t="shared" si="103"/>
        <v/>
      </c>
    </row>
    <row r="471" spans="1:43">
      <c r="A471">
        <v>470</v>
      </c>
      <c r="B471" t="s">
        <v>29</v>
      </c>
      <c r="C471" t="s">
        <v>801</v>
      </c>
      <c r="D471" t="s">
        <v>802</v>
      </c>
      <c r="E471" t="s">
        <v>83</v>
      </c>
      <c r="G471" t="s">
        <v>18</v>
      </c>
      <c r="H471" s="4">
        <v>50166000</v>
      </c>
      <c r="I471" s="5">
        <v>256</v>
      </c>
      <c r="J471" s="5">
        <v>0</v>
      </c>
      <c r="K471" s="5">
        <v>12</v>
      </c>
      <c r="L471">
        <v>9.1999999999999993</v>
      </c>
      <c r="M471">
        <v>3.5</v>
      </c>
      <c r="N471">
        <v>7.4</v>
      </c>
      <c r="O471" s="6">
        <v>14</v>
      </c>
      <c r="P471" s="7">
        <v>1.4</v>
      </c>
      <c r="U471" t="s">
        <v>84</v>
      </c>
      <c r="V471" t="s">
        <v>548</v>
      </c>
      <c r="W471">
        <v>2.6</v>
      </c>
      <c r="X471" t="s">
        <v>84</v>
      </c>
      <c r="Y471" t="s">
        <v>130</v>
      </c>
      <c r="Z471" t="s">
        <v>100</v>
      </c>
      <c r="AA471" t="s">
        <v>803</v>
      </c>
      <c r="AB471" t="s">
        <v>115</v>
      </c>
      <c r="AC471">
        <v>1858</v>
      </c>
      <c r="AD471" s="8" t="b">
        <f>AND(
 H471&gt;=Filters!$B$3,
 H471&lt;=Filters!$B$4,
 I471&gt;=Filters!$B$5,
 OR(Filters!$B$6="All",B471=Filters!$B$6),
 F471&gt;=Filters!$B$7,
 F471&lt;=Filters!$B$8,
 OR(Filters!$B$9="All",G471=Filters!$B$9)
)</f>
        <v>0</v>
      </c>
      <c r="AE471">
        <f t="shared" si="91"/>
        <v>6</v>
      </c>
      <c r="AF471">
        <f t="shared" si="92"/>
        <v>7</v>
      </c>
      <c r="AG471">
        <f t="shared" si="93"/>
        <v>7</v>
      </c>
      <c r="AH471" s="9" t="str">
        <f t="shared" si="94"/>
        <v/>
      </c>
      <c r="AI471" s="9" t="str">
        <f t="shared" si="95"/>
        <v/>
      </c>
      <c r="AJ471" s="9" t="str">
        <f t="shared" si="96"/>
        <v/>
      </c>
      <c r="AK471" s="9" t="str">
        <f t="shared" si="97"/>
        <v/>
      </c>
      <c r="AL471" s="9" t="str">
        <f t="shared" si="98"/>
        <v/>
      </c>
      <c r="AM471" s="9" t="str">
        <f t="shared" si="99"/>
        <v/>
      </c>
      <c r="AN471" s="9" t="str">
        <f t="shared" si="100"/>
        <v/>
      </c>
      <c r="AO471" s="9" t="str">
        <f t="shared" si="101"/>
        <v/>
      </c>
      <c r="AP471" s="9" t="str">
        <f t="shared" si="102"/>
        <v/>
      </c>
      <c r="AQ471" s="10" t="str">
        <f t="shared" si="103"/>
        <v/>
      </c>
    </row>
    <row r="472" spans="1:43">
      <c r="A472">
        <v>471</v>
      </c>
      <c r="B472" t="s">
        <v>26</v>
      </c>
      <c r="C472" t="s">
        <v>339</v>
      </c>
      <c r="D472" t="s">
        <v>340</v>
      </c>
      <c r="E472" t="s">
        <v>168</v>
      </c>
      <c r="G472" t="s">
        <v>18</v>
      </c>
      <c r="H472" s="4">
        <v>53973000</v>
      </c>
      <c r="I472" s="5">
        <v>512</v>
      </c>
      <c r="J472" s="5">
        <v>0</v>
      </c>
      <c r="K472" s="5">
        <v>8</v>
      </c>
      <c r="L472">
        <v>7.6</v>
      </c>
      <c r="M472">
        <v>3.8</v>
      </c>
      <c r="N472">
        <v>10</v>
      </c>
      <c r="O472" s="6">
        <v>13.3</v>
      </c>
      <c r="P472" s="7">
        <v>1.29</v>
      </c>
      <c r="U472" t="s">
        <v>84</v>
      </c>
      <c r="V472" t="s">
        <v>121</v>
      </c>
      <c r="W472">
        <v>1.8</v>
      </c>
      <c r="X472" t="s">
        <v>84</v>
      </c>
      <c r="Y472" t="s">
        <v>127</v>
      </c>
      <c r="Z472" t="s">
        <v>106</v>
      </c>
      <c r="AA472" t="s">
        <v>382</v>
      </c>
      <c r="AB472" t="s">
        <v>115</v>
      </c>
      <c r="AC472">
        <v>1999</v>
      </c>
      <c r="AD472" s="8" t="b">
        <f>AND(
 H472&gt;=Filters!$B$3,
 H472&lt;=Filters!$B$4,
 I472&gt;=Filters!$B$5,
 OR(Filters!$B$6="All",B472=Filters!$B$6),
 F472&gt;=Filters!$B$7,
 F472&lt;=Filters!$B$8,
 OR(Filters!$B$9="All",G472=Filters!$B$9)
)</f>
        <v>0</v>
      </c>
      <c r="AE472">
        <f t="shared" si="91"/>
        <v>6</v>
      </c>
      <c r="AF472">
        <f t="shared" si="92"/>
        <v>7</v>
      </c>
      <c r="AG472">
        <f t="shared" si="93"/>
        <v>7</v>
      </c>
      <c r="AH472" s="9" t="str">
        <f t="shared" si="94"/>
        <v/>
      </c>
      <c r="AI472" s="9" t="str">
        <f t="shared" si="95"/>
        <v/>
      </c>
      <c r="AJ472" s="9" t="str">
        <f t="shared" si="96"/>
        <v/>
      </c>
      <c r="AK472" s="9" t="str">
        <f t="shared" si="97"/>
        <v/>
      </c>
      <c r="AL472" s="9" t="str">
        <f t="shared" si="98"/>
        <v/>
      </c>
      <c r="AM472" s="9" t="str">
        <f t="shared" si="99"/>
        <v/>
      </c>
      <c r="AN472" s="9" t="str">
        <f t="shared" si="100"/>
        <v/>
      </c>
      <c r="AO472" s="9" t="str">
        <f t="shared" si="101"/>
        <v/>
      </c>
      <c r="AP472" s="9" t="str">
        <f t="shared" si="102"/>
        <v/>
      </c>
      <c r="AQ472" s="10" t="str">
        <f t="shared" si="103"/>
        <v/>
      </c>
    </row>
    <row r="473" spans="1:43">
      <c r="A473">
        <v>472</v>
      </c>
      <c r="B473" t="s">
        <v>26</v>
      </c>
      <c r="C473" t="s">
        <v>494</v>
      </c>
      <c r="D473" t="s">
        <v>495</v>
      </c>
      <c r="E473" t="s">
        <v>97</v>
      </c>
      <c r="G473" t="s">
        <v>18</v>
      </c>
      <c r="H473" s="4">
        <v>31158000</v>
      </c>
      <c r="I473" s="5">
        <v>0</v>
      </c>
      <c r="J473" s="5">
        <v>500</v>
      </c>
      <c r="K473" s="5">
        <v>8</v>
      </c>
      <c r="L473">
        <v>7</v>
      </c>
      <c r="M473">
        <v>6.5</v>
      </c>
      <c r="N473">
        <v>5.92</v>
      </c>
      <c r="O473" s="6">
        <v>15.6</v>
      </c>
      <c r="P473" s="7">
        <v>1.9</v>
      </c>
      <c r="U473" t="s">
        <v>84</v>
      </c>
      <c r="V473" t="s">
        <v>98</v>
      </c>
      <c r="W473">
        <v>2.5</v>
      </c>
      <c r="X473" t="s">
        <v>104</v>
      </c>
      <c r="Y473" t="s">
        <v>496</v>
      </c>
      <c r="Z473" t="s">
        <v>113</v>
      </c>
      <c r="AA473" t="s">
        <v>101</v>
      </c>
      <c r="AB473" t="s">
        <v>115</v>
      </c>
      <c r="AC473">
        <v>1154</v>
      </c>
      <c r="AD473" s="8" t="b">
        <f>AND(
 H473&gt;=Filters!$B$3,
 H473&lt;=Filters!$B$4,
 I473&gt;=Filters!$B$5,
 OR(Filters!$B$6="All",B473=Filters!$B$6),
 F473&gt;=Filters!$B$7,
 F473&lt;=Filters!$B$8,
 OR(Filters!$B$9="All",G473=Filters!$B$9)
)</f>
        <v>0</v>
      </c>
      <c r="AE473">
        <f t="shared" si="91"/>
        <v>6</v>
      </c>
      <c r="AF473">
        <f t="shared" si="92"/>
        <v>7</v>
      </c>
      <c r="AG473">
        <f t="shared" si="93"/>
        <v>7</v>
      </c>
      <c r="AH473" s="9" t="str">
        <f t="shared" si="94"/>
        <v/>
      </c>
      <c r="AI473" s="9" t="str">
        <f t="shared" si="95"/>
        <v/>
      </c>
      <c r="AJ473" s="9" t="str">
        <f t="shared" si="96"/>
        <v/>
      </c>
      <c r="AK473" s="9" t="str">
        <f t="shared" si="97"/>
        <v/>
      </c>
      <c r="AL473" s="9" t="str">
        <f t="shared" si="98"/>
        <v/>
      </c>
      <c r="AM473" s="9" t="str">
        <f t="shared" si="99"/>
        <v/>
      </c>
      <c r="AN473" s="9" t="str">
        <f t="shared" si="100"/>
        <v/>
      </c>
      <c r="AO473" s="9" t="str">
        <f t="shared" si="101"/>
        <v/>
      </c>
      <c r="AP473" s="9" t="str">
        <f t="shared" si="102"/>
        <v/>
      </c>
      <c r="AQ473" s="10" t="str">
        <f t="shared" si="103"/>
        <v/>
      </c>
    </row>
    <row r="474" spans="1:43">
      <c r="A474">
        <v>473</v>
      </c>
      <c r="B474" t="s">
        <v>25</v>
      </c>
      <c r="C474" t="s">
        <v>757</v>
      </c>
      <c r="D474" t="s">
        <v>758</v>
      </c>
      <c r="E474" t="s">
        <v>83</v>
      </c>
      <c r="G474" t="s">
        <v>18</v>
      </c>
      <c r="H474" s="4">
        <v>34425000</v>
      </c>
      <c r="I474" s="5">
        <v>128</v>
      </c>
      <c r="J474" s="5">
        <v>0</v>
      </c>
      <c r="K474" s="5">
        <v>8</v>
      </c>
      <c r="L474">
        <v>4.4000000000000004</v>
      </c>
      <c r="M474">
        <v>3.5</v>
      </c>
      <c r="N474">
        <v>8.02</v>
      </c>
      <c r="O474" s="6">
        <v>12.3</v>
      </c>
      <c r="P474" s="7">
        <v>1.1000000000000001</v>
      </c>
      <c r="U474" t="s">
        <v>84</v>
      </c>
      <c r="V474" t="s">
        <v>804</v>
      </c>
      <c r="W474">
        <v>1.2</v>
      </c>
      <c r="X474" t="s">
        <v>84</v>
      </c>
      <c r="Y474" t="s">
        <v>138</v>
      </c>
      <c r="Z474" t="s">
        <v>87</v>
      </c>
      <c r="AA474" t="s">
        <v>760</v>
      </c>
      <c r="AB474" t="s">
        <v>563</v>
      </c>
      <c r="AC474">
        <v>1275</v>
      </c>
      <c r="AD474" s="8" t="b">
        <f>AND(
 H474&gt;=Filters!$B$3,
 H474&lt;=Filters!$B$4,
 I474&gt;=Filters!$B$5,
 OR(Filters!$B$6="All",B474=Filters!$B$6),
 F474&gt;=Filters!$B$7,
 F474&lt;=Filters!$B$8,
 OR(Filters!$B$9="All",G474=Filters!$B$9)
)</f>
        <v>0</v>
      </c>
      <c r="AE474">
        <f t="shared" si="91"/>
        <v>6</v>
      </c>
      <c r="AF474">
        <f t="shared" si="92"/>
        <v>7</v>
      </c>
      <c r="AG474">
        <f t="shared" si="93"/>
        <v>7</v>
      </c>
      <c r="AH474" s="9" t="str">
        <f t="shared" si="94"/>
        <v/>
      </c>
      <c r="AI474" s="9" t="str">
        <f t="shared" si="95"/>
        <v/>
      </c>
      <c r="AJ474" s="9" t="str">
        <f t="shared" si="96"/>
        <v/>
      </c>
      <c r="AK474" s="9" t="str">
        <f t="shared" si="97"/>
        <v/>
      </c>
      <c r="AL474" s="9" t="str">
        <f t="shared" si="98"/>
        <v/>
      </c>
      <c r="AM474" s="9" t="str">
        <f t="shared" si="99"/>
        <v/>
      </c>
      <c r="AN474" s="9" t="str">
        <f t="shared" si="100"/>
        <v/>
      </c>
      <c r="AO474" s="9" t="str">
        <f t="shared" si="101"/>
        <v/>
      </c>
      <c r="AP474" s="9" t="str">
        <f t="shared" si="102"/>
        <v/>
      </c>
      <c r="AQ474" s="10" t="str">
        <f t="shared" si="103"/>
        <v/>
      </c>
    </row>
    <row r="475" spans="1:43">
      <c r="A475">
        <v>474</v>
      </c>
      <c r="B475" t="s">
        <v>23</v>
      </c>
      <c r="C475" t="s">
        <v>805</v>
      </c>
      <c r="D475" t="s">
        <v>806</v>
      </c>
      <c r="E475" t="s">
        <v>83</v>
      </c>
      <c r="G475" t="s">
        <v>18</v>
      </c>
      <c r="H475" s="4">
        <v>49729950</v>
      </c>
      <c r="I475" s="5">
        <v>256</v>
      </c>
      <c r="J475" s="5">
        <v>0</v>
      </c>
      <c r="K475" s="5">
        <v>8</v>
      </c>
      <c r="L475">
        <v>5.2</v>
      </c>
      <c r="M475">
        <v>3.8</v>
      </c>
      <c r="N475">
        <v>6.26</v>
      </c>
      <c r="O475" s="6">
        <v>13.3</v>
      </c>
      <c r="P475" s="7">
        <v>1.42</v>
      </c>
      <c r="U475" t="s">
        <v>84</v>
      </c>
      <c r="V475" t="s">
        <v>126</v>
      </c>
      <c r="W475">
        <v>1.6</v>
      </c>
      <c r="X475" t="s">
        <v>84</v>
      </c>
      <c r="Y475" t="s">
        <v>127</v>
      </c>
      <c r="Z475" t="s">
        <v>100</v>
      </c>
      <c r="AA475" t="s">
        <v>169</v>
      </c>
      <c r="AB475" t="s">
        <v>115</v>
      </c>
      <c r="AC475">
        <v>1841.85</v>
      </c>
      <c r="AD475" s="8" t="b">
        <f>AND(
 H475&gt;=Filters!$B$3,
 H475&lt;=Filters!$B$4,
 I475&gt;=Filters!$B$5,
 OR(Filters!$B$6="All",B475=Filters!$B$6),
 F475&gt;=Filters!$B$7,
 F475&lt;=Filters!$B$8,
 OR(Filters!$B$9="All",G475=Filters!$B$9)
)</f>
        <v>0</v>
      </c>
      <c r="AE475">
        <f t="shared" si="91"/>
        <v>6</v>
      </c>
      <c r="AF475">
        <f t="shared" si="92"/>
        <v>7</v>
      </c>
      <c r="AG475">
        <f t="shared" si="93"/>
        <v>7</v>
      </c>
      <c r="AH475" s="9" t="str">
        <f t="shared" si="94"/>
        <v/>
      </c>
      <c r="AI475" s="9" t="str">
        <f t="shared" si="95"/>
        <v/>
      </c>
      <c r="AJ475" s="9" t="str">
        <f t="shared" si="96"/>
        <v/>
      </c>
      <c r="AK475" s="9" t="str">
        <f t="shared" si="97"/>
        <v/>
      </c>
      <c r="AL475" s="9" t="str">
        <f t="shared" si="98"/>
        <v/>
      </c>
      <c r="AM475" s="9" t="str">
        <f t="shared" si="99"/>
        <v/>
      </c>
      <c r="AN475" s="9" t="str">
        <f t="shared" si="100"/>
        <v/>
      </c>
      <c r="AO475" s="9" t="str">
        <f t="shared" si="101"/>
        <v/>
      </c>
      <c r="AP475" s="9" t="str">
        <f t="shared" si="102"/>
        <v/>
      </c>
      <c r="AQ475" s="10" t="str">
        <f t="shared" si="103"/>
        <v/>
      </c>
    </row>
    <row r="476" spans="1:43">
      <c r="A476">
        <v>475</v>
      </c>
      <c r="B476" t="s">
        <v>21</v>
      </c>
      <c r="C476" t="s">
        <v>807</v>
      </c>
      <c r="D476" t="s">
        <v>259</v>
      </c>
      <c r="E476" t="s">
        <v>97</v>
      </c>
      <c r="G476" t="s">
        <v>18</v>
      </c>
      <c r="H476" s="4">
        <v>35073000</v>
      </c>
      <c r="I476" s="5">
        <v>128</v>
      </c>
      <c r="J476" s="5">
        <v>1024</v>
      </c>
      <c r="K476" s="5">
        <v>12</v>
      </c>
      <c r="L476">
        <v>9.1999999999999993</v>
      </c>
      <c r="M476">
        <v>3.5</v>
      </c>
      <c r="N476">
        <v>9.82</v>
      </c>
      <c r="O476" s="6">
        <v>15.6</v>
      </c>
      <c r="P476" s="7">
        <v>2.06</v>
      </c>
      <c r="U476" t="s">
        <v>84</v>
      </c>
      <c r="V476" t="s">
        <v>808</v>
      </c>
      <c r="W476">
        <v>2.6</v>
      </c>
      <c r="X476" t="s">
        <v>84</v>
      </c>
      <c r="Y476" t="s">
        <v>809</v>
      </c>
      <c r="Z476" t="s">
        <v>161</v>
      </c>
      <c r="AA476" t="s">
        <v>459</v>
      </c>
      <c r="AB476" t="s">
        <v>115</v>
      </c>
      <c r="AC476">
        <v>1299</v>
      </c>
      <c r="AD476" s="8" t="b">
        <f>AND(
 H476&gt;=Filters!$B$3,
 H476&lt;=Filters!$B$4,
 I476&gt;=Filters!$B$5,
 OR(Filters!$B$6="All",B476=Filters!$B$6),
 F476&gt;=Filters!$B$7,
 F476&lt;=Filters!$B$8,
 OR(Filters!$B$9="All",G476=Filters!$B$9)
)</f>
        <v>0</v>
      </c>
      <c r="AE476">
        <f t="shared" si="91"/>
        <v>6</v>
      </c>
      <c r="AF476">
        <f t="shared" si="92"/>
        <v>7</v>
      </c>
      <c r="AG476">
        <f t="shared" si="93"/>
        <v>7</v>
      </c>
      <c r="AH476" s="9" t="str">
        <f t="shared" si="94"/>
        <v/>
      </c>
      <c r="AI476" s="9" t="str">
        <f t="shared" si="95"/>
        <v/>
      </c>
      <c r="AJ476" s="9" t="str">
        <f t="shared" si="96"/>
        <v/>
      </c>
      <c r="AK476" s="9" t="str">
        <f t="shared" si="97"/>
        <v/>
      </c>
      <c r="AL476" s="9" t="str">
        <f t="shared" si="98"/>
        <v/>
      </c>
      <c r="AM476" s="9" t="str">
        <f t="shared" si="99"/>
        <v/>
      </c>
      <c r="AN476" s="9" t="str">
        <f t="shared" si="100"/>
        <v/>
      </c>
      <c r="AO476" s="9" t="str">
        <f t="shared" si="101"/>
        <v/>
      </c>
      <c r="AP476" s="9" t="str">
        <f t="shared" si="102"/>
        <v/>
      </c>
      <c r="AQ476" s="10" t="str">
        <f t="shared" si="103"/>
        <v/>
      </c>
    </row>
    <row r="477" spans="1:43">
      <c r="A477">
        <v>476</v>
      </c>
      <c r="B477" t="s">
        <v>23</v>
      </c>
      <c r="C477" t="s">
        <v>810</v>
      </c>
      <c r="D477" t="s">
        <v>811</v>
      </c>
      <c r="E477" t="s">
        <v>97</v>
      </c>
      <c r="G477" t="s">
        <v>18</v>
      </c>
      <c r="H477" s="4">
        <v>19980000</v>
      </c>
      <c r="I477" s="5">
        <v>128</v>
      </c>
      <c r="J477" s="5">
        <v>0</v>
      </c>
      <c r="K477" s="5">
        <v>8</v>
      </c>
      <c r="L477">
        <v>4.5999999999999996</v>
      </c>
      <c r="M477">
        <v>3.5</v>
      </c>
      <c r="N477">
        <v>4</v>
      </c>
      <c r="O477" s="6">
        <v>14</v>
      </c>
      <c r="P477" s="7">
        <v>1.79</v>
      </c>
      <c r="U477" t="s">
        <v>84</v>
      </c>
      <c r="V477" t="s">
        <v>812</v>
      </c>
      <c r="W477">
        <v>2.2999999999999998</v>
      </c>
      <c r="X477" t="s">
        <v>84</v>
      </c>
      <c r="Y477" t="s">
        <v>130</v>
      </c>
      <c r="Z477" t="s">
        <v>87</v>
      </c>
      <c r="AA477" t="s">
        <v>114</v>
      </c>
      <c r="AB477" t="s">
        <v>115</v>
      </c>
      <c r="AC477">
        <v>740</v>
      </c>
      <c r="AD477" s="8" t="b">
        <f>AND(
 H477&gt;=Filters!$B$3,
 H477&lt;=Filters!$B$4,
 I477&gt;=Filters!$B$5,
 OR(Filters!$B$6="All",B477=Filters!$B$6),
 F477&gt;=Filters!$B$7,
 F477&lt;=Filters!$B$8,
 OR(Filters!$B$9="All",G477=Filters!$B$9)
)</f>
        <v>0</v>
      </c>
      <c r="AE477">
        <f t="shared" si="91"/>
        <v>6</v>
      </c>
      <c r="AF477">
        <f t="shared" si="92"/>
        <v>7</v>
      </c>
      <c r="AG477">
        <f t="shared" si="93"/>
        <v>7</v>
      </c>
      <c r="AH477" s="9" t="str">
        <f t="shared" si="94"/>
        <v/>
      </c>
      <c r="AI477" s="9" t="str">
        <f t="shared" si="95"/>
        <v/>
      </c>
      <c r="AJ477" s="9" t="str">
        <f t="shared" si="96"/>
        <v/>
      </c>
      <c r="AK477" s="9" t="str">
        <f t="shared" si="97"/>
        <v/>
      </c>
      <c r="AL477" s="9" t="str">
        <f t="shared" si="98"/>
        <v/>
      </c>
      <c r="AM477" s="9" t="str">
        <f t="shared" si="99"/>
        <v/>
      </c>
      <c r="AN477" s="9" t="str">
        <f t="shared" si="100"/>
        <v/>
      </c>
      <c r="AO477" s="9" t="str">
        <f t="shared" si="101"/>
        <v/>
      </c>
      <c r="AP477" s="9" t="str">
        <f t="shared" si="102"/>
        <v/>
      </c>
      <c r="AQ477" s="10" t="str">
        <f t="shared" si="103"/>
        <v/>
      </c>
    </row>
    <row r="478" spans="1:43">
      <c r="A478">
        <v>477</v>
      </c>
      <c r="B478" t="s">
        <v>23</v>
      </c>
      <c r="C478" t="s">
        <v>706</v>
      </c>
      <c r="D478" t="s">
        <v>707</v>
      </c>
      <c r="E478" t="s">
        <v>468</v>
      </c>
      <c r="G478" t="s">
        <v>18</v>
      </c>
      <c r="H478" s="4">
        <v>65016000</v>
      </c>
      <c r="I478" s="5">
        <v>256</v>
      </c>
      <c r="J478" s="5">
        <v>0</v>
      </c>
      <c r="K478" s="5">
        <v>8</v>
      </c>
      <c r="L478">
        <v>9.6</v>
      </c>
      <c r="M478">
        <v>8</v>
      </c>
      <c r="N478">
        <v>5.92</v>
      </c>
      <c r="O478" s="6">
        <v>15.6</v>
      </c>
      <c r="P478" s="7">
        <v>1.78</v>
      </c>
      <c r="U478" t="s">
        <v>84</v>
      </c>
      <c r="V478" t="s">
        <v>210</v>
      </c>
      <c r="W478">
        <v>2.8</v>
      </c>
      <c r="X478" t="s">
        <v>122</v>
      </c>
      <c r="Y478" t="s">
        <v>470</v>
      </c>
      <c r="Z478" t="s">
        <v>100</v>
      </c>
      <c r="AA478" t="s">
        <v>101</v>
      </c>
      <c r="AB478" t="s">
        <v>115</v>
      </c>
      <c r="AC478">
        <v>2408</v>
      </c>
      <c r="AD478" s="8" t="b">
        <f>AND(
 H478&gt;=Filters!$B$3,
 H478&lt;=Filters!$B$4,
 I478&gt;=Filters!$B$5,
 OR(Filters!$B$6="All",B478=Filters!$B$6),
 F478&gt;=Filters!$B$7,
 F478&lt;=Filters!$B$8,
 OR(Filters!$B$9="All",G478=Filters!$B$9)
)</f>
        <v>0</v>
      </c>
      <c r="AE478">
        <f t="shared" si="91"/>
        <v>6</v>
      </c>
      <c r="AF478">
        <f t="shared" si="92"/>
        <v>7</v>
      </c>
      <c r="AG478">
        <f t="shared" si="93"/>
        <v>7</v>
      </c>
      <c r="AH478" s="9" t="str">
        <f t="shared" si="94"/>
        <v/>
      </c>
      <c r="AI478" s="9" t="str">
        <f t="shared" si="95"/>
        <v/>
      </c>
      <c r="AJ478" s="9" t="str">
        <f t="shared" si="96"/>
        <v/>
      </c>
      <c r="AK478" s="9" t="str">
        <f t="shared" si="97"/>
        <v/>
      </c>
      <c r="AL478" s="9" t="str">
        <f t="shared" si="98"/>
        <v/>
      </c>
      <c r="AM478" s="9" t="str">
        <f t="shared" si="99"/>
        <v/>
      </c>
      <c r="AN478" s="9" t="str">
        <f t="shared" si="100"/>
        <v/>
      </c>
      <c r="AO478" s="9" t="str">
        <f t="shared" si="101"/>
        <v/>
      </c>
      <c r="AP478" s="9" t="str">
        <f t="shared" si="102"/>
        <v/>
      </c>
      <c r="AQ478" s="10" t="str">
        <f t="shared" si="103"/>
        <v/>
      </c>
    </row>
    <row r="479" spans="1:43">
      <c r="A479">
        <v>478</v>
      </c>
      <c r="B479" t="s">
        <v>29</v>
      </c>
      <c r="C479" t="s">
        <v>328</v>
      </c>
      <c r="D479" t="s">
        <v>329</v>
      </c>
      <c r="E479" t="s">
        <v>97</v>
      </c>
      <c r="G479" t="s">
        <v>18</v>
      </c>
      <c r="H479" s="4">
        <v>36828000</v>
      </c>
      <c r="I479" s="5">
        <v>180</v>
      </c>
      <c r="J479" s="5">
        <v>0</v>
      </c>
      <c r="K479" s="5">
        <v>8</v>
      </c>
      <c r="L479">
        <v>7</v>
      </c>
      <c r="M479">
        <v>3.5</v>
      </c>
      <c r="N479">
        <v>6</v>
      </c>
      <c r="O479" s="6">
        <v>14</v>
      </c>
      <c r="P479" s="7">
        <v>1.7</v>
      </c>
      <c r="U479" t="s">
        <v>84</v>
      </c>
      <c r="V479" t="s">
        <v>98</v>
      </c>
      <c r="W479">
        <v>2.5</v>
      </c>
      <c r="X479" t="s">
        <v>84</v>
      </c>
      <c r="Y479" t="s">
        <v>99</v>
      </c>
      <c r="Z479" t="s">
        <v>813</v>
      </c>
      <c r="AA479" t="s">
        <v>101</v>
      </c>
      <c r="AB479" t="s">
        <v>115</v>
      </c>
      <c r="AC479">
        <v>1364</v>
      </c>
      <c r="AD479" s="8" t="b">
        <f>AND(
 H479&gt;=Filters!$B$3,
 H479&lt;=Filters!$B$4,
 I479&gt;=Filters!$B$5,
 OR(Filters!$B$6="All",B479=Filters!$B$6),
 F479&gt;=Filters!$B$7,
 F479&lt;=Filters!$B$8,
 OR(Filters!$B$9="All",G479=Filters!$B$9)
)</f>
        <v>0</v>
      </c>
      <c r="AE479">
        <f t="shared" si="91"/>
        <v>6</v>
      </c>
      <c r="AF479">
        <f t="shared" si="92"/>
        <v>7</v>
      </c>
      <c r="AG479">
        <f t="shared" si="93"/>
        <v>7</v>
      </c>
      <c r="AH479" s="9" t="str">
        <f t="shared" si="94"/>
        <v/>
      </c>
      <c r="AI479" s="9" t="str">
        <f t="shared" si="95"/>
        <v/>
      </c>
      <c r="AJ479" s="9" t="str">
        <f t="shared" si="96"/>
        <v/>
      </c>
      <c r="AK479" s="9" t="str">
        <f t="shared" si="97"/>
        <v/>
      </c>
      <c r="AL479" s="9" t="str">
        <f t="shared" si="98"/>
        <v/>
      </c>
      <c r="AM479" s="9" t="str">
        <f t="shared" si="99"/>
        <v/>
      </c>
      <c r="AN479" s="9" t="str">
        <f t="shared" si="100"/>
        <v/>
      </c>
      <c r="AO479" s="9" t="str">
        <f t="shared" si="101"/>
        <v/>
      </c>
      <c r="AP479" s="9" t="str">
        <f t="shared" si="102"/>
        <v/>
      </c>
      <c r="AQ479" s="10" t="str">
        <f t="shared" si="103"/>
        <v/>
      </c>
    </row>
    <row r="480" spans="1:43">
      <c r="A480">
        <v>479</v>
      </c>
      <c r="B480" t="s">
        <v>23</v>
      </c>
      <c r="C480" t="s">
        <v>239</v>
      </c>
      <c r="D480" t="s">
        <v>240</v>
      </c>
      <c r="E480" t="s">
        <v>97</v>
      </c>
      <c r="G480" t="s">
        <v>18</v>
      </c>
      <c r="H480" s="4">
        <v>18225000</v>
      </c>
      <c r="I480" s="5">
        <v>0</v>
      </c>
      <c r="J480" s="5">
        <v>1024</v>
      </c>
      <c r="K480" s="5">
        <v>8</v>
      </c>
      <c r="L480">
        <v>5.2</v>
      </c>
      <c r="M480">
        <v>6.5</v>
      </c>
      <c r="N480">
        <v>5.92</v>
      </c>
      <c r="O480" s="6">
        <v>15.6</v>
      </c>
      <c r="P480" s="7">
        <v>2.2000000000000002</v>
      </c>
      <c r="U480" t="s">
        <v>84</v>
      </c>
      <c r="V480" t="s">
        <v>126</v>
      </c>
      <c r="W480">
        <v>1.6</v>
      </c>
      <c r="X480" t="s">
        <v>104</v>
      </c>
      <c r="Y480" t="s">
        <v>241</v>
      </c>
      <c r="Z480" t="s">
        <v>146</v>
      </c>
      <c r="AA480" t="s">
        <v>101</v>
      </c>
      <c r="AB480" t="s">
        <v>115</v>
      </c>
      <c r="AC480">
        <v>675</v>
      </c>
      <c r="AD480" s="8" t="b">
        <f>AND(
 H480&gt;=Filters!$B$3,
 H480&lt;=Filters!$B$4,
 I480&gt;=Filters!$B$5,
 OR(Filters!$B$6="All",B480=Filters!$B$6),
 F480&gt;=Filters!$B$7,
 F480&lt;=Filters!$B$8,
 OR(Filters!$B$9="All",G480=Filters!$B$9)
)</f>
        <v>0</v>
      </c>
      <c r="AE480">
        <f t="shared" si="91"/>
        <v>6</v>
      </c>
      <c r="AF480">
        <f t="shared" si="92"/>
        <v>7</v>
      </c>
      <c r="AG480">
        <f t="shared" si="93"/>
        <v>7</v>
      </c>
      <c r="AH480" s="9" t="str">
        <f t="shared" si="94"/>
        <v/>
      </c>
      <c r="AI480" s="9" t="str">
        <f t="shared" si="95"/>
        <v/>
      </c>
      <c r="AJ480" s="9" t="str">
        <f t="shared" si="96"/>
        <v/>
      </c>
      <c r="AK480" s="9" t="str">
        <f t="shared" si="97"/>
        <v/>
      </c>
      <c r="AL480" s="9" t="str">
        <f t="shared" si="98"/>
        <v/>
      </c>
      <c r="AM480" s="9" t="str">
        <f t="shared" si="99"/>
        <v/>
      </c>
      <c r="AN480" s="9" t="str">
        <f t="shared" si="100"/>
        <v/>
      </c>
      <c r="AO480" s="9" t="str">
        <f t="shared" si="101"/>
        <v/>
      </c>
      <c r="AP480" s="9" t="str">
        <f t="shared" si="102"/>
        <v/>
      </c>
      <c r="AQ480" s="10" t="str">
        <f t="shared" si="103"/>
        <v/>
      </c>
    </row>
    <row r="481" spans="1:43">
      <c r="A481">
        <v>480</v>
      </c>
      <c r="B481" t="s">
        <v>35</v>
      </c>
      <c r="C481" t="s">
        <v>814</v>
      </c>
      <c r="D481" t="s">
        <v>815</v>
      </c>
      <c r="E481" t="s">
        <v>97</v>
      </c>
      <c r="G481" t="s">
        <v>18</v>
      </c>
      <c r="H481" s="4">
        <v>45144000</v>
      </c>
      <c r="I481" s="5">
        <v>256</v>
      </c>
      <c r="J481" s="5">
        <v>0</v>
      </c>
      <c r="K481" s="5">
        <v>8</v>
      </c>
      <c r="L481">
        <v>7</v>
      </c>
      <c r="M481">
        <v>3.5</v>
      </c>
      <c r="N481">
        <v>6.37</v>
      </c>
      <c r="O481" s="6">
        <v>13.3</v>
      </c>
      <c r="P481" s="7">
        <v>1.05</v>
      </c>
      <c r="U481" t="s">
        <v>84</v>
      </c>
      <c r="V481" t="s">
        <v>98</v>
      </c>
      <c r="W481">
        <v>2.5</v>
      </c>
      <c r="X481" t="s">
        <v>84</v>
      </c>
      <c r="Y481" t="s">
        <v>99</v>
      </c>
      <c r="Z481" t="s">
        <v>100</v>
      </c>
      <c r="AA481" t="s">
        <v>128</v>
      </c>
      <c r="AB481" t="s">
        <v>115</v>
      </c>
      <c r="AC481">
        <v>1672</v>
      </c>
      <c r="AD481" s="8" t="b">
        <f>AND(
 H481&gt;=Filters!$B$3,
 H481&lt;=Filters!$B$4,
 I481&gt;=Filters!$B$5,
 OR(Filters!$B$6="All",B481=Filters!$B$6),
 F481&gt;=Filters!$B$7,
 F481&lt;=Filters!$B$8,
 OR(Filters!$B$9="All",G481=Filters!$B$9)
)</f>
        <v>0</v>
      </c>
      <c r="AE481">
        <f t="shared" si="91"/>
        <v>6</v>
      </c>
      <c r="AF481">
        <f t="shared" si="92"/>
        <v>7</v>
      </c>
      <c r="AG481">
        <f t="shared" si="93"/>
        <v>7</v>
      </c>
      <c r="AH481" s="9" t="str">
        <f t="shared" si="94"/>
        <v/>
      </c>
      <c r="AI481" s="9" t="str">
        <f t="shared" si="95"/>
        <v/>
      </c>
      <c r="AJ481" s="9" t="str">
        <f t="shared" si="96"/>
        <v/>
      </c>
      <c r="AK481" s="9" t="str">
        <f t="shared" si="97"/>
        <v/>
      </c>
      <c r="AL481" s="9" t="str">
        <f t="shared" si="98"/>
        <v/>
      </c>
      <c r="AM481" s="9" t="str">
        <f t="shared" si="99"/>
        <v/>
      </c>
      <c r="AN481" s="9" t="str">
        <f t="shared" si="100"/>
        <v/>
      </c>
      <c r="AO481" s="9" t="str">
        <f t="shared" si="101"/>
        <v/>
      </c>
      <c r="AP481" s="9" t="str">
        <f t="shared" si="102"/>
        <v/>
      </c>
      <c r="AQ481" s="10" t="str">
        <f t="shared" si="103"/>
        <v/>
      </c>
    </row>
    <row r="482" spans="1:43">
      <c r="A482">
        <v>481</v>
      </c>
      <c r="B482" t="s">
        <v>23</v>
      </c>
      <c r="C482" t="s">
        <v>341</v>
      </c>
      <c r="D482" t="s">
        <v>342</v>
      </c>
      <c r="E482" t="s">
        <v>97</v>
      </c>
      <c r="G482" t="s">
        <v>18</v>
      </c>
      <c r="H482" s="4">
        <v>34074000</v>
      </c>
      <c r="I482" s="5">
        <v>512</v>
      </c>
      <c r="J482" s="5">
        <v>0</v>
      </c>
      <c r="K482" s="5">
        <v>8</v>
      </c>
      <c r="L482">
        <v>7.6</v>
      </c>
      <c r="M482">
        <v>6.5</v>
      </c>
      <c r="N482">
        <v>6.32</v>
      </c>
      <c r="O482" s="6">
        <v>15.6</v>
      </c>
      <c r="P482" s="7">
        <v>2.16</v>
      </c>
      <c r="U482" t="s">
        <v>84</v>
      </c>
      <c r="V482" t="s">
        <v>121</v>
      </c>
      <c r="W482">
        <v>1.8</v>
      </c>
      <c r="X482" t="s">
        <v>122</v>
      </c>
      <c r="Y482" t="s">
        <v>145</v>
      </c>
      <c r="Z482" t="s">
        <v>106</v>
      </c>
      <c r="AA482" t="s">
        <v>128</v>
      </c>
      <c r="AB482" t="s">
        <v>115</v>
      </c>
      <c r="AC482">
        <v>1262</v>
      </c>
      <c r="AD482" s="8" t="b">
        <f>AND(
 H482&gt;=Filters!$B$3,
 H482&lt;=Filters!$B$4,
 I482&gt;=Filters!$B$5,
 OR(Filters!$B$6="All",B482=Filters!$B$6),
 F482&gt;=Filters!$B$7,
 F482&lt;=Filters!$B$8,
 OR(Filters!$B$9="All",G482=Filters!$B$9)
)</f>
        <v>0</v>
      </c>
      <c r="AE482">
        <f t="shared" si="91"/>
        <v>6</v>
      </c>
      <c r="AF482">
        <f t="shared" si="92"/>
        <v>7</v>
      </c>
      <c r="AG482">
        <f t="shared" si="93"/>
        <v>7</v>
      </c>
      <c r="AH482" s="9" t="str">
        <f t="shared" si="94"/>
        <v/>
      </c>
      <c r="AI482" s="9" t="str">
        <f t="shared" si="95"/>
        <v/>
      </c>
      <c r="AJ482" s="9" t="str">
        <f t="shared" si="96"/>
        <v/>
      </c>
      <c r="AK482" s="9" t="str">
        <f t="shared" si="97"/>
        <v/>
      </c>
      <c r="AL482" s="9" t="str">
        <f t="shared" si="98"/>
        <v/>
      </c>
      <c r="AM482" s="9" t="str">
        <f t="shared" si="99"/>
        <v/>
      </c>
      <c r="AN482" s="9" t="str">
        <f t="shared" si="100"/>
        <v/>
      </c>
      <c r="AO482" s="9" t="str">
        <f t="shared" si="101"/>
        <v/>
      </c>
      <c r="AP482" s="9" t="str">
        <f t="shared" si="102"/>
        <v/>
      </c>
      <c r="AQ482" s="10" t="str">
        <f t="shared" si="103"/>
        <v/>
      </c>
    </row>
    <row r="483" spans="1:43">
      <c r="A483">
        <v>482</v>
      </c>
      <c r="B483" t="s">
        <v>23</v>
      </c>
      <c r="C483" t="s">
        <v>540</v>
      </c>
      <c r="D483" t="s">
        <v>541</v>
      </c>
      <c r="E483" t="s">
        <v>97</v>
      </c>
      <c r="G483" t="s">
        <v>18</v>
      </c>
      <c r="H483" s="4">
        <v>15838200</v>
      </c>
      <c r="I483" s="5">
        <v>0</v>
      </c>
      <c r="J483" s="5">
        <v>1024</v>
      </c>
      <c r="K483" s="5">
        <v>4</v>
      </c>
      <c r="L483">
        <v>4.8</v>
      </c>
      <c r="M483">
        <v>3.5</v>
      </c>
      <c r="N483">
        <v>3.92</v>
      </c>
      <c r="O483" s="6">
        <v>15.6</v>
      </c>
      <c r="P483" s="7">
        <v>2.1800000000000002</v>
      </c>
      <c r="U483" t="s">
        <v>84</v>
      </c>
      <c r="V483" t="s">
        <v>144</v>
      </c>
      <c r="W483">
        <v>2.4</v>
      </c>
      <c r="X483" t="s">
        <v>84</v>
      </c>
      <c r="Y483" t="s">
        <v>99</v>
      </c>
      <c r="Z483" t="s">
        <v>146</v>
      </c>
      <c r="AA483" t="s">
        <v>114</v>
      </c>
      <c r="AB483" t="s">
        <v>115</v>
      </c>
      <c r="AC483">
        <v>586.6</v>
      </c>
      <c r="AD483" s="8" t="b">
        <f>AND(
 H483&gt;=Filters!$B$3,
 H483&lt;=Filters!$B$4,
 I483&gt;=Filters!$B$5,
 OR(Filters!$B$6="All",B483=Filters!$B$6),
 F483&gt;=Filters!$B$7,
 F483&lt;=Filters!$B$8,
 OR(Filters!$B$9="All",G483=Filters!$B$9)
)</f>
        <v>0</v>
      </c>
      <c r="AE483">
        <f t="shared" si="91"/>
        <v>6</v>
      </c>
      <c r="AF483">
        <f t="shared" si="92"/>
        <v>7</v>
      </c>
      <c r="AG483">
        <f t="shared" si="93"/>
        <v>7</v>
      </c>
      <c r="AH483" s="9" t="str">
        <f t="shared" si="94"/>
        <v/>
      </c>
      <c r="AI483" s="9" t="str">
        <f t="shared" si="95"/>
        <v/>
      </c>
      <c r="AJ483" s="9" t="str">
        <f t="shared" si="96"/>
        <v/>
      </c>
      <c r="AK483" s="9" t="str">
        <f t="shared" si="97"/>
        <v/>
      </c>
      <c r="AL483" s="9" t="str">
        <f t="shared" si="98"/>
        <v/>
      </c>
      <c r="AM483" s="9" t="str">
        <f t="shared" si="99"/>
        <v/>
      </c>
      <c r="AN483" s="9" t="str">
        <f t="shared" si="100"/>
        <v/>
      </c>
      <c r="AO483" s="9" t="str">
        <f t="shared" si="101"/>
        <v/>
      </c>
      <c r="AP483" s="9" t="str">
        <f t="shared" si="102"/>
        <v/>
      </c>
      <c r="AQ483" s="10" t="str">
        <f t="shared" si="103"/>
        <v/>
      </c>
    </row>
    <row r="484" spans="1:43">
      <c r="A484">
        <v>483</v>
      </c>
      <c r="B484" t="s">
        <v>26</v>
      </c>
      <c r="C484" t="s">
        <v>237</v>
      </c>
      <c r="D484" t="s">
        <v>238</v>
      </c>
      <c r="E484" t="s">
        <v>97</v>
      </c>
      <c r="G484" t="s">
        <v>18</v>
      </c>
      <c r="H484" s="4">
        <v>19602000</v>
      </c>
      <c r="I484" s="5">
        <v>128</v>
      </c>
      <c r="J484" s="5">
        <v>0</v>
      </c>
      <c r="K484" s="5">
        <v>4</v>
      </c>
      <c r="L484">
        <v>5.2</v>
      </c>
      <c r="M484">
        <v>3.8</v>
      </c>
      <c r="N484">
        <v>6.37</v>
      </c>
      <c r="O484" s="6">
        <v>13.3</v>
      </c>
      <c r="P484" s="7">
        <v>1.49</v>
      </c>
      <c r="U484" t="s">
        <v>84</v>
      </c>
      <c r="V484" t="s">
        <v>126</v>
      </c>
      <c r="W484">
        <v>1.6</v>
      </c>
      <c r="X484" t="s">
        <v>84</v>
      </c>
      <c r="Y484" t="s">
        <v>127</v>
      </c>
      <c r="Z484" t="s">
        <v>87</v>
      </c>
      <c r="AA484" t="s">
        <v>128</v>
      </c>
      <c r="AB484" t="s">
        <v>115</v>
      </c>
      <c r="AC484">
        <v>726</v>
      </c>
      <c r="AD484" s="8" t="b">
        <f>AND(
 H484&gt;=Filters!$B$3,
 H484&lt;=Filters!$B$4,
 I484&gt;=Filters!$B$5,
 OR(Filters!$B$6="All",B484=Filters!$B$6),
 F484&gt;=Filters!$B$7,
 F484&lt;=Filters!$B$8,
 OR(Filters!$B$9="All",G484=Filters!$B$9)
)</f>
        <v>0</v>
      </c>
      <c r="AE484">
        <f t="shared" si="91"/>
        <v>6</v>
      </c>
      <c r="AF484">
        <f t="shared" si="92"/>
        <v>7</v>
      </c>
      <c r="AG484">
        <f t="shared" si="93"/>
        <v>7</v>
      </c>
      <c r="AH484" s="9" t="str">
        <f t="shared" si="94"/>
        <v/>
      </c>
      <c r="AI484" s="9" t="str">
        <f t="shared" si="95"/>
        <v/>
      </c>
      <c r="AJ484" s="9" t="str">
        <f t="shared" si="96"/>
        <v/>
      </c>
      <c r="AK484" s="9" t="str">
        <f t="shared" si="97"/>
        <v/>
      </c>
      <c r="AL484" s="9" t="str">
        <f t="shared" si="98"/>
        <v/>
      </c>
      <c r="AM484" s="9" t="str">
        <f t="shared" si="99"/>
        <v/>
      </c>
      <c r="AN484" s="9" t="str">
        <f t="shared" si="100"/>
        <v/>
      </c>
      <c r="AO484" s="9" t="str">
        <f t="shared" si="101"/>
        <v/>
      </c>
      <c r="AP484" s="9" t="str">
        <f t="shared" si="102"/>
        <v/>
      </c>
      <c r="AQ484" s="10" t="str">
        <f t="shared" si="103"/>
        <v/>
      </c>
    </row>
    <row r="485" spans="1:43">
      <c r="A485">
        <v>484</v>
      </c>
      <c r="B485" t="s">
        <v>22</v>
      </c>
      <c r="C485" t="s">
        <v>816</v>
      </c>
      <c r="D485" t="s">
        <v>817</v>
      </c>
      <c r="E485" t="s">
        <v>97</v>
      </c>
      <c r="G485" t="s">
        <v>18</v>
      </c>
      <c r="H485" s="4">
        <v>6720300</v>
      </c>
      <c r="I485" s="5">
        <v>64</v>
      </c>
      <c r="J485" s="5">
        <v>0</v>
      </c>
      <c r="K485" s="5">
        <v>4</v>
      </c>
      <c r="L485">
        <v>1</v>
      </c>
      <c r="M485">
        <v>3.5</v>
      </c>
      <c r="N485">
        <v>5.92</v>
      </c>
      <c r="O485" s="6">
        <v>15.6</v>
      </c>
      <c r="P485" s="7">
        <v>1.89</v>
      </c>
      <c r="U485" t="s">
        <v>84</v>
      </c>
      <c r="V485" t="s">
        <v>153</v>
      </c>
      <c r="W485">
        <v>1.44</v>
      </c>
      <c r="X485" t="s">
        <v>84</v>
      </c>
      <c r="Y485" t="s">
        <v>187</v>
      </c>
      <c r="Z485" t="s">
        <v>188</v>
      </c>
      <c r="AA485" t="s">
        <v>101</v>
      </c>
      <c r="AB485" t="s">
        <v>115</v>
      </c>
      <c r="AC485">
        <v>248.9</v>
      </c>
      <c r="AD485" s="8" t="b">
        <f>AND(
 H485&gt;=Filters!$B$3,
 H485&lt;=Filters!$B$4,
 I485&gt;=Filters!$B$5,
 OR(Filters!$B$6="All",B485=Filters!$B$6),
 F485&gt;=Filters!$B$7,
 F485&lt;=Filters!$B$8,
 OR(Filters!$B$9="All",G485=Filters!$B$9)
)</f>
        <v>0</v>
      </c>
      <c r="AE485">
        <f t="shared" si="91"/>
        <v>6</v>
      </c>
      <c r="AF485">
        <f t="shared" si="92"/>
        <v>7</v>
      </c>
      <c r="AG485">
        <f t="shared" si="93"/>
        <v>7</v>
      </c>
      <c r="AH485" s="9" t="str">
        <f t="shared" si="94"/>
        <v/>
      </c>
      <c r="AI485" s="9" t="str">
        <f t="shared" si="95"/>
        <v/>
      </c>
      <c r="AJ485" s="9" t="str">
        <f t="shared" si="96"/>
        <v/>
      </c>
      <c r="AK485" s="9" t="str">
        <f t="shared" si="97"/>
        <v/>
      </c>
      <c r="AL485" s="9" t="str">
        <f t="shared" si="98"/>
        <v/>
      </c>
      <c r="AM485" s="9" t="str">
        <f t="shared" si="99"/>
        <v/>
      </c>
      <c r="AN485" s="9" t="str">
        <f t="shared" si="100"/>
        <v/>
      </c>
      <c r="AO485" s="9" t="str">
        <f t="shared" si="101"/>
        <v/>
      </c>
      <c r="AP485" s="9" t="str">
        <f t="shared" si="102"/>
        <v/>
      </c>
      <c r="AQ485" s="10" t="str">
        <f t="shared" si="103"/>
        <v/>
      </c>
    </row>
    <row r="486" spans="1:43">
      <c r="A486">
        <v>485</v>
      </c>
      <c r="B486" t="s">
        <v>29</v>
      </c>
      <c r="C486" t="s">
        <v>818</v>
      </c>
      <c r="D486" t="s">
        <v>819</v>
      </c>
      <c r="E486" t="s">
        <v>97</v>
      </c>
      <c r="G486" t="s">
        <v>18</v>
      </c>
      <c r="H486" s="4">
        <v>15255000</v>
      </c>
      <c r="I486" s="5">
        <v>128</v>
      </c>
      <c r="J486" s="5">
        <v>0</v>
      </c>
      <c r="K486" s="5">
        <v>4</v>
      </c>
      <c r="L486">
        <v>4</v>
      </c>
      <c r="M486">
        <v>3.5</v>
      </c>
      <c r="N486">
        <v>3.92</v>
      </c>
      <c r="O486" s="6">
        <v>15.6</v>
      </c>
      <c r="P486" s="7">
        <v>2.2999999999999998</v>
      </c>
      <c r="U486" t="s">
        <v>84</v>
      </c>
      <c r="V486" t="s">
        <v>129</v>
      </c>
      <c r="W486">
        <v>2</v>
      </c>
      <c r="X486" t="s">
        <v>84</v>
      </c>
      <c r="Y486" t="s">
        <v>130</v>
      </c>
      <c r="Z486" t="s">
        <v>87</v>
      </c>
      <c r="AA486" t="s">
        <v>114</v>
      </c>
      <c r="AB486" t="s">
        <v>115</v>
      </c>
      <c r="AC486">
        <v>565</v>
      </c>
      <c r="AD486" s="8" t="b">
        <f>AND(
 H486&gt;=Filters!$B$3,
 H486&lt;=Filters!$B$4,
 I486&gt;=Filters!$B$5,
 OR(Filters!$B$6="All",B486=Filters!$B$6),
 F486&gt;=Filters!$B$7,
 F486&lt;=Filters!$B$8,
 OR(Filters!$B$9="All",G486=Filters!$B$9)
)</f>
        <v>0</v>
      </c>
      <c r="AE486">
        <f t="shared" si="91"/>
        <v>6</v>
      </c>
      <c r="AF486">
        <f t="shared" si="92"/>
        <v>7</v>
      </c>
      <c r="AG486">
        <f t="shared" si="93"/>
        <v>7</v>
      </c>
      <c r="AH486" s="9" t="str">
        <f t="shared" si="94"/>
        <v/>
      </c>
      <c r="AI486" s="9" t="str">
        <f t="shared" si="95"/>
        <v/>
      </c>
      <c r="AJ486" s="9" t="str">
        <f t="shared" si="96"/>
        <v/>
      </c>
      <c r="AK486" s="9" t="str">
        <f t="shared" si="97"/>
        <v/>
      </c>
      <c r="AL486" s="9" t="str">
        <f t="shared" si="98"/>
        <v/>
      </c>
      <c r="AM486" s="9" t="str">
        <f t="shared" si="99"/>
        <v/>
      </c>
      <c r="AN486" s="9" t="str">
        <f t="shared" si="100"/>
        <v/>
      </c>
      <c r="AO486" s="9" t="str">
        <f t="shared" si="101"/>
        <v/>
      </c>
      <c r="AP486" s="9" t="str">
        <f t="shared" si="102"/>
        <v/>
      </c>
      <c r="AQ486" s="10" t="str">
        <f t="shared" si="103"/>
        <v/>
      </c>
    </row>
    <row r="487" spans="1:43">
      <c r="A487">
        <v>486</v>
      </c>
      <c r="B487" t="s">
        <v>29</v>
      </c>
      <c r="C487" t="s">
        <v>369</v>
      </c>
      <c r="D487" t="s">
        <v>370</v>
      </c>
      <c r="E487" t="s">
        <v>97</v>
      </c>
      <c r="G487" t="s">
        <v>18</v>
      </c>
      <c r="H487" s="4">
        <v>28323000</v>
      </c>
      <c r="I487" s="5">
        <v>256</v>
      </c>
      <c r="J487" s="5">
        <v>0</v>
      </c>
      <c r="K487" s="5">
        <v>8</v>
      </c>
      <c r="L487">
        <v>5.2</v>
      </c>
      <c r="M487">
        <v>3.8</v>
      </c>
      <c r="N487">
        <v>6.4</v>
      </c>
      <c r="O487" s="6">
        <v>14</v>
      </c>
      <c r="P487" s="7">
        <v>1.75</v>
      </c>
      <c r="U487" t="s">
        <v>84</v>
      </c>
      <c r="V487" t="s">
        <v>126</v>
      </c>
      <c r="W487">
        <v>1.6</v>
      </c>
      <c r="X487" t="s">
        <v>84</v>
      </c>
      <c r="Y487" t="s">
        <v>127</v>
      </c>
      <c r="Z487" t="s">
        <v>100</v>
      </c>
      <c r="AA487" t="s">
        <v>128</v>
      </c>
      <c r="AB487" t="s">
        <v>115</v>
      </c>
      <c r="AC487">
        <v>1049</v>
      </c>
      <c r="AD487" s="8" t="b">
        <f>AND(
 H487&gt;=Filters!$B$3,
 H487&lt;=Filters!$B$4,
 I487&gt;=Filters!$B$5,
 OR(Filters!$B$6="All",B487=Filters!$B$6),
 F487&gt;=Filters!$B$7,
 F487&lt;=Filters!$B$8,
 OR(Filters!$B$9="All",G487=Filters!$B$9)
)</f>
        <v>0</v>
      </c>
      <c r="AE487">
        <f t="shared" si="91"/>
        <v>6</v>
      </c>
      <c r="AF487">
        <f t="shared" si="92"/>
        <v>7</v>
      </c>
      <c r="AG487">
        <f t="shared" si="93"/>
        <v>7</v>
      </c>
      <c r="AH487" s="9" t="str">
        <f t="shared" si="94"/>
        <v/>
      </c>
      <c r="AI487" s="9" t="str">
        <f t="shared" si="95"/>
        <v/>
      </c>
      <c r="AJ487" s="9" t="str">
        <f t="shared" si="96"/>
        <v/>
      </c>
      <c r="AK487" s="9" t="str">
        <f t="shared" si="97"/>
        <v/>
      </c>
      <c r="AL487" s="9" t="str">
        <f t="shared" si="98"/>
        <v/>
      </c>
      <c r="AM487" s="9" t="str">
        <f t="shared" si="99"/>
        <v/>
      </c>
      <c r="AN487" s="9" t="str">
        <f t="shared" si="100"/>
        <v/>
      </c>
      <c r="AO487" s="9" t="str">
        <f t="shared" si="101"/>
        <v/>
      </c>
      <c r="AP487" s="9" t="str">
        <f t="shared" si="102"/>
        <v/>
      </c>
      <c r="AQ487" s="10" t="str">
        <f t="shared" si="103"/>
        <v/>
      </c>
    </row>
    <row r="488" spans="1:43">
      <c r="A488">
        <v>487</v>
      </c>
      <c r="B488" t="s">
        <v>23</v>
      </c>
      <c r="C488" t="s">
        <v>773</v>
      </c>
      <c r="D488" t="s">
        <v>774</v>
      </c>
      <c r="E488" t="s">
        <v>468</v>
      </c>
      <c r="G488" t="s">
        <v>18</v>
      </c>
      <c r="H488" s="4">
        <v>63126000</v>
      </c>
      <c r="I488" s="5">
        <v>512</v>
      </c>
      <c r="J488" s="5">
        <v>0</v>
      </c>
      <c r="K488" s="5">
        <v>16</v>
      </c>
      <c r="L488">
        <v>9.4</v>
      </c>
      <c r="M488">
        <v>8</v>
      </c>
      <c r="N488">
        <v>6.32</v>
      </c>
      <c r="O488" s="6">
        <v>15.6</v>
      </c>
      <c r="P488" s="7">
        <v>2.17</v>
      </c>
      <c r="U488" t="s">
        <v>84</v>
      </c>
      <c r="V488" t="s">
        <v>693</v>
      </c>
      <c r="W488">
        <v>2.7</v>
      </c>
      <c r="X488" t="s">
        <v>122</v>
      </c>
      <c r="Y488" t="s">
        <v>775</v>
      </c>
      <c r="Z488" t="s">
        <v>106</v>
      </c>
      <c r="AA488" t="s">
        <v>128</v>
      </c>
      <c r="AB488" t="s">
        <v>115</v>
      </c>
      <c r="AC488">
        <v>2338</v>
      </c>
      <c r="AD488" s="8" t="b">
        <f>AND(
 H488&gt;=Filters!$B$3,
 H488&lt;=Filters!$B$4,
 I488&gt;=Filters!$B$5,
 OR(Filters!$B$6="All",B488=Filters!$B$6),
 F488&gt;=Filters!$B$7,
 F488&lt;=Filters!$B$8,
 OR(Filters!$B$9="All",G488=Filters!$B$9)
)</f>
        <v>0</v>
      </c>
      <c r="AE488">
        <f t="shared" si="91"/>
        <v>6</v>
      </c>
      <c r="AF488">
        <f t="shared" si="92"/>
        <v>7</v>
      </c>
      <c r="AG488">
        <f t="shared" si="93"/>
        <v>7</v>
      </c>
      <c r="AH488" s="9" t="str">
        <f t="shared" si="94"/>
        <v/>
      </c>
      <c r="AI488" s="9" t="str">
        <f t="shared" si="95"/>
        <v/>
      </c>
      <c r="AJ488" s="9" t="str">
        <f t="shared" si="96"/>
        <v/>
      </c>
      <c r="AK488" s="9" t="str">
        <f t="shared" si="97"/>
        <v/>
      </c>
      <c r="AL488" s="9" t="str">
        <f t="shared" si="98"/>
        <v/>
      </c>
      <c r="AM488" s="9" t="str">
        <f t="shared" si="99"/>
        <v/>
      </c>
      <c r="AN488" s="9" t="str">
        <f t="shared" si="100"/>
        <v/>
      </c>
      <c r="AO488" s="9" t="str">
        <f t="shared" si="101"/>
        <v/>
      </c>
      <c r="AP488" s="9" t="str">
        <f t="shared" si="102"/>
        <v/>
      </c>
      <c r="AQ488" s="10" t="str">
        <f t="shared" si="103"/>
        <v/>
      </c>
    </row>
    <row r="489" spans="1:43">
      <c r="A489">
        <v>488</v>
      </c>
      <c r="B489" t="s">
        <v>23</v>
      </c>
      <c r="C489" t="s">
        <v>437</v>
      </c>
      <c r="D489" t="s">
        <v>438</v>
      </c>
      <c r="E489" t="s">
        <v>97</v>
      </c>
      <c r="G489" t="s">
        <v>18</v>
      </c>
      <c r="H489" s="4">
        <v>51273000</v>
      </c>
      <c r="I489" s="5">
        <v>512</v>
      </c>
      <c r="J489" s="5">
        <v>0</v>
      </c>
      <c r="K489" s="5">
        <v>16</v>
      </c>
      <c r="L489">
        <v>9.6</v>
      </c>
      <c r="M489">
        <v>9.1999999999999993</v>
      </c>
      <c r="N489">
        <v>5.92</v>
      </c>
      <c r="O489" s="6">
        <v>15.6</v>
      </c>
      <c r="P489" s="7">
        <v>2.06</v>
      </c>
      <c r="U489" t="s">
        <v>84</v>
      </c>
      <c r="V489" t="s">
        <v>210</v>
      </c>
      <c r="W489">
        <v>2.8</v>
      </c>
      <c r="X489" t="s">
        <v>122</v>
      </c>
      <c r="Y489" t="s">
        <v>160</v>
      </c>
      <c r="Z489" t="s">
        <v>106</v>
      </c>
      <c r="AA489" t="s">
        <v>101</v>
      </c>
      <c r="AB489" t="s">
        <v>115</v>
      </c>
      <c r="AC489">
        <v>1899</v>
      </c>
      <c r="AD489" s="8" t="b">
        <f>AND(
 H489&gt;=Filters!$B$3,
 H489&lt;=Filters!$B$4,
 I489&gt;=Filters!$B$5,
 OR(Filters!$B$6="All",B489=Filters!$B$6),
 F489&gt;=Filters!$B$7,
 F489&lt;=Filters!$B$8,
 OR(Filters!$B$9="All",G489=Filters!$B$9)
)</f>
        <v>0</v>
      </c>
      <c r="AE489">
        <f t="shared" si="91"/>
        <v>6</v>
      </c>
      <c r="AF489">
        <f t="shared" si="92"/>
        <v>7</v>
      </c>
      <c r="AG489">
        <f t="shared" si="93"/>
        <v>7</v>
      </c>
      <c r="AH489" s="9" t="str">
        <f t="shared" si="94"/>
        <v/>
      </c>
      <c r="AI489" s="9" t="str">
        <f t="shared" si="95"/>
        <v/>
      </c>
      <c r="AJ489" s="9" t="str">
        <f t="shared" si="96"/>
        <v/>
      </c>
      <c r="AK489" s="9" t="str">
        <f t="shared" si="97"/>
        <v/>
      </c>
      <c r="AL489" s="9" t="str">
        <f t="shared" si="98"/>
        <v/>
      </c>
      <c r="AM489" s="9" t="str">
        <f t="shared" si="99"/>
        <v/>
      </c>
      <c r="AN489" s="9" t="str">
        <f t="shared" si="100"/>
        <v/>
      </c>
      <c r="AO489" s="9" t="str">
        <f t="shared" si="101"/>
        <v/>
      </c>
      <c r="AP489" s="9" t="str">
        <f t="shared" si="102"/>
        <v/>
      </c>
      <c r="AQ489" s="10" t="str">
        <f t="shared" si="103"/>
        <v/>
      </c>
    </row>
    <row r="490" spans="1:43">
      <c r="A490">
        <v>489</v>
      </c>
      <c r="B490" t="s">
        <v>29</v>
      </c>
      <c r="C490" t="s">
        <v>820</v>
      </c>
      <c r="D490" t="s">
        <v>821</v>
      </c>
      <c r="E490" t="s">
        <v>83</v>
      </c>
      <c r="G490" t="s">
        <v>18</v>
      </c>
      <c r="H490" s="4">
        <v>48546000</v>
      </c>
      <c r="I490" s="5">
        <v>512</v>
      </c>
      <c r="J490" s="5">
        <v>0</v>
      </c>
      <c r="K490" s="5">
        <v>16</v>
      </c>
      <c r="L490">
        <v>9.4</v>
      </c>
      <c r="M490">
        <v>3.5</v>
      </c>
      <c r="N490">
        <v>6.33</v>
      </c>
      <c r="O490" s="6">
        <v>12.5</v>
      </c>
      <c r="P490" s="7">
        <v>1.36</v>
      </c>
      <c r="U490" t="s">
        <v>84</v>
      </c>
      <c r="V490" t="s">
        <v>140</v>
      </c>
      <c r="W490">
        <v>2.7</v>
      </c>
      <c r="X490" t="s">
        <v>84</v>
      </c>
      <c r="Y490" t="s">
        <v>99</v>
      </c>
      <c r="Z490" t="s">
        <v>106</v>
      </c>
      <c r="AA490" t="s">
        <v>128</v>
      </c>
      <c r="AB490" t="s">
        <v>115</v>
      </c>
      <c r="AC490">
        <v>1798</v>
      </c>
      <c r="AD490" s="8" t="b">
        <f>AND(
 H490&gt;=Filters!$B$3,
 H490&lt;=Filters!$B$4,
 I490&gt;=Filters!$B$5,
 OR(Filters!$B$6="All",B490=Filters!$B$6),
 F490&gt;=Filters!$B$7,
 F490&lt;=Filters!$B$8,
 OR(Filters!$B$9="All",G490=Filters!$B$9)
)</f>
        <v>0</v>
      </c>
      <c r="AE490">
        <f t="shared" si="91"/>
        <v>6</v>
      </c>
      <c r="AF490">
        <f t="shared" si="92"/>
        <v>7</v>
      </c>
      <c r="AG490">
        <f t="shared" si="93"/>
        <v>7</v>
      </c>
      <c r="AH490" s="9" t="str">
        <f t="shared" si="94"/>
        <v/>
      </c>
      <c r="AI490" s="9" t="str">
        <f t="shared" si="95"/>
        <v/>
      </c>
      <c r="AJ490" s="9" t="str">
        <f t="shared" si="96"/>
        <v/>
      </c>
      <c r="AK490" s="9" t="str">
        <f t="shared" si="97"/>
        <v/>
      </c>
      <c r="AL490" s="9" t="str">
        <f t="shared" si="98"/>
        <v/>
      </c>
      <c r="AM490" s="9" t="str">
        <f t="shared" si="99"/>
        <v/>
      </c>
      <c r="AN490" s="9" t="str">
        <f t="shared" si="100"/>
        <v/>
      </c>
      <c r="AO490" s="9" t="str">
        <f t="shared" si="101"/>
        <v/>
      </c>
      <c r="AP490" s="9" t="str">
        <f t="shared" si="102"/>
        <v/>
      </c>
      <c r="AQ490" s="10" t="str">
        <f t="shared" si="103"/>
        <v/>
      </c>
    </row>
    <row r="491" spans="1:43">
      <c r="A491">
        <v>490</v>
      </c>
      <c r="B491" t="s">
        <v>21</v>
      </c>
      <c r="C491" t="s">
        <v>822</v>
      </c>
      <c r="D491" t="s">
        <v>823</v>
      </c>
      <c r="E491" t="s">
        <v>83</v>
      </c>
      <c r="G491" t="s">
        <v>18</v>
      </c>
      <c r="H491" s="4">
        <v>52650000</v>
      </c>
      <c r="I491" s="5">
        <v>512</v>
      </c>
      <c r="J491" s="5">
        <v>0</v>
      </c>
      <c r="K491" s="5">
        <v>16</v>
      </c>
      <c r="L491">
        <v>9.4</v>
      </c>
      <c r="M491">
        <v>3.5</v>
      </c>
      <c r="N491">
        <v>5.92</v>
      </c>
      <c r="O491" s="6">
        <v>12.5</v>
      </c>
      <c r="P491" s="7">
        <v>0.91</v>
      </c>
      <c r="U491" t="s">
        <v>84</v>
      </c>
      <c r="V491" t="s">
        <v>140</v>
      </c>
      <c r="W491">
        <v>2.7</v>
      </c>
      <c r="X491" t="s">
        <v>84</v>
      </c>
      <c r="Y491" t="s">
        <v>99</v>
      </c>
      <c r="Z491" t="s">
        <v>106</v>
      </c>
      <c r="AA491" t="s">
        <v>101</v>
      </c>
      <c r="AB491" t="s">
        <v>115</v>
      </c>
      <c r="AC491">
        <v>1950</v>
      </c>
      <c r="AD491" s="8" t="b">
        <f>AND(
 H491&gt;=Filters!$B$3,
 H491&lt;=Filters!$B$4,
 I491&gt;=Filters!$B$5,
 OR(Filters!$B$6="All",B491=Filters!$B$6),
 F491&gt;=Filters!$B$7,
 F491&lt;=Filters!$B$8,
 OR(Filters!$B$9="All",G491=Filters!$B$9)
)</f>
        <v>0</v>
      </c>
      <c r="AE491">
        <f t="shared" si="91"/>
        <v>6</v>
      </c>
      <c r="AF491">
        <f t="shared" si="92"/>
        <v>7</v>
      </c>
      <c r="AG491">
        <f t="shared" si="93"/>
        <v>7</v>
      </c>
      <c r="AH491" s="9" t="str">
        <f t="shared" si="94"/>
        <v/>
      </c>
      <c r="AI491" s="9" t="str">
        <f t="shared" si="95"/>
        <v/>
      </c>
      <c r="AJ491" s="9" t="str">
        <f t="shared" si="96"/>
        <v/>
      </c>
      <c r="AK491" s="9" t="str">
        <f t="shared" si="97"/>
        <v/>
      </c>
      <c r="AL491" s="9" t="str">
        <f t="shared" si="98"/>
        <v/>
      </c>
      <c r="AM491" s="9" t="str">
        <f t="shared" si="99"/>
        <v/>
      </c>
      <c r="AN491" s="9" t="str">
        <f t="shared" si="100"/>
        <v/>
      </c>
      <c r="AO491" s="9" t="str">
        <f t="shared" si="101"/>
        <v/>
      </c>
      <c r="AP491" s="9" t="str">
        <f t="shared" si="102"/>
        <v/>
      </c>
      <c r="AQ491" s="10" t="str">
        <f t="shared" si="103"/>
        <v/>
      </c>
    </row>
    <row r="492" spans="1:43">
      <c r="A492">
        <v>491</v>
      </c>
      <c r="B492" t="s">
        <v>29</v>
      </c>
      <c r="C492" t="s">
        <v>824</v>
      </c>
      <c r="D492" t="s">
        <v>825</v>
      </c>
      <c r="E492" t="s">
        <v>97</v>
      </c>
      <c r="G492" t="s">
        <v>18</v>
      </c>
      <c r="H492" s="4">
        <v>27323730</v>
      </c>
      <c r="I492" s="5">
        <v>256</v>
      </c>
      <c r="J492" s="5">
        <v>0</v>
      </c>
      <c r="K492" s="5">
        <v>8</v>
      </c>
      <c r="L492">
        <v>7</v>
      </c>
      <c r="M492">
        <v>6.5</v>
      </c>
      <c r="N492">
        <v>6.32</v>
      </c>
      <c r="O492" s="6">
        <v>15.6</v>
      </c>
      <c r="P492" s="7">
        <v>2.2999999999999998</v>
      </c>
      <c r="U492" t="s">
        <v>84</v>
      </c>
      <c r="V492" t="s">
        <v>98</v>
      </c>
      <c r="W492">
        <v>2.5</v>
      </c>
      <c r="X492" t="s">
        <v>122</v>
      </c>
      <c r="Y492" t="s">
        <v>145</v>
      </c>
      <c r="Z492" t="s">
        <v>100</v>
      </c>
      <c r="AA492" t="s">
        <v>128</v>
      </c>
      <c r="AB492" t="s">
        <v>115</v>
      </c>
      <c r="AC492">
        <v>1011.99</v>
      </c>
      <c r="AD492" s="8" t="b">
        <f>AND(
 H492&gt;=Filters!$B$3,
 H492&lt;=Filters!$B$4,
 I492&gt;=Filters!$B$5,
 OR(Filters!$B$6="All",B492=Filters!$B$6),
 F492&gt;=Filters!$B$7,
 F492&lt;=Filters!$B$8,
 OR(Filters!$B$9="All",G492=Filters!$B$9)
)</f>
        <v>0</v>
      </c>
      <c r="AE492">
        <f t="shared" si="91"/>
        <v>6</v>
      </c>
      <c r="AF492">
        <f t="shared" si="92"/>
        <v>7</v>
      </c>
      <c r="AG492">
        <f t="shared" si="93"/>
        <v>7</v>
      </c>
      <c r="AH492" s="9" t="str">
        <f t="shared" si="94"/>
        <v/>
      </c>
      <c r="AI492" s="9" t="str">
        <f t="shared" si="95"/>
        <v/>
      </c>
      <c r="AJ492" s="9" t="str">
        <f t="shared" si="96"/>
        <v/>
      </c>
      <c r="AK492" s="9" t="str">
        <f t="shared" si="97"/>
        <v/>
      </c>
      <c r="AL492" s="9" t="str">
        <f t="shared" si="98"/>
        <v/>
      </c>
      <c r="AM492" s="9" t="str">
        <f t="shared" si="99"/>
        <v/>
      </c>
      <c r="AN492" s="9" t="str">
        <f t="shared" si="100"/>
        <v/>
      </c>
      <c r="AO492" s="9" t="str">
        <f t="shared" si="101"/>
        <v/>
      </c>
      <c r="AP492" s="9" t="str">
        <f t="shared" si="102"/>
        <v/>
      </c>
      <c r="AQ492" s="10" t="str">
        <f t="shared" si="103"/>
        <v/>
      </c>
    </row>
    <row r="493" spans="1:43">
      <c r="A493">
        <v>492</v>
      </c>
      <c r="B493" t="s">
        <v>35</v>
      </c>
      <c r="C493" t="s">
        <v>826</v>
      </c>
      <c r="D493" t="s">
        <v>827</v>
      </c>
      <c r="E493" t="s">
        <v>83</v>
      </c>
      <c r="G493" t="s">
        <v>18</v>
      </c>
      <c r="H493" s="4">
        <v>75573000</v>
      </c>
      <c r="I493" s="5">
        <v>512</v>
      </c>
      <c r="J493" s="5">
        <v>0</v>
      </c>
      <c r="K493" s="5">
        <v>32</v>
      </c>
      <c r="L493">
        <v>9.4</v>
      </c>
      <c r="M493">
        <v>3.5</v>
      </c>
      <c r="N493">
        <v>6.26</v>
      </c>
      <c r="O493" s="6">
        <v>13.3</v>
      </c>
      <c r="P493" s="7">
        <v>1.05</v>
      </c>
      <c r="U493" t="s">
        <v>84</v>
      </c>
      <c r="V493" t="s">
        <v>140</v>
      </c>
      <c r="W493">
        <v>2.7</v>
      </c>
      <c r="X493" t="s">
        <v>84</v>
      </c>
      <c r="Y493" t="s">
        <v>99</v>
      </c>
      <c r="Z493" t="s">
        <v>106</v>
      </c>
      <c r="AA493" t="s">
        <v>169</v>
      </c>
      <c r="AB493" t="s">
        <v>115</v>
      </c>
      <c r="AC493">
        <v>2799</v>
      </c>
      <c r="AD493" s="8" t="b">
        <f>AND(
 H493&gt;=Filters!$B$3,
 H493&lt;=Filters!$B$4,
 I493&gt;=Filters!$B$5,
 OR(Filters!$B$6="All",B493=Filters!$B$6),
 F493&gt;=Filters!$B$7,
 F493&lt;=Filters!$B$8,
 OR(Filters!$B$9="All",G493=Filters!$B$9)
)</f>
        <v>0</v>
      </c>
      <c r="AE493">
        <f t="shared" si="91"/>
        <v>6</v>
      </c>
      <c r="AF493">
        <f t="shared" si="92"/>
        <v>7</v>
      </c>
      <c r="AG493">
        <f t="shared" si="93"/>
        <v>7</v>
      </c>
      <c r="AH493" s="9" t="str">
        <f t="shared" si="94"/>
        <v/>
      </c>
      <c r="AI493" s="9" t="str">
        <f t="shared" si="95"/>
        <v/>
      </c>
      <c r="AJ493" s="9" t="str">
        <f t="shared" si="96"/>
        <v/>
      </c>
      <c r="AK493" s="9" t="str">
        <f t="shared" si="97"/>
        <v/>
      </c>
      <c r="AL493" s="9" t="str">
        <f t="shared" si="98"/>
        <v/>
      </c>
      <c r="AM493" s="9" t="str">
        <f t="shared" si="99"/>
        <v/>
      </c>
      <c r="AN493" s="9" t="str">
        <f t="shared" si="100"/>
        <v/>
      </c>
      <c r="AO493" s="9" t="str">
        <f t="shared" si="101"/>
        <v/>
      </c>
      <c r="AP493" s="9" t="str">
        <f t="shared" si="102"/>
        <v/>
      </c>
      <c r="AQ493" s="10" t="str">
        <f t="shared" si="103"/>
        <v/>
      </c>
    </row>
    <row r="494" spans="1:43">
      <c r="A494">
        <v>493</v>
      </c>
      <c r="B494" t="s">
        <v>21</v>
      </c>
      <c r="C494" t="s">
        <v>828</v>
      </c>
      <c r="D494" t="s">
        <v>514</v>
      </c>
      <c r="E494" t="s">
        <v>158</v>
      </c>
      <c r="G494" t="s">
        <v>18</v>
      </c>
      <c r="H494" s="4">
        <v>36450000</v>
      </c>
      <c r="I494" s="5">
        <v>128</v>
      </c>
      <c r="J494" s="5">
        <v>1024</v>
      </c>
      <c r="K494" s="5">
        <v>8</v>
      </c>
      <c r="L494">
        <v>9.6</v>
      </c>
      <c r="M494">
        <v>9.1999999999999993</v>
      </c>
      <c r="N494">
        <v>5.92</v>
      </c>
      <c r="O494" s="6">
        <v>15.6</v>
      </c>
      <c r="P494" s="7">
        <v>1.99</v>
      </c>
      <c r="U494" t="s">
        <v>84</v>
      </c>
      <c r="V494" t="s">
        <v>210</v>
      </c>
      <c r="W494">
        <v>2.8</v>
      </c>
      <c r="X494" t="s">
        <v>122</v>
      </c>
      <c r="Y494" t="s">
        <v>160</v>
      </c>
      <c r="Z494" t="s">
        <v>161</v>
      </c>
      <c r="AA494" t="s">
        <v>101</v>
      </c>
      <c r="AB494" t="s">
        <v>115</v>
      </c>
      <c r="AC494">
        <v>1350</v>
      </c>
      <c r="AD494" s="8" t="b">
        <f>AND(
 H494&gt;=Filters!$B$3,
 H494&lt;=Filters!$B$4,
 I494&gt;=Filters!$B$5,
 OR(Filters!$B$6="All",B494=Filters!$B$6),
 F494&gt;=Filters!$B$7,
 F494&lt;=Filters!$B$8,
 OR(Filters!$B$9="All",G494=Filters!$B$9)
)</f>
        <v>0</v>
      </c>
      <c r="AE494">
        <f t="shared" si="91"/>
        <v>6</v>
      </c>
      <c r="AF494">
        <f t="shared" si="92"/>
        <v>7</v>
      </c>
      <c r="AG494">
        <f t="shared" si="93"/>
        <v>7</v>
      </c>
      <c r="AH494" s="9" t="str">
        <f t="shared" si="94"/>
        <v/>
      </c>
      <c r="AI494" s="9" t="str">
        <f t="shared" si="95"/>
        <v/>
      </c>
      <c r="AJ494" s="9" t="str">
        <f t="shared" si="96"/>
        <v/>
      </c>
      <c r="AK494" s="9" t="str">
        <f t="shared" si="97"/>
        <v/>
      </c>
      <c r="AL494" s="9" t="str">
        <f t="shared" si="98"/>
        <v/>
      </c>
      <c r="AM494" s="9" t="str">
        <f t="shared" si="99"/>
        <v/>
      </c>
      <c r="AN494" s="9" t="str">
        <f t="shared" si="100"/>
        <v/>
      </c>
      <c r="AO494" s="9" t="str">
        <f t="shared" si="101"/>
        <v/>
      </c>
      <c r="AP494" s="9" t="str">
        <f t="shared" si="102"/>
        <v/>
      </c>
      <c r="AQ494" s="10" t="str">
        <f t="shared" si="103"/>
        <v/>
      </c>
    </row>
    <row r="495" spans="1:43">
      <c r="A495">
        <v>494</v>
      </c>
      <c r="B495" t="s">
        <v>17</v>
      </c>
      <c r="C495" t="s">
        <v>301</v>
      </c>
      <c r="D495" t="s">
        <v>302</v>
      </c>
      <c r="E495" t="s">
        <v>97</v>
      </c>
      <c r="G495" t="s">
        <v>18</v>
      </c>
      <c r="H495" s="4">
        <v>15633000</v>
      </c>
      <c r="I495" s="5">
        <v>0</v>
      </c>
      <c r="J495" s="5">
        <v>1024</v>
      </c>
      <c r="K495" s="5">
        <v>8</v>
      </c>
      <c r="L495">
        <v>6</v>
      </c>
      <c r="M495">
        <v>8</v>
      </c>
      <c r="N495">
        <v>3.92</v>
      </c>
      <c r="O495" s="6">
        <v>15.6</v>
      </c>
      <c r="P495" s="7">
        <v>2.2000000000000002</v>
      </c>
      <c r="U495" t="s">
        <v>104</v>
      </c>
      <c r="V495" t="s">
        <v>829</v>
      </c>
      <c r="W495">
        <v>2.5</v>
      </c>
      <c r="X495" t="s">
        <v>104</v>
      </c>
      <c r="Y495" t="s">
        <v>619</v>
      </c>
      <c r="Z495" t="s">
        <v>146</v>
      </c>
      <c r="AA495" t="s">
        <v>114</v>
      </c>
      <c r="AB495" t="s">
        <v>115</v>
      </c>
      <c r="AC495">
        <v>579</v>
      </c>
      <c r="AD495" s="8" t="b">
        <f>AND(
 H495&gt;=Filters!$B$3,
 H495&lt;=Filters!$B$4,
 I495&gt;=Filters!$B$5,
 OR(Filters!$B$6="All",B495=Filters!$B$6),
 F495&gt;=Filters!$B$7,
 F495&lt;=Filters!$B$8,
 OR(Filters!$B$9="All",G495=Filters!$B$9)
)</f>
        <v>0</v>
      </c>
      <c r="AE495">
        <f t="shared" si="91"/>
        <v>6</v>
      </c>
      <c r="AF495">
        <f t="shared" si="92"/>
        <v>7</v>
      </c>
      <c r="AG495">
        <f t="shared" si="93"/>
        <v>7</v>
      </c>
      <c r="AH495" s="9" t="str">
        <f t="shared" si="94"/>
        <v/>
      </c>
      <c r="AI495" s="9" t="str">
        <f t="shared" si="95"/>
        <v/>
      </c>
      <c r="AJ495" s="9" t="str">
        <f t="shared" si="96"/>
        <v/>
      </c>
      <c r="AK495" s="9" t="str">
        <f t="shared" si="97"/>
        <v/>
      </c>
      <c r="AL495" s="9" t="str">
        <f t="shared" si="98"/>
        <v/>
      </c>
      <c r="AM495" s="9" t="str">
        <f t="shared" si="99"/>
        <v/>
      </c>
      <c r="AN495" s="9" t="str">
        <f t="shared" si="100"/>
        <v/>
      </c>
      <c r="AO495" s="9" t="str">
        <f t="shared" si="101"/>
        <v/>
      </c>
      <c r="AP495" s="9" t="str">
        <f t="shared" si="102"/>
        <v/>
      </c>
      <c r="AQ495" s="10" t="str">
        <f t="shared" si="103"/>
        <v/>
      </c>
    </row>
    <row r="496" spans="1:43">
      <c r="A496">
        <v>495</v>
      </c>
      <c r="B496" t="s">
        <v>21</v>
      </c>
      <c r="C496" t="s">
        <v>830</v>
      </c>
      <c r="D496" t="s">
        <v>831</v>
      </c>
      <c r="E496" t="s">
        <v>158</v>
      </c>
      <c r="G496" t="s">
        <v>18</v>
      </c>
      <c r="H496" s="4">
        <v>34263000</v>
      </c>
      <c r="I496" s="5">
        <v>256</v>
      </c>
      <c r="J496" s="5">
        <v>1024</v>
      </c>
      <c r="K496" s="5">
        <v>24</v>
      </c>
      <c r="L496">
        <v>9.1999999999999993</v>
      </c>
      <c r="M496">
        <v>9.1999999999999993</v>
      </c>
      <c r="N496">
        <v>6.54</v>
      </c>
      <c r="O496" s="6">
        <v>17.3</v>
      </c>
      <c r="P496" s="7">
        <v>4.33</v>
      </c>
      <c r="U496" t="s">
        <v>84</v>
      </c>
      <c r="V496" t="s">
        <v>808</v>
      </c>
      <c r="W496">
        <v>2.6</v>
      </c>
      <c r="X496" t="s">
        <v>122</v>
      </c>
      <c r="Y496" t="s">
        <v>832</v>
      </c>
      <c r="Z496" t="s">
        <v>212</v>
      </c>
      <c r="AA496" t="s">
        <v>149</v>
      </c>
      <c r="AB496" t="s">
        <v>115</v>
      </c>
      <c r="AC496">
        <v>1269</v>
      </c>
      <c r="AD496" s="8" t="b">
        <f>AND(
 H496&gt;=Filters!$B$3,
 H496&lt;=Filters!$B$4,
 I496&gt;=Filters!$B$5,
 OR(Filters!$B$6="All",B496=Filters!$B$6),
 F496&gt;=Filters!$B$7,
 F496&lt;=Filters!$B$8,
 OR(Filters!$B$9="All",G496=Filters!$B$9)
)</f>
        <v>0</v>
      </c>
      <c r="AE496">
        <f t="shared" si="91"/>
        <v>6</v>
      </c>
      <c r="AF496">
        <f t="shared" si="92"/>
        <v>7</v>
      </c>
      <c r="AG496">
        <f t="shared" si="93"/>
        <v>7</v>
      </c>
      <c r="AH496" s="9" t="str">
        <f t="shared" si="94"/>
        <v/>
      </c>
      <c r="AI496" s="9" t="str">
        <f t="shared" si="95"/>
        <v/>
      </c>
      <c r="AJ496" s="9" t="str">
        <f t="shared" si="96"/>
        <v/>
      </c>
      <c r="AK496" s="9" t="str">
        <f t="shared" si="97"/>
        <v/>
      </c>
      <c r="AL496" s="9" t="str">
        <f t="shared" si="98"/>
        <v/>
      </c>
      <c r="AM496" s="9" t="str">
        <f t="shared" si="99"/>
        <v/>
      </c>
      <c r="AN496" s="9" t="str">
        <f t="shared" si="100"/>
        <v/>
      </c>
      <c r="AO496" s="9" t="str">
        <f t="shared" si="101"/>
        <v/>
      </c>
      <c r="AP496" s="9" t="str">
        <f t="shared" si="102"/>
        <v/>
      </c>
      <c r="AQ496" s="10" t="str">
        <f t="shared" si="103"/>
        <v/>
      </c>
    </row>
    <row r="497" spans="1:43">
      <c r="A497">
        <v>496</v>
      </c>
      <c r="B497" t="s">
        <v>29</v>
      </c>
      <c r="C497" t="s">
        <v>833</v>
      </c>
      <c r="D497" t="s">
        <v>834</v>
      </c>
      <c r="E497" t="s">
        <v>83</v>
      </c>
      <c r="G497" t="s">
        <v>18</v>
      </c>
      <c r="H497" s="4">
        <v>29673000</v>
      </c>
      <c r="I497" s="5">
        <v>180</v>
      </c>
      <c r="J497" s="5">
        <v>0</v>
      </c>
      <c r="K497" s="5">
        <v>8</v>
      </c>
      <c r="L497">
        <v>6.6</v>
      </c>
      <c r="M497">
        <v>3.5</v>
      </c>
      <c r="N497">
        <v>4.33</v>
      </c>
      <c r="O497" s="6">
        <v>12.5</v>
      </c>
      <c r="P497" s="7">
        <v>1.3</v>
      </c>
      <c r="U497" t="s">
        <v>84</v>
      </c>
      <c r="V497" t="s">
        <v>375</v>
      </c>
      <c r="W497">
        <v>2.2999999999999998</v>
      </c>
      <c r="X497" t="s">
        <v>84</v>
      </c>
      <c r="Y497" t="s">
        <v>130</v>
      </c>
      <c r="Z497" t="s">
        <v>813</v>
      </c>
      <c r="AA497" t="s">
        <v>338</v>
      </c>
      <c r="AB497" t="s">
        <v>115</v>
      </c>
      <c r="AC497">
        <v>1099</v>
      </c>
      <c r="AD497" s="8" t="b">
        <f>AND(
 H497&gt;=Filters!$B$3,
 H497&lt;=Filters!$B$4,
 I497&gt;=Filters!$B$5,
 OR(Filters!$B$6="All",B497=Filters!$B$6),
 F497&gt;=Filters!$B$7,
 F497&lt;=Filters!$B$8,
 OR(Filters!$B$9="All",G497=Filters!$B$9)
)</f>
        <v>0</v>
      </c>
      <c r="AE497">
        <f t="shared" si="91"/>
        <v>6</v>
      </c>
      <c r="AF497">
        <f t="shared" si="92"/>
        <v>7</v>
      </c>
      <c r="AG497">
        <f t="shared" si="93"/>
        <v>7</v>
      </c>
      <c r="AH497" s="9" t="str">
        <f t="shared" si="94"/>
        <v/>
      </c>
      <c r="AI497" s="9" t="str">
        <f t="shared" si="95"/>
        <v/>
      </c>
      <c r="AJ497" s="9" t="str">
        <f t="shared" si="96"/>
        <v/>
      </c>
      <c r="AK497" s="9" t="str">
        <f t="shared" si="97"/>
        <v/>
      </c>
      <c r="AL497" s="9" t="str">
        <f t="shared" si="98"/>
        <v/>
      </c>
      <c r="AM497" s="9" t="str">
        <f t="shared" si="99"/>
        <v/>
      </c>
      <c r="AN497" s="9" t="str">
        <f t="shared" si="100"/>
        <v/>
      </c>
      <c r="AO497" s="9" t="str">
        <f t="shared" si="101"/>
        <v/>
      </c>
      <c r="AP497" s="9" t="str">
        <f t="shared" si="102"/>
        <v/>
      </c>
      <c r="AQ497" s="10" t="str">
        <f t="shared" si="103"/>
        <v/>
      </c>
    </row>
    <row r="498" spans="1:43">
      <c r="A498">
        <v>497</v>
      </c>
      <c r="B498" t="s">
        <v>29</v>
      </c>
      <c r="C498" t="s">
        <v>835</v>
      </c>
      <c r="D498" t="s">
        <v>836</v>
      </c>
      <c r="E498" t="s">
        <v>97</v>
      </c>
      <c r="G498" t="s">
        <v>18</v>
      </c>
      <c r="H498" s="4">
        <v>24270300</v>
      </c>
      <c r="I498" s="5">
        <v>256</v>
      </c>
      <c r="J498" s="5">
        <v>0</v>
      </c>
      <c r="K498" s="5">
        <v>8</v>
      </c>
      <c r="L498">
        <v>7.6</v>
      </c>
      <c r="M498">
        <v>3.8</v>
      </c>
      <c r="N498">
        <v>5.92</v>
      </c>
      <c r="O498" s="6">
        <v>15.6</v>
      </c>
      <c r="P498" s="7">
        <v>2.17</v>
      </c>
      <c r="U498" t="s">
        <v>84</v>
      </c>
      <c r="V498" t="s">
        <v>121</v>
      </c>
      <c r="W498">
        <v>1.8</v>
      </c>
      <c r="X498" t="s">
        <v>84</v>
      </c>
      <c r="Y498" t="s">
        <v>127</v>
      </c>
      <c r="Z498" t="s">
        <v>100</v>
      </c>
      <c r="AA498" t="s">
        <v>101</v>
      </c>
      <c r="AB498" t="s">
        <v>115</v>
      </c>
      <c r="AC498">
        <v>898.9</v>
      </c>
      <c r="AD498" s="8" t="b">
        <f>AND(
 H498&gt;=Filters!$B$3,
 H498&lt;=Filters!$B$4,
 I498&gt;=Filters!$B$5,
 OR(Filters!$B$6="All",B498=Filters!$B$6),
 F498&gt;=Filters!$B$7,
 F498&lt;=Filters!$B$8,
 OR(Filters!$B$9="All",G498=Filters!$B$9)
)</f>
        <v>1</v>
      </c>
      <c r="AE498">
        <f t="shared" si="91"/>
        <v>6</v>
      </c>
      <c r="AF498">
        <f t="shared" si="92"/>
        <v>7</v>
      </c>
      <c r="AG498">
        <f t="shared" si="93"/>
        <v>7</v>
      </c>
      <c r="AH498" s="9">
        <f t="shared" si="94"/>
        <v>0.76190476190476186</v>
      </c>
      <c r="AI498" s="9">
        <f t="shared" si="95"/>
        <v>0.80952380952380942</v>
      </c>
      <c r="AJ498" s="9">
        <f t="shared" si="96"/>
        <v>0.30952380952380948</v>
      </c>
      <c r="AK498" s="9">
        <f t="shared" si="97"/>
        <v>0.56190476190476191</v>
      </c>
      <c r="AL498" s="9">
        <f t="shared" si="98"/>
        <v>0.88452380952380949</v>
      </c>
      <c r="AM498" s="9">
        <f t="shared" si="99"/>
        <v>0.5714285714285714</v>
      </c>
      <c r="AN498" s="9">
        <f t="shared" si="100"/>
        <v>0.69047619047619047</v>
      </c>
      <c r="AO498" s="9">
        <f t="shared" si="101"/>
        <v>0.69047619047619047</v>
      </c>
      <c r="AP498" s="9">
        <f t="shared" si="102"/>
        <v>0.68457006576221469</v>
      </c>
      <c r="AQ498" s="10">
        <f t="shared" si="103"/>
        <v>0.6845705637622147</v>
      </c>
    </row>
    <row r="499" spans="1:43">
      <c r="A499">
        <v>498</v>
      </c>
      <c r="B499" t="s">
        <v>26</v>
      </c>
      <c r="C499" t="s">
        <v>632</v>
      </c>
      <c r="D499" t="s">
        <v>399</v>
      </c>
      <c r="E499" t="s">
        <v>97</v>
      </c>
      <c r="G499" t="s">
        <v>18</v>
      </c>
      <c r="H499" s="4">
        <v>47223000</v>
      </c>
      <c r="I499" s="5">
        <v>1024</v>
      </c>
      <c r="J499" s="5">
        <v>0</v>
      </c>
      <c r="K499" s="5">
        <v>8</v>
      </c>
      <c r="L499">
        <v>9.6</v>
      </c>
      <c r="M499">
        <v>3.5</v>
      </c>
      <c r="N499">
        <v>6</v>
      </c>
      <c r="O499" s="6">
        <v>14</v>
      </c>
      <c r="P499" s="7">
        <v>1.48</v>
      </c>
      <c r="U499" t="s">
        <v>84</v>
      </c>
      <c r="V499" t="s">
        <v>592</v>
      </c>
      <c r="W499">
        <v>2.8</v>
      </c>
      <c r="X499" t="s">
        <v>84</v>
      </c>
      <c r="Y499" t="s">
        <v>99</v>
      </c>
      <c r="Z499" t="s">
        <v>445</v>
      </c>
      <c r="AA499" t="s">
        <v>101</v>
      </c>
      <c r="AB499" t="s">
        <v>115</v>
      </c>
      <c r="AC499">
        <v>1749</v>
      </c>
      <c r="AD499" s="8" t="b">
        <f>AND(
 H499&gt;=Filters!$B$3,
 H499&lt;=Filters!$B$4,
 I499&gt;=Filters!$B$5,
 OR(Filters!$B$6="All",B499=Filters!$B$6),
 F499&gt;=Filters!$B$7,
 F499&lt;=Filters!$B$8,
 OR(Filters!$B$9="All",G499=Filters!$B$9)
)</f>
        <v>0</v>
      </c>
      <c r="AE499">
        <f t="shared" si="91"/>
        <v>6</v>
      </c>
      <c r="AF499">
        <f t="shared" si="92"/>
        <v>7</v>
      </c>
      <c r="AG499">
        <f t="shared" si="93"/>
        <v>7</v>
      </c>
      <c r="AH499" s="9" t="str">
        <f t="shared" si="94"/>
        <v/>
      </c>
      <c r="AI499" s="9" t="str">
        <f t="shared" si="95"/>
        <v/>
      </c>
      <c r="AJ499" s="9" t="str">
        <f t="shared" si="96"/>
        <v/>
      </c>
      <c r="AK499" s="9" t="str">
        <f t="shared" si="97"/>
        <v/>
      </c>
      <c r="AL499" s="9" t="str">
        <f t="shared" si="98"/>
        <v/>
      </c>
      <c r="AM499" s="9" t="str">
        <f t="shared" si="99"/>
        <v/>
      </c>
      <c r="AN499" s="9" t="str">
        <f t="shared" si="100"/>
        <v/>
      </c>
      <c r="AO499" s="9" t="str">
        <f t="shared" si="101"/>
        <v/>
      </c>
      <c r="AP499" s="9" t="str">
        <f t="shared" si="102"/>
        <v/>
      </c>
      <c r="AQ499" s="10" t="str">
        <f t="shared" si="103"/>
        <v/>
      </c>
    </row>
    <row r="500" spans="1:43">
      <c r="A500">
        <v>499</v>
      </c>
      <c r="B500" t="s">
        <v>29</v>
      </c>
      <c r="C500" t="s">
        <v>602</v>
      </c>
      <c r="D500" t="s">
        <v>603</v>
      </c>
      <c r="E500" t="s">
        <v>97</v>
      </c>
      <c r="G500" t="s">
        <v>18</v>
      </c>
      <c r="H500" s="4">
        <v>25623000</v>
      </c>
      <c r="I500" s="5">
        <v>256</v>
      </c>
      <c r="J500" s="5">
        <v>0</v>
      </c>
      <c r="K500" s="5">
        <v>8</v>
      </c>
      <c r="L500">
        <v>4.8</v>
      </c>
      <c r="M500">
        <v>3.5</v>
      </c>
      <c r="N500">
        <v>6.37</v>
      </c>
      <c r="O500" s="6">
        <v>13.3</v>
      </c>
      <c r="P500" s="7">
        <v>1.4</v>
      </c>
      <c r="U500" t="s">
        <v>84</v>
      </c>
      <c r="V500" t="s">
        <v>144</v>
      </c>
      <c r="W500">
        <v>2.4</v>
      </c>
      <c r="X500" t="s">
        <v>84</v>
      </c>
      <c r="Y500" t="s">
        <v>99</v>
      </c>
      <c r="Z500" t="s">
        <v>100</v>
      </c>
      <c r="AA500" t="s">
        <v>128</v>
      </c>
      <c r="AB500" t="s">
        <v>115</v>
      </c>
      <c r="AC500">
        <v>949</v>
      </c>
      <c r="AD500" s="8" t="b">
        <f>AND(
 H500&gt;=Filters!$B$3,
 H500&lt;=Filters!$B$4,
 I500&gt;=Filters!$B$5,
 OR(Filters!$B$6="All",B500=Filters!$B$6),
 F500&gt;=Filters!$B$7,
 F500&lt;=Filters!$B$8,
 OR(Filters!$B$9="All",G500=Filters!$B$9)
)</f>
        <v>0</v>
      </c>
      <c r="AE500">
        <f t="shared" si="91"/>
        <v>6</v>
      </c>
      <c r="AF500">
        <f t="shared" si="92"/>
        <v>7</v>
      </c>
      <c r="AG500">
        <f t="shared" si="93"/>
        <v>7</v>
      </c>
      <c r="AH500" s="9" t="str">
        <f t="shared" si="94"/>
        <v/>
      </c>
      <c r="AI500" s="9" t="str">
        <f t="shared" si="95"/>
        <v/>
      </c>
      <c r="AJ500" s="9" t="str">
        <f t="shared" si="96"/>
        <v/>
      </c>
      <c r="AK500" s="9" t="str">
        <f t="shared" si="97"/>
        <v/>
      </c>
      <c r="AL500" s="9" t="str">
        <f t="shared" si="98"/>
        <v/>
      </c>
      <c r="AM500" s="9" t="str">
        <f t="shared" si="99"/>
        <v/>
      </c>
      <c r="AN500" s="9" t="str">
        <f t="shared" si="100"/>
        <v/>
      </c>
      <c r="AO500" s="9" t="str">
        <f t="shared" si="101"/>
        <v/>
      </c>
      <c r="AP500" s="9" t="str">
        <f t="shared" si="102"/>
        <v/>
      </c>
      <c r="AQ500" s="10" t="str">
        <f t="shared" si="103"/>
        <v/>
      </c>
    </row>
    <row r="501" spans="1:43">
      <c r="A501">
        <v>500</v>
      </c>
      <c r="B501" t="s">
        <v>29</v>
      </c>
      <c r="C501" t="s">
        <v>837</v>
      </c>
      <c r="D501" t="s">
        <v>838</v>
      </c>
      <c r="E501" t="s">
        <v>97</v>
      </c>
      <c r="G501" t="s">
        <v>18</v>
      </c>
      <c r="H501" s="4">
        <v>24597000</v>
      </c>
      <c r="I501" s="5">
        <v>256</v>
      </c>
      <c r="J501" s="5">
        <v>0</v>
      </c>
      <c r="K501" s="5">
        <v>8</v>
      </c>
      <c r="L501">
        <v>7</v>
      </c>
      <c r="M501">
        <v>3.5</v>
      </c>
      <c r="N501">
        <v>6.32</v>
      </c>
      <c r="O501" s="6">
        <v>15.6</v>
      </c>
      <c r="P501" s="7">
        <v>2.2999999999999998</v>
      </c>
      <c r="U501" t="s">
        <v>84</v>
      </c>
      <c r="V501" t="s">
        <v>98</v>
      </c>
      <c r="W501">
        <v>2.5</v>
      </c>
      <c r="X501" t="s">
        <v>84</v>
      </c>
      <c r="Y501" t="s">
        <v>99</v>
      </c>
      <c r="Z501" t="s">
        <v>100</v>
      </c>
      <c r="AA501" t="s">
        <v>128</v>
      </c>
      <c r="AB501" t="s">
        <v>115</v>
      </c>
      <c r="AC501">
        <v>911</v>
      </c>
      <c r="AD501" s="8" t="b">
        <f>AND(
 H501&gt;=Filters!$B$3,
 H501&lt;=Filters!$B$4,
 I501&gt;=Filters!$B$5,
 OR(Filters!$B$6="All",B501=Filters!$B$6),
 F501&gt;=Filters!$B$7,
 F501&lt;=Filters!$B$8,
 OR(Filters!$B$9="All",G501=Filters!$B$9)
)</f>
        <v>1</v>
      </c>
      <c r="AE501">
        <f t="shared" si="91"/>
        <v>6</v>
      </c>
      <c r="AF501">
        <f t="shared" si="92"/>
        <v>7</v>
      </c>
      <c r="AG501">
        <f t="shared" si="93"/>
        <v>7</v>
      </c>
      <c r="AH501" s="9">
        <f t="shared" si="94"/>
        <v>0.69047619047619047</v>
      </c>
      <c r="AI501" s="9">
        <f t="shared" si="95"/>
        <v>0.80952380952380942</v>
      </c>
      <c r="AJ501" s="9">
        <f t="shared" si="96"/>
        <v>0.27380952380952378</v>
      </c>
      <c r="AK501" s="9">
        <f t="shared" si="97"/>
        <v>0.60952380952380947</v>
      </c>
      <c r="AL501" s="9">
        <f t="shared" si="98"/>
        <v>0.86904761904761896</v>
      </c>
      <c r="AM501" s="9">
        <f t="shared" si="99"/>
        <v>0.5714285714285714</v>
      </c>
      <c r="AN501" s="9">
        <f t="shared" si="100"/>
        <v>0.69047619047619047</v>
      </c>
      <c r="AO501" s="9">
        <f t="shared" si="101"/>
        <v>0.69047619047619047</v>
      </c>
      <c r="AP501" s="9">
        <f t="shared" si="102"/>
        <v>0.67043366414931838</v>
      </c>
      <c r="AQ501" s="10">
        <f t="shared" si="103"/>
        <v>0.67043416514931842</v>
      </c>
    </row>
    <row r="502" spans="1:43">
      <c r="A502">
        <v>501</v>
      </c>
      <c r="B502" t="s">
        <v>21</v>
      </c>
      <c r="C502" t="s">
        <v>839</v>
      </c>
      <c r="D502" t="s">
        <v>840</v>
      </c>
      <c r="E502" t="s">
        <v>152</v>
      </c>
      <c r="G502" t="s">
        <v>18</v>
      </c>
      <c r="H502" s="4">
        <v>9180000</v>
      </c>
      <c r="I502" s="5">
        <v>64</v>
      </c>
      <c r="J502" s="5">
        <v>0</v>
      </c>
      <c r="K502" s="5">
        <v>4</v>
      </c>
      <c r="L502">
        <v>1</v>
      </c>
      <c r="M502">
        <v>3.5</v>
      </c>
      <c r="N502">
        <v>3.88</v>
      </c>
      <c r="O502" s="6">
        <v>11.6</v>
      </c>
      <c r="P502" s="7">
        <v>1.2</v>
      </c>
      <c r="U502" t="s">
        <v>84</v>
      </c>
      <c r="V502" t="s">
        <v>198</v>
      </c>
      <c r="W502">
        <v>1.1000000000000001</v>
      </c>
      <c r="X502" t="s">
        <v>84</v>
      </c>
      <c r="Y502" t="s">
        <v>199</v>
      </c>
      <c r="Z502" t="s">
        <v>188</v>
      </c>
      <c r="AA502" t="s">
        <v>114</v>
      </c>
      <c r="AB502" t="s">
        <v>272</v>
      </c>
      <c r="AC502">
        <v>340</v>
      </c>
      <c r="AD502" s="8" t="b">
        <f>AND(
 H502&gt;=Filters!$B$3,
 H502&lt;=Filters!$B$4,
 I502&gt;=Filters!$B$5,
 OR(Filters!$B$6="All",B502=Filters!$B$6),
 F502&gt;=Filters!$B$7,
 F502&lt;=Filters!$B$8,
 OR(Filters!$B$9="All",G502=Filters!$B$9)
)</f>
        <v>0</v>
      </c>
      <c r="AE502">
        <f t="shared" si="91"/>
        <v>6</v>
      </c>
      <c r="AF502">
        <f t="shared" si="92"/>
        <v>7</v>
      </c>
      <c r="AG502">
        <f t="shared" si="93"/>
        <v>7</v>
      </c>
      <c r="AH502" s="9" t="str">
        <f t="shared" si="94"/>
        <v/>
      </c>
      <c r="AI502" s="9" t="str">
        <f t="shared" si="95"/>
        <v/>
      </c>
      <c r="AJ502" s="9" t="str">
        <f t="shared" si="96"/>
        <v/>
      </c>
      <c r="AK502" s="9" t="str">
        <f t="shared" si="97"/>
        <v/>
      </c>
      <c r="AL502" s="9" t="str">
        <f t="shared" si="98"/>
        <v/>
      </c>
      <c r="AM502" s="9" t="str">
        <f t="shared" si="99"/>
        <v/>
      </c>
      <c r="AN502" s="9" t="str">
        <f t="shared" si="100"/>
        <v/>
      </c>
      <c r="AO502" s="9" t="str">
        <f t="shared" si="101"/>
        <v/>
      </c>
      <c r="AP502" s="9" t="str">
        <f t="shared" si="102"/>
        <v/>
      </c>
      <c r="AQ502" s="10" t="str">
        <f t="shared" si="103"/>
        <v/>
      </c>
    </row>
    <row r="503" spans="1:43">
      <c r="A503">
        <v>502</v>
      </c>
      <c r="B503" t="s">
        <v>26</v>
      </c>
      <c r="C503" t="s">
        <v>841</v>
      </c>
      <c r="D503" t="s">
        <v>842</v>
      </c>
      <c r="E503" t="s">
        <v>97</v>
      </c>
      <c r="G503" t="s">
        <v>18</v>
      </c>
      <c r="H503" s="4">
        <v>16712730</v>
      </c>
      <c r="I503" s="5">
        <v>256</v>
      </c>
      <c r="J503" s="5">
        <v>0</v>
      </c>
      <c r="K503" s="5">
        <v>8</v>
      </c>
      <c r="L503">
        <v>7</v>
      </c>
      <c r="M503">
        <v>6.5</v>
      </c>
      <c r="N503">
        <v>3.92</v>
      </c>
      <c r="O503" s="6">
        <v>15.6</v>
      </c>
      <c r="P503" s="7">
        <v>1.91</v>
      </c>
      <c r="U503" t="s">
        <v>84</v>
      </c>
      <c r="V503" t="s">
        <v>98</v>
      </c>
      <c r="W503">
        <v>2.5</v>
      </c>
      <c r="X503" t="s">
        <v>104</v>
      </c>
      <c r="Y503" t="s">
        <v>241</v>
      </c>
      <c r="Z503" t="s">
        <v>100</v>
      </c>
      <c r="AA503" t="s">
        <v>114</v>
      </c>
      <c r="AB503" t="s">
        <v>115</v>
      </c>
      <c r="AC503">
        <v>618.99</v>
      </c>
      <c r="AD503" s="8" t="b">
        <f>AND(
 H503&gt;=Filters!$B$3,
 H503&lt;=Filters!$B$4,
 I503&gt;=Filters!$B$5,
 OR(Filters!$B$6="All",B503=Filters!$B$6),
 F503&gt;=Filters!$B$7,
 F503&lt;=Filters!$B$8,
 OR(Filters!$B$9="All",G503=Filters!$B$9)
)</f>
        <v>1</v>
      </c>
      <c r="AE503">
        <f t="shared" si="91"/>
        <v>6</v>
      </c>
      <c r="AF503">
        <f t="shared" si="92"/>
        <v>7</v>
      </c>
      <c r="AG503">
        <f t="shared" si="93"/>
        <v>7</v>
      </c>
      <c r="AH503" s="9">
        <f t="shared" si="94"/>
        <v>0.69047619047619047</v>
      </c>
      <c r="AI503" s="9">
        <f t="shared" si="95"/>
        <v>0.80952380952380942</v>
      </c>
      <c r="AJ503" s="9">
        <f t="shared" si="96"/>
        <v>0.63095238095238093</v>
      </c>
      <c r="AK503" s="9">
        <f t="shared" si="97"/>
        <v>0.32380952380952377</v>
      </c>
      <c r="AL503" s="9">
        <f t="shared" si="98"/>
        <v>0.91547619047619033</v>
      </c>
      <c r="AM503" s="9">
        <f t="shared" si="99"/>
        <v>0.5714285714285714</v>
      </c>
      <c r="AN503" s="9">
        <f t="shared" si="100"/>
        <v>0.69047619047619047</v>
      </c>
      <c r="AO503" s="9">
        <f t="shared" si="101"/>
        <v>0.69047619047619047</v>
      </c>
      <c r="AP503" s="9">
        <f t="shared" si="102"/>
        <v>0.67276848769121822</v>
      </c>
      <c r="AQ503" s="10">
        <f t="shared" si="103"/>
        <v>0.6727689906912182</v>
      </c>
    </row>
    <row r="504" spans="1:43">
      <c r="A504">
        <v>503</v>
      </c>
      <c r="B504" t="s">
        <v>29</v>
      </c>
      <c r="C504" t="s">
        <v>432</v>
      </c>
      <c r="D504" t="s">
        <v>433</v>
      </c>
      <c r="E504" t="s">
        <v>168</v>
      </c>
      <c r="G504" t="s">
        <v>18</v>
      </c>
      <c r="H504" s="4">
        <v>43173000</v>
      </c>
      <c r="I504" s="5">
        <v>256</v>
      </c>
      <c r="J504" s="5">
        <v>0</v>
      </c>
      <c r="K504" s="5">
        <v>8</v>
      </c>
      <c r="L504">
        <v>5.2</v>
      </c>
      <c r="M504">
        <v>3.8</v>
      </c>
      <c r="N504">
        <v>6.7</v>
      </c>
      <c r="O504" s="6">
        <v>13.9</v>
      </c>
      <c r="P504" s="7">
        <v>1.4</v>
      </c>
      <c r="U504" t="s">
        <v>84</v>
      </c>
      <c r="V504" t="s">
        <v>126</v>
      </c>
      <c r="W504">
        <v>1.6</v>
      </c>
      <c r="X504" t="s">
        <v>84</v>
      </c>
      <c r="Y504" t="s">
        <v>127</v>
      </c>
      <c r="Z504" t="s">
        <v>100</v>
      </c>
      <c r="AA504" t="s">
        <v>149</v>
      </c>
      <c r="AB504" t="s">
        <v>115</v>
      </c>
      <c r="AC504">
        <v>1599</v>
      </c>
      <c r="AD504" s="8" t="b">
        <f>AND(
 H504&gt;=Filters!$B$3,
 H504&lt;=Filters!$B$4,
 I504&gt;=Filters!$B$5,
 OR(Filters!$B$6="All",B504=Filters!$B$6),
 F504&gt;=Filters!$B$7,
 F504&lt;=Filters!$B$8,
 OR(Filters!$B$9="All",G504=Filters!$B$9)
)</f>
        <v>0</v>
      </c>
      <c r="AE504">
        <f t="shared" si="91"/>
        <v>6</v>
      </c>
      <c r="AF504">
        <f t="shared" si="92"/>
        <v>7</v>
      </c>
      <c r="AG504">
        <f t="shared" si="93"/>
        <v>7</v>
      </c>
      <c r="AH504" s="9" t="str">
        <f t="shared" si="94"/>
        <v/>
      </c>
      <c r="AI504" s="9" t="str">
        <f t="shared" si="95"/>
        <v/>
      </c>
      <c r="AJ504" s="9" t="str">
        <f t="shared" si="96"/>
        <v/>
      </c>
      <c r="AK504" s="9" t="str">
        <f t="shared" si="97"/>
        <v/>
      </c>
      <c r="AL504" s="9" t="str">
        <f t="shared" si="98"/>
        <v/>
      </c>
      <c r="AM504" s="9" t="str">
        <f t="shared" si="99"/>
        <v/>
      </c>
      <c r="AN504" s="9" t="str">
        <f t="shared" si="100"/>
        <v/>
      </c>
      <c r="AO504" s="9" t="str">
        <f t="shared" si="101"/>
        <v/>
      </c>
      <c r="AP504" s="9" t="str">
        <f t="shared" si="102"/>
        <v/>
      </c>
      <c r="AQ504" s="10" t="str">
        <f t="shared" si="103"/>
        <v/>
      </c>
    </row>
    <row r="505" spans="1:43">
      <c r="A505">
        <v>504</v>
      </c>
      <c r="B505" t="s">
        <v>29</v>
      </c>
      <c r="C505" t="s">
        <v>843</v>
      </c>
      <c r="D505" t="s">
        <v>844</v>
      </c>
      <c r="E505" t="s">
        <v>97</v>
      </c>
      <c r="G505" t="s">
        <v>18</v>
      </c>
      <c r="H505" s="4">
        <v>8073000</v>
      </c>
      <c r="I505" s="5">
        <v>0</v>
      </c>
      <c r="J505" s="5">
        <v>500</v>
      </c>
      <c r="K505" s="5">
        <v>4</v>
      </c>
      <c r="L505">
        <v>1</v>
      </c>
      <c r="M505">
        <v>3.5</v>
      </c>
      <c r="N505">
        <v>4</v>
      </c>
      <c r="O505" s="6">
        <v>14</v>
      </c>
      <c r="P505" s="7">
        <v>2.1</v>
      </c>
      <c r="U505" t="s">
        <v>84</v>
      </c>
      <c r="V505" t="s">
        <v>198</v>
      </c>
      <c r="W505">
        <v>1.1000000000000001</v>
      </c>
      <c r="X505" t="s">
        <v>84</v>
      </c>
      <c r="Y505" t="s">
        <v>199</v>
      </c>
      <c r="Z505" t="s">
        <v>113</v>
      </c>
      <c r="AA505" t="s">
        <v>114</v>
      </c>
      <c r="AB505" t="s">
        <v>115</v>
      </c>
      <c r="AC505">
        <v>299</v>
      </c>
      <c r="AD505" s="8" t="b">
        <f>AND(
 H505&gt;=Filters!$B$3,
 H505&lt;=Filters!$B$4,
 I505&gt;=Filters!$B$5,
 OR(Filters!$B$6="All",B505=Filters!$B$6),
 F505&gt;=Filters!$B$7,
 F505&lt;=Filters!$B$8,
 OR(Filters!$B$9="All",G505=Filters!$B$9)
)</f>
        <v>0</v>
      </c>
      <c r="AE505">
        <f t="shared" si="91"/>
        <v>6</v>
      </c>
      <c r="AF505">
        <f t="shared" si="92"/>
        <v>7</v>
      </c>
      <c r="AG505">
        <f t="shared" si="93"/>
        <v>7</v>
      </c>
      <c r="AH505" s="9" t="str">
        <f t="shared" si="94"/>
        <v/>
      </c>
      <c r="AI505" s="9" t="str">
        <f t="shared" si="95"/>
        <v/>
      </c>
      <c r="AJ505" s="9" t="str">
        <f t="shared" si="96"/>
        <v/>
      </c>
      <c r="AK505" s="9" t="str">
        <f t="shared" si="97"/>
        <v/>
      </c>
      <c r="AL505" s="9" t="str">
        <f t="shared" si="98"/>
        <v/>
      </c>
      <c r="AM505" s="9" t="str">
        <f t="shared" si="99"/>
        <v/>
      </c>
      <c r="AN505" s="9" t="str">
        <f t="shared" si="100"/>
        <v/>
      </c>
      <c r="AO505" s="9" t="str">
        <f t="shared" si="101"/>
        <v/>
      </c>
      <c r="AP505" s="9" t="str">
        <f t="shared" si="102"/>
        <v/>
      </c>
      <c r="AQ505" s="10" t="str">
        <f t="shared" si="103"/>
        <v/>
      </c>
    </row>
    <row r="506" spans="1:43">
      <c r="A506">
        <v>505</v>
      </c>
      <c r="B506" t="s">
        <v>29</v>
      </c>
      <c r="C506" t="s">
        <v>845</v>
      </c>
      <c r="D506" t="s">
        <v>846</v>
      </c>
      <c r="E506" t="s">
        <v>152</v>
      </c>
      <c r="G506" t="s">
        <v>18</v>
      </c>
      <c r="H506" s="4">
        <v>7155000</v>
      </c>
      <c r="I506" s="5">
        <v>16</v>
      </c>
      <c r="J506" s="5">
        <v>0</v>
      </c>
      <c r="K506" s="5">
        <v>4</v>
      </c>
      <c r="L506">
        <v>1.2</v>
      </c>
      <c r="M506">
        <v>3.5</v>
      </c>
      <c r="N506">
        <v>3.88</v>
      </c>
      <c r="O506" s="6">
        <v>11.6</v>
      </c>
      <c r="P506" s="7">
        <v>1.25</v>
      </c>
      <c r="U506" t="s">
        <v>84</v>
      </c>
      <c r="V506" t="s">
        <v>263</v>
      </c>
      <c r="W506">
        <v>1.6</v>
      </c>
      <c r="X506" t="s">
        <v>84</v>
      </c>
      <c r="Y506" t="s">
        <v>154</v>
      </c>
      <c r="Z506" t="s">
        <v>562</v>
      </c>
      <c r="AA506" t="s">
        <v>114</v>
      </c>
      <c r="AB506" t="s">
        <v>563</v>
      </c>
      <c r="AC506">
        <v>265</v>
      </c>
      <c r="AD506" s="8" t="b">
        <f>AND(
 H506&gt;=Filters!$B$3,
 H506&lt;=Filters!$B$4,
 I506&gt;=Filters!$B$5,
 OR(Filters!$B$6="All",B506=Filters!$B$6),
 F506&gt;=Filters!$B$7,
 F506&lt;=Filters!$B$8,
 OR(Filters!$B$9="All",G506=Filters!$B$9)
)</f>
        <v>0</v>
      </c>
      <c r="AE506">
        <f t="shared" si="91"/>
        <v>6</v>
      </c>
      <c r="AF506">
        <f t="shared" si="92"/>
        <v>7</v>
      </c>
      <c r="AG506">
        <f t="shared" si="93"/>
        <v>7</v>
      </c>
      <c r="AH506" s="9" t="str">
        <f t="shared" si="94"/>
        <v/>
      </c>
      <c r="AI506" s="9" t="str">
        <f t="shared" si="95"/>
        <v/>
      </c>
      <c r="AJ506" s="9" t="str">
        <f t="shared" si="96"/>
        <v/>
      </c>
      <c r="AK506" s="9" t="str">
        <f t="shared" si="97"/>
        <v/>
      </c>
      <c r="AL506" s="9" t="str">
        <f t="shared" si="98"/>
        <v/>
      </c>
      <c r="AM506" s="9" t="str">
        <f t="shared" si="99"/>
        <v/>
      </c>
      <c r="AN506" s="9" t="str">
        <f t="shared" si="100"/>
        <v/>
      </c>
      <c r="AO506" s="9" t="str">
        <f t="shared" si="101"/>
        <v/>
      </c>
      <c r="AP506" s="9" t="str">
        <f t="shared" si="102"/>
        <v/>
      </c>
      <c r="AQ506" s="10" t="str">
        <f t="shared" si="103"/>
        <v/>
      </c>
    </row>
    <row r="507" spans="1:43">
      <c r="A507">
        <v>506</v>
      </c>
      <c r="B507" t="s">
        <v>29</v>
      </c>
      <c r="C507" t="s">
        <v>602</v>
      </c>
      <c r="D507" t="s">
        <v>603</v>
      </c>
      <c r="E507" t="s">
        <v>97</v>
      </c>
      <c r="G507" t="s">
        <v>18</v>
      </c>
      <c r="H507" s="4">
        <v>25623000</v>
      </c>
      <c r="I507" s="5">
        <v>256</v>
      </c>
      <c r="J507" s="5">
        <v>0</v>
      </c>
      <c r="K507" s="5">
        <v>8</v>
      </c>
      <c r="L507">
        <v>7</v>
      </c>
      <c r="M507">
        <v>3.5</v>
      </c>
      <c r="N507">
        <v>5.96</v>
      </c>
      <c r="O507" s="6">
        <v>13.3</v>
      </c>
      <c r="P507" s="7">
        <v>1.44</v>
      </c>
      <c r="U507" t="s">
        <v>84</v>
      </c>
      <c r="V507" t="s">
        <v>98</v>
      </c>
      <c r="W507">
        <v>2.5</v>
      </c>
      <c r="X507" t="s">
        <v>84</v>
      </c>
      <c r="Y507" t="s">
        <v>99</v>
      </c>
      <c r="Z507" t="s">
        <v>100</v>
      </c>
      <c r="AA507" t="s">
        <v>101</v>
      </c>
      <c r="AB507" t="s">
        <v>115</v>
      </c>
      <c r="AC507">
        <v>949</v>
      </c>
      <c r="AD507" s="8" t="b">
        <f>AND(
 H507&gt;=Filters!$B$3,
 H507&lt;=Filters!$B$4,
 I507&gt;=Filters!$B$5,
 OR(Filters!$B$6="All",B507=Filters!$B$6),
 F507&gt;=Filters!$B$7,
 F507&lt;=Filters!$B$8,
 OR(Filters!$B$9="All",G507=Filters!$B$9)
)</f>
        <v>0</v>
      </c>
      <c r="AE507">
        <f t="shared" si="91"/>
        <v>6</v>
      </c>
      <c r="AF507">
        <f t="shared" si="92"/>
        <v>7</v>
      </c>
      <c r="AG507">
        <f t="shared" si="93"/>
        <v>7</v>
      </c>
      <c r="AH507" s="9" t="str">
        <f t="shared" si="94"/>
        <v/>
      </c>
      <c r="AI507" s="9" t="str">
        <f t="shared" si="95"/>
        <v/>
      </c>
      <c r="AJ507" s="9" t="str">
        <f t="shared" si="96"/>
        <v/>
      </c>
      <c r="AK507" s="9" t="str">
        <f t="shared" si="97"/>
        <v/>
      </c>
      <c r="AL507" s="9" t="str">
        <f t="shared" si="98"/>
        <v/>
      </c>
      <c r="AM507" s="9" t="str">
        <f t="shared" si="99"/>
        <v/>
      </c>
      <c r="AN507" s="9" t="str">
        <f t="shared" si="100"/>
        <v/>
      </c>
      <c r="AO507" s="9" t="str">
        <f t="shared" si="101"/>
        <v/>
      </c>
      <c r="AP507" s="9" t="str">
        <f t="shared" si="102"/>
        <v/>
      </c>
      <c r="AQ507" s="10" t="str">
        <f t="shared" si="103"/>
        <v/>
      </c>
    </row>
    <row r="508" spans="1:43">
      <c r="A508">
        <v>507</v>
      </c>
      <c r="B508" t="s">
        <v>21</v>
      </c>
      <c r="C508" t="s">
        <v>847</v>
      </c>
      <c r="D508" t="s">
        <v>848</v>
      </c>
      <c r="E508" t="s">
        <v>97</v>
      </c>
      <c r="G508" t="s">
        <v>18</v>
      </c>
      <c r="H508" s="4">
        <v>33048000</v>
      </c>
      <c r="I508" s="5">
        <v>256</v>
      </c>
      <c r="J508" s="5">
        <v>1024</v>
      </c>
      <c r="K508" s="5">
        <v>8</v>
      </c>
      <c r="L508">
        <v>9.4</v>
      </c>
      <c r="M508">
        <v>3.5</v>
      </c>
      <c r="N508">
        <v>5.92</v>
      </c>
      <c r="O508" s="6">
        <v>15.6</v>
      </c>
      <c r="P508" s="7">
        <v>2</v>
      </c>
      <c r="U508" t="s">
        <v>84</v>
      </c>
      <c r="V508" t="s">
        <v>140</v>
      </c>
      <c r="W508">
        <v>2.7</v>
      </c>
      <c r="X508" t="s">
        <v>84</v>
      </c>
      <c r="Y508" t="s">
        <v>99</v>
      </c>
      <c r="Z508" t="s">
        <v>212</v>
      </c>
      <c r="AA508" t="s">
        <v>101</v>
      </c>
      <c r="AB508" t="s">
        <v>115</v>
      </c>
      <c r="AC508">
        <v>1224</v>
      </c>
      <c r="AD508" s="8" t="b">
        <f>AND(
 H508&gt;=Filters!$B$3,
 H508&lt;=Filters!$B$4,
 I508&gt;=Filters!$B$5,
 OR(Filters!$B$6="All",B508=Filters!$B$6),
 F508&gt;=Filters!$B$7,
 F508&lt;=Filters!$B$8,
 OR(Filters!$B$9="All",G508=Filters!$B$9)
)</f>
        <v>0</v>
      </c>
      <c r="AE508">
        <f t="shared" si="91"/>
        <v>6</v>
      </c>
      <c r="AF508">
        <f t="shared" si="92"/>
        <v>7</v>
      </c>
      <c r="AG508">
        <f t="shared" si="93"/>
        <v>7</v>
      </c>
      <c r="AH508" s="9" t="str">
        <f t="shared" si="94"/>
        <v/>
      </c>
      <c r="AI508" s="9" t="str">
        <f t="shared" si="95"/>
        <v/>
      </c>
      <c r="AJ508" s="9" t="str">
        <f t="shared" si="96"/>
        <v/>
      </c>
      <c r="AK508" s="9" t="str">
        <f t="shared" si="97"/>
        <v/>
      </c>
      <c r="AL508" s="9" t="str">
        <f t="shared" si="98"/>
        <v/>
      </c>
      <c r="AM508" s="9" t="str">
        <f t="shared" si="99"/>
        <v/>
      </c>
      <c r="AN508" s="9" t="str">
        <f t="shared" si="100"/>
        <v/>
      </c>
      <c r="AO508" s="9" t="str">
        <f t="shared" si="101"/>
        <v/>
      </c>
      <c r="AP508" s="9" t="str">
        <f t="shared" si="102"/>
        <v/>
      </c>
      <c r="AQ508" s="10" t="str">
        <f t="shared" si="103"/>
        <v/>
      </c>
    </row>
    <row r="509" spans="1:43">
      <c r="A509">
        <v>508</v>
      </c>
      <c r="B509" t="s">
        <v>17</v>
      </c>
      <c r="C509" t="s">
        <v>849</v>
      </c>
      <c r="D509" t="s">
        <v>850</v>
      </c>
      <c r="E509" t="s">
        <v>97</v>
      </c>
      <c r="G509" t="s">
        <v>18</v>
      </c>
      <c r="H509" s="4">
        <v>16551000</v>
      </c>
      <c r="I509" s="5">
        <v>0</v>
      </c>
      <c r="J509" s="5">
        <v>1024</v>
      </c>
      <c r="K509" s="5">
        <v>4</v>
      </c>
      <c r="L509">
        <v>5.2</v>
      </c>
      <c r="M509">
        <v>6.5</v>
      </c>
      <c r="N509">
        <v>6.32</v>
      </c>
      <c r="O509" s="6">
        <v>15.6</v>
      </c>
      <c r="P509" s="7">
        <v>2.2000000000000002</v>
      </c>
      <c r="U509" t="s">
        <v>84</v>
      </c>
      <c r="V509" t="s">
        <v>126</v>
      </c>
      <c r="W509">
        <v>1.6</v>
      </c>
      <c r="X509" t="s">
        <v>122</v>
      </c>
      <c r="Y509" t="s">
        <v>123</v>
      </c>
      <c r="Z509" t="s">
        <v>146</v>
      </c>
      <c r="AA509" t="s">
        <v>128</v>
      </c>
      <c r="AB509" t="s">
        <v>115</v>
      </c>
      <c r="AC509">
        <v>613</v>
      </c>
      <c r="AD509" s="8" t="b">
        <f>AND(
 H509&gt;=Filters!$B$3,
 H509&lt;=Filters!$B$4,
 I509&gt;=Filters!$B$5,
 OR(Filters!$B$6="All",B509=Filters!$B$6),
 F509&gt;=Filters!$B$7,
 F509&lt;=Filters!$B$8,
 OR(Filters!$B$9="All",G509=Filters!$B$9)
)</f>
        <v>0</v>
      </c>
      <c r="AE509">
        <f t="shared" si="91"/>
        <v>6</v>
      </c>
      <c r="AF509">
        <f t="shared" si="92"/>
        <v>7</v>
      </c>
      <c r="AG509">
        <f t="shared" si="93"/>
        <v>7</v>
      </c>
      <c r="AH509" s="9" t="str">
        <f t="shared" si="94"/>
        <v/>
      </c>
      <c r="AI509" s="9" t="str">
        <f t="shared" si="95"/>
        <v/>
      </c>
      <c r="AJ509" s="9" t="str">
        <f t="shared" si="96"/>
        <v/>
      </c>
      <c r="AK509" s="9" t="str">
        <f t="shared" si="97"/>
        <v/>
      </c>
      <c r="AL509" s="9" t="str">
        <f t="shared" si="98"/>
        <v/>
      </c>
      <c r="AM509" s="9" t="str">
        <f t="shared" si="99"/>
        <v/>
      </c>
      <c r="AN509" s="9" t="str">
        <f t="shared" si="100"/>
        <v/>
      </c>
      <c r="AO509" s="9" t="str">
        <f t="shared" si="101"/>
        <v/>
      </c>
      <c r="AP509" s="9" t="str">
        <f t="shared" si="102"/>
        <v/>
      </c>
      <c r="AQ509" s="10" t="str">
        <f t="shared" si="103"/>
        <v/>
      </c>
    </row>
    <row r="510" spans="1:43">
      <c r="A510">
        <v>509</v>
      </c>
      <c r="B510" t="s">
        <v>26</v>
      </c>
      <c r="C510" t="s">
        <v>851</v>
      </c>
      <c r="D510" t="s">
        <v>852</v>
      </c>
      <c r="E510" t="s">
        <v>83</v>
      </c>
      <c r="G510" t="s">
        <v>18</v>
      </c>
      <c r="H510" s="4">
        <v>35721000</v>
      </c>
      <c r="I510" s="5">
        <v>512</v>
      </c>
      <c r="J510" s="5">
        <v>0</v>
      </c>
      <c r="K510" s="5">
        <v>8</v>
      </c>
      <c r="L510">
        <v>9.4</v>
      </c>
      <c r="M510">
        <v>3.5</v>
      </c>
      <c r="N510">
        <v>6.37</v>
      </c>
      <c r="O510" s="6">
        <v>13.3</v>
      </c>
      <c r="P510" s="7">
        <v>1.34</v>
      </c>
      <c r="U510" t="s">
        <v>84</v>
      </c>
      <c r="V510" t="s">
        <v>140</v>
      </c>
      <c r="W510">
        <v>2.7</v>
      </c>
      <c r="X510" t="s">
        <v>84</v>
      </c>
      <c r="Y510" t="s">
        <v>99</v>
      </c>
      <c r="Z510" t="s">
        <v>106</v>
      </c>
      <c r="AA510" t="s">
        <v>128</v>
      </c>
      <c r="AB510" t="s">
        <v>115</v>
      </c>
      <c r="AC510">
        <v>1323</v>
      </c>
      <c r="AD510" s="8" t="b">
        <f>AND(
 H510&gt;=Filters!$B$3,
 H510&lt;=Filters!$B$4,
 I510&gt;=Filters!$B$5,
 OR(Filters!$B$6="All",B510=Filters!$B$6),
 F510&gt;=Filters!$B$7,
 F510&lt;=Filters!$B$8,
 OR(Filters!$B$9="All",G510=Filters!$B$9)
)</f>
        <v>0</v>
      </c>
      <c r="AE510">
        <f t="shared" si="91"/>
        <v>6</v>
      </c>
      <c r="AF510">
        <f t="shared" si="92"/>
        <v>7</v>
      </c>
      <c r="AG510">
        <f t="shared" si="93"/>
        <v>7</v>
      </c>
      <c r="AH510" s="9" t="str">
        <f t="shared" si="94"/>
        <v/>
      </c>
      <c r="AI510" s="9" t="str">
        <f t="shared" si="95"/>
        <v/>
      </c>
      <c r="AJ510" s="9" t="str">
        <f t="shared" si="96"/>
        <v/>
      </c>
      <c r="AK510" s="9" t="str">
        <f t="shared" si="97"/>
        <v/>
      </c>
      <c r="AL510" s="9" t="str">
        <f t="shared" si="98"/>
        <v/>
      </c>
      <c r="AM510" s="9" t="str">
        <f t="shared" si="99"/>
        <v/>
      </c>
      <c r="AN510" s="9" t="str">
        <f t="shared" si="100"/>
        <v/>
      </c>
      <c r="AO510" s="9" t="str">
        <f t="shared" si="101"/>
        <v/>
      </c>
      <c r="AP510" s="9" t="str">
        <f t="shared" si="102"/>
        <v/>
      </c>
      <c r="AQ510" s="10" t="str">
        <f t="shared" si="103"/>
        <v/>
      </c>
    </row>
    <row r="511" spans="1:43">
      <c r="A511">
        <v>510</v>
      </c>
      <c r="B511" t="s">
        <v>29</v>
      </c>
      <c r="C511" t="s">
        <v>156</v>
      </c>
      <c r="D511" t="s">
        <v>157</v>
      </c>
      <c r="E511" t="s">
        <v>158</v>
      </c>
      <c r="G511" t="s">
        <v>18</v>
      </c>
      <c r="H511" s="4">
        <v>31023000</v>
      </c>
      <c r="I511" s="5">
        <v>256</v>
      </c>
      <c r="J511" s="5">
        <v>1024</v>
      </c>
      <c r="K511" s="5">
        <v>8</v>
      </c>
      <c r="L511">
        <v>9.6</v>
      </c>
      <c r="M511">
        <v>9.1999999999999993</v>
      </c>
      <c r="N511">
        <v>6.32</v>
      </c>
      <c r="O511" s="6">
        <v>15.6</v>
      </c>
      <c r="P511" s="7">
        <v>2.4</v>
      </c>
      <c r="U511" t="s">
        <v>84</v>
      </c>
      <c r="V511" t="s">
        <v>210</v>
      </c>
      <c r="W511">
        <v>2.8</v>
      </c>
      <c r="X511" t="s">
        <v>122</v>
      </c>
      <c r="Y511" t="s">
        <v>211</v>
      </c>
      <c r="Z511" t="s">
        <v>212</v>
      </c>
      <c r="AA511" t="s">
        <v>128</v>
      </c>
      <c r="AB511" t="s">
        <v>102</v>
      </c>
      <c r="AC511">
        <v>1149</v>
      </c>
      <c r="AD511" s="8" t="b">
        <f>AND(
 H511&gt;=Filters!$B$3,
 H511&lt;=Filters!$B$4,
 I511&gt;=Filters!$B$5,
 OR(Filters!$B$6="All",B511=Filters!$B$6),
 F511&gt;=Filters!$B$7,
 F511&lt;=Filters!$B$8,
 OR(Filters!$B$9="All",G511=Filters!$B$9)
)</f>
        <v>0</v>
      </c>
      <c r="AE511">
        <f t="shared" si="91"/>
        <v>6</v>
      </c>
      <c r="AF511">
        <f t="shared" si="92"/>
        <v>7</v>
      </c>
      <c r="AG511">
        <f t="shared" si="93"/>
        <v>7</v>
      </c>
      <c r="AH511" s="9" t="str">
        <f t="shared" si="94"/>
        <v/>
      </c>
      <c r="AI511" s="9" t="str">
        <f t="shared" si="95"/>
        <v/>
      </c>
      <c r="AJ511" s="9" t="str">
        <f t="shared" si="96"/>
        <v/>
      </c>
      <c r="AK511" s="9" t="str">
        <f t="shared" si="97"/>
        <v/>
      </c>
      <c r="AL511" s="9" t="str">
        <f t="shared" si="98"/>
        <v/>
      </c>
      <c r="AM511" s="9" t="str">
        <f t="shared" si="99"/>
        <v/>
      </c>
      <c r="AN511" s="9" t="str">
        <f t="shared" si="100"/>
        <v/>
      </c>
      <c r="AO511" s="9" t="str">
        <f t="shared" si="101"/>
        <v/>
      </c>
      <c r="AP511" s="9" t="str">
        <f t="shared" si="102"/>
        <v/>
      </c>
      <c r="AQ511" s="10" t="str">
        <f t="shared" si="103"/>
        <v/>
      </c>
    </row>
    <row r="512" spans="1:43">
      <c r="A512">
        <v>511</v>
      </c>
      <c r="B512" t="s">
        <v>23</v>
      </c>
      <c r="C512" t="s">
        <v>147</v>
      </c>
      <c r="D512" t="s">
        <v>148</v>
      </c>
      <c r="E512" t="s">
        <v>83</v>
      </c>
      <c r="G512" t="s">
        <v>18</v>
      </c>
      <c r="H512" s="4">
        <v>24273000</v>
      </c>
      <c r="I512" s="5">
        <v>128</v>
      </c>
      <c r="J512" s="5">
        <v>0</v>
      </c>
      <c r="K512" s="5">
        <v>8</v>
      </c>
      <c r="L512">
        <v>7</v>
      </c>
      <c r="M512">
        <v>3.5</v>
      </c>
      <c r="N512">
        <v>6.67</v>
      </c>
      <c r="O512" s="6">
        <v>13.3</v>
      </c>
      <c r="P512" s="7">
        <v>1.29</v>
      </c>
      <c r="U512" t="s">
        <v>84</v>
      </c>
      <c r="V512" t="s">
        <v>98</v>
      </c>
      <c r="W512">
        <v>2.5</v>
      </c>
      <c r="X512" t="s">
        <v>84</v>
      </c>
      <c r="Y512" t="s">
        <v>99</v>
      </c>
      <c r="Z512" t="s">
        <v>87</v>
      </c>
      <c r="AA512" t="s">
        <v>149</v>
      </c>
      <c r="AB512" t="s">
        <v>115</v>
      </c>
      <c r="AC512">
        <v>899</v>
      </c>
      <c r="AD512" s="8" t="b">
        <f>AND(
 H512&gt;=Filters!$B$3,
 H512&lt;=Filters!$B$4,
 I512&gt;=Filters!$B$5,
 OR(Filters!$B$6="All",B512=Filters!$B$6),
 F512&gt;=Filters!$B$7,
 F512&lt;=Filters!$B$8,
 OR(Filters!$B$9="All",G512=Filters!$B$9)
)</f>
        <v>0</v>
      </c>
      <c r="AE512">
        <f t="shared" si="91"/>
        <v>6</v>
      </c>
      <c r="AF512">
        <f t="shared" si="92"/>
        <v>7</v>
      </c>
      <c r="AG512">
        <f t="shared" si="93"/>
        <v>7</v>
      </c>
      <c r="AH512" s="9" t="str">
        <f t="shared" si="94"/>
        <v/>
      </c>
      <c r="AI512" s="9" t="str">
        <f t="shared" si="95"/>
        <v/>
      </c>
      <c r="AJ512" s="9" t="str">
        <f t="shared" si="96"/>
        <v/>
      </c>
      <c r="AK512" s="9" t="str">
        <f t="shared" si="97"/>
        <v/>
      </c>
      <c r="AL512" s="9" t="str">
        <f t="shared" si="98"/>
        <v/>
      </c>
      <c r="AM512" s="9" t="str">
        <f t="shared" si="99"/>
        <v/>
      </c>
      <c r="AN512" s="9" t="str">
        <f t="shared" si="100"/>
        <v/>
      </c>
      <c r="AO512" s="9" t="str">
        <f t="shared" si="101"/>
        <v/>
      </c>
      <c r="AP512" s="9" t="str">
        <f t="shared" si="102"/>
        <v/>
      </c>
      <c r="AQ512" s="10" t="str">
        <f t="shared" si="103"/>
        <v/>
      </c>
    </row>
    <row r="513" spans="1:43">
      <c r="A513">
        <v>512</v>
      </c>
      <c r="B513" t="s">
        <v>17</v>
      </c>
      <c r="C513" t="s">
        <v>215</v>
      </c>
      <c r="D513" t="s">
        <v>216</v>
      </c>
      <c r="E513" t="s">
        <v>97</v>
      </c>
      <c r="G513" t="s">
        <v>18</v>
      </c>
      <c r="H513" s="4">
        <v>17253000</v>
      </c>
      <c r="I513" s="5">
        <v>0</v>
      </c>
      <c r="J513" s="5">
        <v>500</v>
      </c>
      <c r="K513" s="5">
        <v>4</v>
      </c>
      <c r="L513">
        <v>9.4</v>
      </c>
      <c r="M513">
        <v>6.5</v>
      </c>
      <c r="N513">
        <v>5.92</v>
      </c>
      <c r="O513" s="6">
        <v>15.6</v>
      </c>
      <c r="P513" s="7">
        <v>2.2000000000000002</v>
      </c>
      <c r="U513" t="s">
        <v>84</v>
      </c>
      <c r="V513" t="s">
        <v>140</v>
      </c>
      <c r="W513">
        <v>2.7</v>
      </c>
      <c r="X513" t="s">
        <v>122</v>
      </c>
      <c r="Y513" t="s">
        <v>145</v>
      </c>
      <c r="Z513" t="s">
        <v>113</v>
      </c>
      <c r="AA513" t="s">
        <v>101</v>
      </c>
      <c r="AB513" t="s">
        <v>115</v>
      </c>
      <c r="AC513">
        <v>639</v>
      </c>
      <c r="AD513" s="8" t="b">
        <f>AND(
 H513&gt;=Filters!$B$3,
 H513&lt;=Filters!$B$4,
 I513&gt;=Filters!$B$5,
 OR(Filters!$B$6="All",B513=Filters!$B$6),
 F513&gt;=Filters!$B$7,
 F513&lt;=Filters!$B$8,
 OR(Filters!$B$9="All",G513=Filters!$B$9)
)</f>
        <v>0</v>
      </c>
      <c r="AE513">
        <f t="shared" si="91"/>
        <v>6</v>
      </c>
      <c r="AF513">
        <f t="shared" si="92"/>
        <v>7</v>
      </c>
      <c r="AG513">
        <f t="shared" si="93"/>
        <v>7</v>
      </c>
      <c r="AH513" s="9" t="str">
        <f t="shared" si="94"/>
        <v/>
      </c>
      <c r="AI513" s="9" t="str">
        <f t="shared" si="95"/>
        <v/>
      </c>
      <c r="AJ513" s="9" t="str">
        <f t="shared" si="96"/>
        <v/>
      </c>
      <c r="AK513" s="9" t="str">
        <f t="shared" si="97"/>
        <v/>
      </c>
      <c r="AL513" s="9" t="str">
        <f t="shared" si="98"/>
        <v/>
      </c>
      <c r="AM513" s="9" t="str">
        <f t="shared" si="99"/>
        <v/>
      </c>
      <c r="AN513" s="9" t="str">
        <f t="shared" si="100"/>
        <v/>
      </c>
      <c r="AO513" s="9" t="str">
        <f t="shared" si="101"/>
        <v/>
      </c>
      <c r="AP513" s="9" t="str">
        <f t="shared" si="102"/>
        <v/>
      </c>
      <c r="AQ513" s="10" t="str">
        <f t="shared" si="103"/>
        <v/>
      </c>
    </row>
    <row r="514" spans="1:43">
      <c r="A514">
        <v>513</v>
      </c>
      <c r="B514" t="s">
        <v>23</v>
      </c>
      <c r="C514" t="s">
        <v>853</v>
      </c>
      <c r="D514" t="s">
        <v>854</v>
      </c>
      <c r="E514" t="s">
        <v>97</v>
      </c>
      <c r="G514" t="s">
        <v>18</v>
      </c>
      <c r="H514" s="4">
        <v>22572000</v>
      </c>
      <c r="I514" s="5">
        <v>0</v>
      </c>
      <c r="J514" s="5">
        <v>1024</v>
      </c>
      <c r="K514" s="5">
        <v>8</v>
      </c>
      <c r="L514">
        <v>7</v>
      </c>
      <c r="M514">
        <v>3.5</v>
      </c>
      <c r="N514">
        <v>5.92</v>
      </c>
      <c r="O514" s="6">
        <v>15.6</v>
      </c>
      <c r="P514" s="7">
        <v>2.1800000000000002</v>
      </c>
      <c r="U514" t="s">
        <v>84</v>
      </c>
      <c r="V514" t="s">
        <v>98</v>
      </c>
      <c r="W514">
        <v>2.5</v>
      </c>
      <c r="X514" t="s">
        <v>84</v>
      </c>
      <c r="Y514" t="s">
        <v>99</v>
      </c>
      <c r="Z514" t="s">
        <v>146</v>
      </c>
      <c r="AA514" t="s">
        <v>101</v>
      </c>
      <c r="AB514" t="s">
        <v>115</v>
      </c>
      <c r="AC514">
        <v>836</v>
      </c>
      <c r="AD514" s="8" t="b">
        <f>AND(
 H514&gt;=Filters!$B$3,
 H514&lt;=Filters!$B$4,
 I514&gt;=Filters!$B$5,
 OR(Filters!$B$6="All",B514=Filters!$B$6),
 F514&gt;=Filters!$B$7,
 F514&lt;=Filters!$B$8,
 OR(Filters!$B$9="All",G514=Filters!$B$9)
)</f>
        <v>0</v>
      </c>
      <c r="AE514">
        <f t="shared" ref="AE514:AE577" si="104">IF(Q514="",6,Q514)</f>
        <v>6</v>
      </c>
      <c r="AF514">
        <f t="shared" ref="AF514:AF577" si="105">IF(R514="",7,R514)</f>
        <v>7</v>
      </c>
      <c r="AG514">
        <f t="shared" ref="AG514:AG577" si="106">IF(S514="",7,S514)</f>
        <v>7</v>
      </c>
      <c r="AH514" s="9" t="str">
        <f t="shared" ref="AH514:AH577" si="107">IF(AD514,IF(CPU_MAX=CPU_MIN,1,(L514-CPU_MIN)/(CPU_MAX-CPU_MIN)),"")</f>
        <v/>
      </c>
      <c r="AI514" s="9" t="str">
        <f t="shared" ref="AI514:AI577" si="108">IF(AD514,IF(RAM_MAX=RAM_MIN,1,(K514-RAM_MIN)/(RAM_MAX-RAM_MIN)),"")</f>
        <v/>
      </c>
      <c r="AJ514" s="9" t="str">
        <f t="shared" ref="AJ514:AJ577" si="109">IF(AD514,IF(GPU_MAX=GPU_MIN,1,(M514-GPU_MIN)/(GPU_MAX-GPU_MIN)),"")</f>
        <v/>
      </c>
      <c r="AK514" s="9" t="str">
        <f t="shared" ref="AK514:AK577" si="110">IF(AD514,IF(SCREEN_MAX=SCREEN_MIN,1,(N514-SCREEN_MIN)/(SCREEN_MAX-SCREEN_MIN)),"")</f>
        <v/>
      </c>
      <c r="AL514" s="9" t="str">
        <f t="shared" ref="AL514:AL577" si="111">IF(AD514,IF(WEIGHT_MAX=WEIGHT_MIN,1,(WEIGHT_MAX-P514)/(WEIGHT_MAX-WEIGHT_MIN)),"")</f>
        <v/>
      </c>
      <c r="AM514" s="9" t="str">
        <f t="shared" ref="AM514:AM577" si="112">IF(AD514,IF(BATTERY_MAX=BATTERY_MIN,1,(AE514-BATTERY_MIN)/(BATTERY_MAX-BATTERY_MIN)),"")</f>
        <v/>
      </c>
      <c r="AN514" s="9" t="str">
        <f t="shared" ref="AN514:AN577" si="113">IF(AD514,IF(DURABILITY_MAX=DURABILITY_MIN,1,(AF514-DURABILITY_MIN)/(DURABILITY_MAX-DURABILITY_MIN)),"")</f>
        <v/>
      </c>
      <c r="AO514" s="9" t="str">
        <f t="shared" ref="AO514:AO577" si="114">IF(AD514,IF(UPGRADE_MAX=UPGRADE_MIN,1,(AG514-UPGRADE_MIN)/(UPGRADE_MAX-UPGRADE_MIN)),"")</f>
        <v/>
      </c>
      <c r="AP514" s="9" t="str">
        <f t="shared" ref="AP514:AP577" si="115">IF(AD514,W_CPU*AH514+W_RAM*AI514+W_GPU*AJ514+W_SCREEN*AK514+W_WEIGHT*AL514+W_BATTERY*AM514+W_DURABILITY*AN514+W_UPGRADE*AO514,"" )</f>
        <v/>
      </c>
      <c r="AQ514" s="10" t="str">
        <f t="shared" ref="AQ514:AQ577" si="116">IF(AP514="","",AP514+ROW()*0.000000001)</f>
        <v/>
      </c>
    </row>
    <row r="515" spans="1:43">
      <c r="A515">
        <v>514</v>
      </c>
      <c r="B515" t="s">
        <v>23</v>
      </c>
      <c r="C515" t="s">
        <v>174</v>
      </c>
      <c r="D515" t="s">
        <v>175</v>
      </c>
      <c r="E515" t="s">
        <v>97</v>
      </c>
      <c r="G515" t="s">
        <v>18</v>
      </c>
      <c r="H515" s="4">
        <v>32919480</v>
      </c>
      <c r="I515" s="5">
        <v>256</v>
      </c>
      <c r="J515" s="5">
        <v>2048</v>
      </c>
      <c r="K515" s="5">
        <v>16</v>
      </c>
      <c r="L515">
        <v>7.6</v>
      </c>
      <c r="M515">
        <v>6.5</v>
      </c>
      <c r="N515">
        <v>5.92</v>
      </c>
      <c r="O515" s="6">
        <v>15.6</v>
      </c>
      <c r="P515" s="7">
        <v>2.2000000000000002</v>
      </c>
      <c r="U515" t="s">
        <v>84</v>
      </c>
      <c r="V515" t="s">
        <v>121</v>
      </c>
      <c r="W515">
        <v>1.8</v>
      </c>
      <c r="X515" t="s">
        <v>104</v>
      </c>
      <c r="Y515" t="s">
        <v>176</v>
      </c>
      <c r="Z515" t="s">
        <v>249</v>
      </c>
      <c r="AA515" t="s">
        <v>101</v>
      </c>
      <c r="AB515" t="s">
        <v>115</v>
      </c>
      <c r="AC515">
        <v>1219.24</v>
      </c>
      <c r="AD515" s="8" t="b">
        <f>AND(
 H515&gt;=Filters!$B$3,
 H515&lt;=Filters!$B$4,
 I515&gt;=Filters!$B$5,
 OR(Filters!$B$6="All",B515=Filters!$B$6),
 F515&gt;=Filters!$B$7,
 F515&lt;=Filters!$B$8,
 OR(Filters!$B$9="All",G515=Filters!$B$9)
)</f>
        <v>0</v>
      </c>
      <c r="AE515">
        <f t="shared" si="104"/>
        <v>6</v>
      </c>
      <c r="AF515">
        <f t="shared" si="105"/>
        <v>7</v>
      </c>
      <c r="AG515">
        <f t="shared" si="106"/>
        <v>7</v>
      </c>
      <c r="AH515" s="9" t="str">
        <f t="shared" si="107"/>
        <v/>
      </c>
      <c r="AI515" s="9" t="str">
        <f t="shared" si="108"/>
        <v/>
      </c>
      <c r="AJ515" s="9" t="str">
        <f t="shared" si="109"/>
        <v/>
      </c>
      <c r="AK515" s="9" t="str">
        <f t="shared" si="110"/>
        <v/>
      </c>
      <c r="AL515" s="9" t="str">
        <f t="shared" si="111"/>
        <v/>
      </c>
      <c r="AM515" s="9" t="str">
        <f t="shared" si="112"/>
        <v/>
      </c>
      <c r="AN515" s="9" t="str">
        <f t="shared" si="113"/>
        <v/>
      </c>
      <c r="AO515" s="9" t="str">
        <f t="shared" si="114"/>
        <v/>
      </c>
      <c r="AP515" s="9" t="str">
        <f t="shared" si="115"/>
        <v/>
      </c>
      <c r="AQ515" s="10" t="str">
        <f t="shared" si="116"/>
        <v/>
      </c>
    </row>
    <row r="516" spans="1:43">
      <c r="A516">
        <v>515</v>
      </c>
      <c r="B516" t="s">
        <v>37</v>
      </c>
      <c r="C516" t="s">
        <v>434</v>
      </c>
      <c r="D516" t="s">
        <v>435</v>
      </c>
      <c r="E516" t="s">
        <v>97</v>
      </c>
      <c r="G516" t="s">
        <v>18</v>
      </c>
      <c r="H516" s="4">
        <v>37798650</v>
      </c>
      <c r="I516" s="5">
        <v>256</v>
      </c>
      <c r="J516" s="5">
        <v>0</v>
      </c>
      <c r="K516" s="5">
        <v>16</v>
      </c>
      <c r="L516">
        <v>7.6</v>
      </c>
      <c r="M516">
        <v>6.5</v>
      </c>
      <c r="N516">
        <v>6.32</v>
      </c>
      <c r="O516" s="6">
        <v>15.6</v>
      </c>
      <c r="P516" s="7">
        <v>1.95</v>
      </c>
      <c r="U516" t="s">
        <v>84</v>
      </c>
      <c r="V516" t="s">
        <v>121</v>
      </c>
      <c r="W516">
        <v>1.8</v>
      </c>
      <c r="X516" t="s">
        <v>122</v>
      </c>
      <c r="Y516" t="s">
        <v>123</v>
      </c>
      <c r="Z516" t="s">
        <v>100</v>
      </c>
      <c r="AA516" t="s">
        <v>128</v>
      </c>
      <c r="AB516" t="s">
        <v>102</v>
      </c>
      <c r="AC516">
        <v>1399.95</v>
      </c>
      <c r="AD516" s="8" t="b">
        <f>AND(
 H516&gt;=Filters!$B$3,
 H516&lt;=Filters!$B$4,
 I516&gt;=Filters!$B$5,
 OR(Filters!$B$6="All",B516=Filters!$B$6),
 F516&gt;=Filters!$B$7,
 F516&lt;=Filters!$B$8,
 OR(Filters!$B$9="All",G516=Filters!$B$9)
)</f>
        <v>0</v>
      </c>
      <c r="AE516">
        <f t="shared" si="104"/>
        <v>6</v>
      </c>
      <c r="AF516">
        <f t="shared" si="105"/>
        <v>7</v>
      </c>
      <c r="AG516">
        <f t="shared" si="106"/>
        <v>7</v>
      </c>
      <c r="AH516" s="9" t="str">
        <f t="shared" si="107"/>
        <v/>
      </c>
      <c r="AI516" s="9" t="str">
        <f t="shared" si="108"/>
        <v/>
      </c>
      <c r="AJ516" s="9" t="str">
        <f t="shared" si="109"/>
        <v/>
      </c>
      <c r="AK516" s="9" t="str">
        <f t="shared" si="110"/>
        <v/>
      </c>
      <c r="AL516" s="9" t="str">
        <f t="shared" si="111"/>
        <v/>
      </c>
      <c r="AM516" s="9" t="str">
        <f t="shared" si="112"/>
        <v/>
      </c>
      <c r="AN516" s="9" t="str">
        <f t="shared" si="113"/>
        <v/>
      </c>
      <c r="AO516" s="9" t="str">
        <f t="shared" si="114"/>
        <v/>
      </c>
      <c r="AP516" s="9" t="str">
        <f t="shared" si="115"/>
        <v/>
      </c>
      <c r="AQ516" s="10" t="str">
        <f t="shared" si="116"/>
        <v/>
      </c>
    </row>
    <row r="517" spans="1:43">
      <c r="A517">
        <v>516</v>
      </c>
      <c r="B517" t="s">
        <v>21</v>
      </c>
      <c r="C517" t="s">
        <v>855</v>
      </c>
      <c r="D517" t="s">
        <v>856</v>
      </c>
      <c r="E517" t="s">
        <v>152</v>
      </c>
      <c r="G517" t="s">
        <v>18</v>
      </c>
      <c r="H517" s="4">
        <v>6615000</v>
      </c>
      <c r="I517" s="5">
        <v>32</v>
      </c>
      <c r="J517" s="5">
        <v>0</v>
      </c>
      <c r="K517" s="5">
        <v>2</v>
      </c>
      <c r="L517">
        <v>1</v>
      </c>
      <c r="M517">
        <v>3.5</v>
      </c>
      <c r="N517">
        <v>3.88</v>
      </c>
      <c r="O517" s="6">
        <v>11.6</v>
      </c>
      <c r="P517" s="7">
        <v>1.1000000000000001</v>
      </c>
      <c r="U517" t="s">
        <v>84</v>
      </c>
      <c r="V517" t="s">
        <v>198</v>
      </c>
      <c r="W517">
        <v>1.1000000000000001</v>
      </c>
      <c r="X517" t="s">
        <v>84</v>
      </c>
      <c r="Y517" t="s">
        <v>199</v>
      </c>
      <c r="Z517" t="s">
        <v>155</v>
      </c>
      <c r="AA517" t="s">
        <v>114</v>
      </c>
      <c r="AB517" t="s">
        <v>115</v>
      </c>
      <c r="AC517">
        <v>245</v>
      </c>
      <c r="AD517" s="8" t="b">
        <f>AND(
 H517&gt;=Filters!$B$3,
 H517&lt;=Filters!$B$4,
 I517&gt;=Filters!$B$5,
 OR(Filters!$B$6="All",B517=Filters!$B$6),
 F517&gt;=Filters!$B$7,
 F517&lt;=Filters!$B$8,
 OR(Filters!$B$9="All",G517=Filters!$B$9)
)</f>
        <v>0</v>
      </c>
      <c r="AE517">
        <f t="shared" si="104"/>
        <v>6</v>
      </c>
      <c r="AF517">
        <f t="shared" si="105"/>
        <v>7</v>
      </c>
      <c r="AG517">
        <f t="shared" si="106"/>
        <v>7</v>
      </c>
      <c r="AH517" s="9" t="str">
        <f t="shared" si="107"/>
        <v/>
      </c>
      <c r="AI517" s="9" t="str">
        <f t="shared" si="108"/>
        <v/>
      </c>
      <c r="AJ517" s="9" t="str">
        <f t="shared" si="109"/>
        <v/>
      </c>
      <c r="AK517" s="9" t="str">
        <f t="shared" si="110"/>
        <v/>
      </c>
      <c r="AL517" s="9" t="str">
        <f t="shared" si="111"/>
        <v/>
      </c>
      <c r="AM517" s="9" t="str">
        <f t="shared" si="112"/>
        <v/>
      </c>
      <c r="AN517" s="9" t="str">
        <f t="shared" si="113"/>
        <v/>
      </c>
      <c r="AO517" s="9" t="str">
        <f t="shared" si="114"/>
        <v/>
      </c>
      <c r="AP517" s="9" t="str">
        <f t="shared" si="115"/>
        <v/>
      </c>
      <c r="AQ517" s="10" t="str">
        <f t="shared" si="116"/>
        <v/>
      </c>
    </row>
    <row r="518" spans="1:43">
      <c r="A518">
        <v>517</v>
      </c>
      <c r="B518" t="s">
        <v>26</v>
      </c>
      <c r="C518" t="s">
        <v>857</v>
      </c>
      <c r="D518" t="s">
        <v>858</v>
      </c>
      <c r="E518" t="s">
        <v>97</v>
      </c>
      <c r="G518" t="s">
        <v>18</v>
      </c>
      <c r="H518" s="4">
        <v>14079690</v>
      </c>
      <c r="I518" s="5">
        <v>0</v>
      </c>
      <c r="J518" s="5">
        <v>1024</v>
      </c>
      <c r="K518" s="5">
        <v>4</v>
      </c>
      <c r="L518">
        <v>5.2</v>
      </c>
      <c r="M518">
        <v>3.8</v>
      </c>
      <c r="N518">
        <v>4.22</v>
      </c>
      <c r="O518" s="6">
        <v>15.6</v>
      </c>
      <c r="P518" s="7">
        <v>2.04</v>
      </c>
      <c r="U518" t="s">
        <v>84</v>
      </c>
      <c r="V518" t="s">
        <v>126</v>
      </c>
      <c r="W518">
        <v>1.6</v>
      </c>
      <c r="X518" t="s">
        <v>84</v>
      </c>
      <c r="Y518" t="s">
        <v>127</v>
      </c>
      <c r="Z518" t="s">
        <v>146</v>
      </c>
      <c r="AA518" t="s">
        <v>472</v>
      </c>
      <c r="AB518" t="s">
        <v>115</v>
      </c>
      <c r="AC518">
        <v>521.47</v>
      </c>
      <c r="AD518" s="8" t="b">
        <f>AND(
 H518&gt;=Filters!$B$3,
 H518&lt;=Filters!$B$4,
 I518&gt;=Filters!$B$5,
 OR(Filters!$B$6="All",B518=Filters!$B$6),
 F518&gt;=Filters!$B$7,
 F518&lt;=Filters!$B$8,
 OR(Filters!$B$9="All",G518=Filters!$B$9)
)</f>
        <v>0</v>
      </c>
      <c r="AE518">
        <f t="shared" si="104"/>
        <v>6</v>
      </c>
      <c r="AF518">
        <f t="shared" si="105"/>
        <v>7</v>
      </c>
      <c r="AG518">
        <f t="shared" si="106"/>
        <v>7</v>
      </c>
      <c r="AH518" s="9" t="str">
        <f t="shared" si="107"/>
        <v/>
      </c>
      <c r="AI518" s="9" t="str">
        <f t="shared" si="108"/>
        <v/>
      </c>
      <c r="AJ518" s="9" t="str">
        <f t="shared" si="109"/>
        <v/>
      </c>
      <c r="AK518" s="9" t="str">
        <f t="shared" si="110"/>
        <v/>
      </c>
      <c r="AL518" s="9" t="str">
        <f t="shared" si="111"/>
        <v/>
      </c>
      <c r="AM518" s="9" t="str">
        <f t="shared" si="112"/>
        <v/>
      </c>
      <c r="AN518" s="9" t="str">
        <f t="shared" si="113"/>
        <v/>
      </c>
      <c r="AO518" s="9" t="str">
        <f t="shared" si="114"/>
        <v/>
      </c>
      <c r="AP518" s="9" t="str">
        <f t="shared" si="115"/>
        <v/>
      </c>
      <c r="AQ518" s="10" t="str">
        <f t="shared" si="116"/>
        <v/>
      </c>
    </row>
    <row r="519" spans="1:43">
      <c r="A519">
        <v>518</v>
      </c>
      <c r="B519" t="s">
        <v>21</v>
      </c>
      <c r="C519" t="s">
        <v>859</v>
      </c>
      <c r="D519" t="s">
        <v>860</v>
      </c>
      <c r="E519" t="s">
        <v>158</v>
      </c>
      <c r="G519" t="s">
        <v>18</v>
      </c>
      <c r="H519" s="4">
        <v>80136000</v>
      </c>
      <c r="I519" s="5">
        <v>512</v>
      </c>
      <c r="J519" s="5">
        <v>0</v>
      </c>
      <c r="K519" s="5">
        <v>24</v>
      </c>
      <c r="L519">
        <v>9.6</v>
      </c>
      <c r="M519">
        <v>9.1999999999999993</v>
      </c>
      <c r="N519">
        <v>5.92</v>
      </c>
      <c r="O519" s="6">
        <v>15.6</v>
      </c>
      <c r="P519" s="7">
        <v>2.2400000000000002</v>
      </c>
      <c r="U519" t="s">
        <v>84</v>
      </c>
      <c r="V519" t="s">
        <v>210</v>
      </c>
      <c r="W519">
        <v>2.8</v>
      </c>
      <c r="X519" t="s">
        <v>122</v>
      </c>
      <c r="Y519" t="s">
        <v>861</v>
      </c>
      <c r="Z519" t="s">
        <v>106</v>
      </c>
      <c r="AA519" t="s">
        <v>101</v>
      </c>
      <c r="AB519" t="s">
        <v>115</v>
      </c>
      <c r="AC519">
        <v>2968</v>
      </c>
      <c r="AD519" s="8" t="b">
        <f>AND(
 H519&gt;=Filters!$B$3,
 H519&lt;=Filters!$B$4,
 I519&gt;=Filters!$B$5,
 OR(Filters!$B$6="All",B519=Filters!$B$6),
 F519&gt;=Filters!$B$7,
 F519&lt;=Filters!$B$8,
 OR(Filters!$B$9="All",G519=Filters!$B$9)
)</f>
        <v>0</v>
      </c>
      <c r="AE519">
        <f t="shared" si="104"/>
        <v>6</v>
      </c>
      <c r="AF519">
        <f t="shared" si="105"/>
        <v>7</v>
      </c>
      <c r="AG519">
        <f t="shared" si="106"/>
        <v>7</v>
      </c>
      <c r="AH519" s="9" t="str">
        <f t="shared" si="107"/>
        <v/>
      </c>
      <c r="AI519" s="9" t="str">
        <f t="shared" si="108"/>
        <v/>
      </c>
      <c r="AJ519" s="9" t="str">
        <f t="shared" si="109"/>
        <v/>
      </c>
      <c r="AK519" s="9" t="str">
        <f t="shared" si="110"/>
        <v/>
      </c>
      <c r="AL519" s="9" t="str">
        <f t="shared" si="111"/>
        <v/>
      </c>
      <c r="AM519" s="9" t="str">
        <f t="shared" si="112"/>
        <v/>
      </c>
      <c r="AN519" s="9" t="str">
        <f t="shared" si="113"/>
        <v/>
      </c>
      <c r="AO519" s="9" t="str">
        <f t="shared" si="114"/>
        <v/>
      </c>
      <c r="AP519" s="9" t="str">
        <f t="shared" si="115"/>
        <v/>
      </c>
      <c r="AQ519" s="10" t="str">
        <f t="shared" si="116"/>
        <v/>
      </c>
    </row>
    <row r="520" spans="1:43">
      <c r="A520">
        <v>519</v>
      </c>
      <c r="B520" t="s">
        <v>26</v>
      </c>
      <c r="C520" t="s">
        <v>862</v>
      </c>
      <c r="D520" t="s">
        <v>863</v>
      </c>
      <c r="E520" t="s">
        <v>97</v>
      </c>
      <c r="G520" t="s">
        <v>18</v>
      </c>
      <c r="H520" s="4">
        <v>24003000</v>
      </c>
      <c r="I520" s="5">
        <v>256</v>
      </c>
      <c r="J520" s="5">
        <v>0</v>
      </c>
      <c r="K520" s="5">
        <v>8</v>
      </c>
      <c r="L520">
        <v>7</v>
      </c>
      <c r="M520">
        <v>6.5</v>
      </c>
      <c r="N520">
        <v>5.92</v>
      </c>
      <c r="O520" s="6">
        <v>15.6</v>
      </c>
      <c r="P520" s="7">
        <v>2.04</v>
      </c>
      <c r="U520" t="s">
        <v>84</v>
      </c>
      <c r="V520" t="s">
        <v>98</v>
      </c>
      <c r="W520">
        <v>2.5</v>
      </c>
      <c r="X520" t="s">
        <v>122</v>
      </c>
      <c r="Y520" t="s">
        <v>183</v>
      </c>
      <c r="Z520" t="s">
        <v>100</v>
      </c>
      <c r="AA520" t="s">
        <v>101</v>
      </c>
      <c r="AB520" t="s">
        <v>115</v>
      </c>
      <c r="AC520">
        <v>889</v>
      </c>
      <c r="AD520" s="8" t="b">
        <f>AND(
 H520&gt;=Filters!$B$3,
 H520&lt;=Filters!$B$4,
 I520&gt;=Filters!$B$5,
 OR(Filters!$B$6="All",B520=Filters!$B$6),
 F520&gt;=Filters!$B$7,
 F520&lt;=Filters!$B$8,
 OR(Filters!$B$9="All",G520=Filters!$B$9)
)</f>
        <v>1</v>
      </c>
      <c r="AE520">
        <f t="shared" si="104"/>
        <v>6</v>
      </c>
      <c r="AF520">
        <f t="shared" si="105"/>
        <v>7</v>
      </c>
      <c r="AG520">
        <f t="shared" si="106"/>
        <v>7</v>
      </c>
      <c r="AH520" s="9">
        <f t="shared" si="107"/>
        <v>0.69047619047619047</v>
      </c>
      <c r="AI520" s="9">
        <f t="shared" si="108"/>
        <v>0.80952380952380942</v>
      </c>
      <c r="AJ520" s="9">
        <f t="shared" si="109"/>
        <v>0.63095238095238093</v>
      </c>
      <c r="AK520" s="9">
        <f t="shared" si="110"/>
        <v>0.56190476190476191</v>
      </c>
      <c r="AL520" s="9">
        <f t="shared" si="111"/>
        <v>0.89999999999999991</v>
      </c>
      <c r="AM520" s="9">
        <f t="shared" si="112"/>
        <v>0.5714285714285714</v>
      </c>
      <c r="AN520" s="9">
        <f t="shared" si="113"/>
        <v>0.69047619047619047</v>
      </c>
      <c r="AO520" s="9">
        <f t="shared" si="114"/>
        <v>0.69047619047619047</v>
      </c>
      <c r="AP520" s="9">
        <f t="shared" si="115"/>
        <v>0.6915708865866621</v>
      </c>
      <c r="AQ520" s="10">
        <f t="shared" si="116"/>
        <v>0.69157140658666205</v>
      </c>
    </row>
    <row r="521" spans="1:43">
      <c r="A521">
        <v>520</v>
      </c>
      <c r="B521" t="s">
        <v>21</v>
      </c>
      <c r="C521" t="s">
        <v>864</v>
      </c>
      <c r="D521" t="s">
        <v>865</v>
      </c>
      <c r="E521" t="s">
        <v>158</v>
      </c>
      <c r="G521" t="s">
        <v>18</v>
      </c>
      <c r="H521" s="4">
        <v>40608000</v>
      </c>
      <c r="I521" s="5">
        <v>256</v>
      </c>
      <c r="J521" s="5">
        <v>1024</v>
      </c>
      <c r="K521" s="5">
        <v>16</v>
      </c>
      <c r="L521">
        <v>9.6</v>
      </c>
      <c r="M521">
        <v>9.1999999999999993</v>
      </c>
      <c r="N521">
        <v>5.83</v>
      </c>
      <c r="O521" s="6">
        <v>17.3</v>
      </c>
      <c r="P521" s="7">
        <v>3</v>
      </c>
      <c r="U521" t="s">
        <v>84</v>
      </c>
      <c r="V521" t="s">
        <v>210</v>
      </c>
      <c r="W521">
        <v>2.8</v>
      </c>
      <c r="X521" t="s">
        <v>122</v>
      </c>
      <c r="Y521" t="s">
        <v>866</v>
      </c>
      <c r="Z521" t="s">
        <v>212</v>
      </c>
      <c r="AA521" t="s">
        <v>101</v>
      </c>
      <c r="AB521" t="s">
        <v>115</v>
      </c>
      <c r="AC521">
        <v>1504</v>
      </c>
      <c r="AD521" s="8" t="b">
        <f>AND(
 H521&gt;=Filters!$B$3,
 H521&lt;=Filters!$B$4,
 I521&gt;=Filters!$B$5,
 OR(Filters!$B$6="All",B521=Filters!$B$6),
 F521&gt;=Filters!$B$7,
 F521&lt;=Filters!$B$8,
 OR(Filters!$B$9="All",G521=Filters!$B$9)
)</f>
        <v>0</v>
      </c>
      <c r="AE521">
        <f t="shared" si="104"/>
        <v>6</v>
      </c>
      <c r="AF521">
        <f t="shared" si="105"/>
        <v>7</v>
      </c>
      <c r="AG521">
        <f t="shared" si="106"/>
        <v>7</v>
      </c>
      <c r="AH521" s="9" t="str">
        <f t="shared" si="107"/>
        <v/>
      </c>
      <c r="AI521" s="9" t="str">
        <f t="shared" si="108"/>
        <v/>
      </c>
      <c r="AJ521" s="9" t="str">
        <f t="shared" si="109"/>
        <v/>
      </c>
      <c r="AK521" s="9" t="str">
        <f t="shared" si="110"/>
        <v/>
      </c>
      <c r="AL521" s="9" t="str">
        <f t="shared" si="111"/>
        <v/>
      </c>
      <c r="AM521" s="9" t="str">
        <f t="shared" si="112"/>
        <v/>
      </c>
      <c r="AN521" s="9" t="str">
        <f t="shared" si="113"/>
        <v/>
      </c>
      <c r="AO521" s="9" t="str">
        <f t="shared" si="114"/>
        <v/>
      </c>
      <c r="AP521" s="9" t="str">
        <f t="shared" si="115"/>
        <v/>
      </c>
      <c r="AQ521" s="10" t="str">
        <f t="shared" si="116"/>
        <v/>
      </c>
    </row>
    <row r="522" spans="1:43">
      <c r="A522">
        <v>521</v>
      </c>
      <c r="B522" t="s">
        <v>29</v>
      </c>
      <c r="C522" t="s">
        <v>464</v>
      </c>
      <c r="D522" t="s">
        <v>465</v>
      </c>
      <c r="E522" t="s">
        <v>158</v>
      </c>
      <c r="G522" t="s">
        <v>18</v>
      </c>
      <c r="H522" s="4">
        <v>37773000</v>
      </c>
      <c r="I522" s="5">
        <v>256</v>
      </c>
      <c r="J522" s="5">
        <v>1024</v>
      </c>
      <c r="K522" s="5">
        <v>8</v>
      </c>
      <c r="L522">
        <v>9.6</v>
      </c>
      <c r="M522">
        <v>9.1999999999999993</v>
      </c>
      <c r="N522">
        <v>6.32</v>
      </c>
      <c r="O522" s="6">
        <v>15.6</v>
      </c>
      <c r="P522" s="7">
        <v>3.2</v>
      </c>
      <c r="U522" t="s">
        <v>84</v>
      </c>
      <c r="V522" t="s">
        <v>210</v>
      </c>
      <c r="W522">
        <v>2.8</v>
      </c>
      <c r="X522" t="s">
        <v>122</v>
      </c>
      <c r="Y522" t="s">
        <v>211</v>
      </c>
      <c r="Z522" t="s">
        <v>212</v>
      </c>
      <c r="AA522" t="s">
        <v>128</v>
      </c>
      <c r="AB522" t="s">
        <v>115</v>
      </c>
      <c r="AC522">
        <v>1399</v>
      </c>
      <c r="AD522" s="8" t="b">
        <f>AND(
 H522&gt;=Filters!$B$3,
 H522&lt;=Filters!$B$4,
 I522&gt;=Filters!$B$5,
 OR(Filters!$B$6="All",B522=Filters!$B$6),
 F522&gt;=Filters!$B$7,
 F522&lt;=Filters!$B$8,
 OR(Filters!$B$9="All",G522=Filters!$B$9)
)</f>
        <v>0</v>
      </c>
      <c r="AE522">
        <f t="shared" si="104"/>
        <v>6</v>
      </c>
      <c r="AF522">
        <f t="shared" si="105"/>
        <v>7</v>
      </c>
      <c r="AG522">
        <f t="shared" si="106"/>
        <v>7</v>
      </c>
      <c r="AH522" s="9" t="str">
        <f t="shared" si="107"/>
        <v/>
      </c>
      <c r="AI522" s="9" t="str">
        <f t="shared" si="108"/>
        <v/>
      </c>
      <c r="AJ522" s="9" t="str">
        <f t="shared" si="109"/>
        <v/>
      </c>
      <c r="AK522" s="9" t="str">
        <f t="shared" si="110"/>
        <v/>
      </c>
      <c r="AL522" s="9" t="str">
        <f t="shared" si="111"/>
        <v/>
      </c>
      <c r="AM522" s="9" t="str">
        <f t="shared" si="112"/>
        <v/>
      </c>
      <c r="AN522" s="9" t="str">
        <f t="shared" si="113"/>
        <v/>
      </c>
      <c r="AO522" s="9" t="str">
        <f t="shared" si="114"/>
        <v/>
      </c>
      <c r="AP522" s="9" t="str">
        <f t="shared" si="115"/>
        <v/>
      </c>
      <c r="AQ522" s="10" t="str">
        <f t="shared" si="116"/>
        <v/>
      </c>
    </row>
    <row r="523" spans="1:43">
      <c r="A523">
        <v>522</v>
      </c>
      <c r="B523" t="s">
        <v>26</v>
      </c>
      <c r="C523" t="s">
        <v>867</v>
      </c>
      <c r="D523" t="s">
        <v>868</v>
      </c>
      <c r="E523" t="s">
        <v>83</v>
      </c>
      <c r="G523" t="s">
        <v>18</v>
      </c>
      <c r="H523" s="4">
        <v>37773000</v>
      </c>
      <c r="I523" s="5">
        <v>256</v>
      </c>
      <c r="J523" s="5">
        <v>0</v>
      </c>
      <c r="K523" s="5">
        <v>8</v>
      </c>
      <c r="L523">
        <v>9.4</v>
      </c>
      <c r="M523">
        <v>3.5</v>
      </c>
      <c r="N523">
        <v>6.37</v>
      </c>
      <c r="O523" s="6">
        <v>13.3</v>
      </c>
      <c r="P523" s="7">
        <v>1.32</v>
      </c>
      <c r="U523" t="s">
        <v>84</v>
      </c>
      <c r="V523" t="s">
        <v>140</v>
      </c>
      <c r="W523">
        <v>2.7</v>
      </c>
      <c r="X523" t="s">
        <v>84</v>
      </c>
      <c r="Y523" t="s">
        <v>99</v>
      </c>
      <c r="Z523" t="s">
        <v>100</v>
      </c>
      <c r="AA523" t="s">
        <v>128</v>
      </c>
      <c r="AB523" t="s">
        <v>115</v>
      </c>
      <c r="AC523">
        <v>1399</v>
      </c>
      <c r="AD523" s="8" t="b">
        <f>AND(
 H523&gt;=Filters!$B$3,
 H523&lt;=Filters!$B$4,
 I523&gt;=Filters!$B$5,
 OR(Filters!$B$6="All",B523=Filters!$B$6),
 F523&gt;=Filters!$B$7,
 F523&lt;=Filters!$B$8,
 OR(Filters!$B$9="All",G523=Filters!$B$9)
)</f>
        <v>0</v>
      </c>
      <c r="AE523">
        <f t="shared" si="104"/>
        <v>6</v>
      </c>
      <c r="AF523">
        <f t="shared" si="105"/>
        <v>7</v>
      </c>
      <c r="AG523">
        <f t="shared" si="106"/>
        <v>7</v>
      </c>
      <c r="AH523" s="9" t="str">
        <f t="shared" si="107"/>
        <v/>
      </c>
      <c r="AI523" s="9" t="str">
        <f t="shared" si="108"/>
        <v/>
      </c>
      <c r="AJ523" s="9" t="str">
        <f t="shared" si="109"/>
        <v/>
      </c>
      <c r="AK523" s="9" t="str">
        <f t="shared" si="110"/>
        <v/>
      </c>
      <c r="AL523" s="9" t="str">
        <f t="shared" si="111"/>
        <v/>
      </c>
      <c r="AM523" s="9" t="str">
        <f t="shared" si="112"/>
        <v/>
      </c>
      <c r="AN523" s="9" t="str">
        <f t="shared" si="113"/>
        <v/>
      </c>
      <c r="AO523" s="9" t="str">
        <f t="shared" si="114"/>
        <v/>
      </c>
      <c r="AP523" s="9" t="str">
        <f t="shared" si="115"/>
        <v/>
      </c>
      <c r="AQ523" s="10" t="str">
        <f t="shared" si="116"/>
        <v/>
      </c>
    </row>
    <row r="524" spans="1:43">
      <c r="A524">
        <v>523</v>
      </c>
      <c r="B524" t="s">
        <v>23</v>
      </c>
      <c r="C524" t="s">
        <v>769</v>
      </c>
      <c r="D524" t="s">
        <v>739</v>
      </c>
      <c r="E524" t="s">
        <v>97</v>
      </c>
      <c r="G524" t="s">
        <v>18</v>
      </c>
      <c r="H524" s="4">
        <v>34552710</v>
      </c>
      <c r="I524" s="5">
        <v>256</v>
      </c>
      <c r="J524" s="5">
        <v>0</v>
      </c>
      <c r="K524" s="5">
        <v>8</v>
      </c>
      <c r="L524">
        <v>7.2</v>
      </c>
      <c r="M524">
        <v>3.5</v>
      </c>
      <c r="N524">
        <v>6</v>
      </c>
      <c r="O524" s="6">
        <v>14</v>
      </c>
      <c r="P524" s="7">
        <v>1.64</v>
      </c>
      <c r="U524" t="s">
        <v>84</v>
      </c>
      <c r="V524" t="s">
        <v>633</v>
      </c>
      <c r="W524">
        <v>2.6</v>
      </c>
      <c r="X524" t="s">
        <v>84</v>
      </c>
      <c r="Y524" t="s">
        <v>99</v>
      </c>
      <c r="Z524" t="s">
        <v>100</v>
      </c>
      <c r="AA524" t="s">
        <v>101</v>
      </c>
      <c r="AB524" t="s">
        <v>115</v>
      </c>
      <c r="AC524">
        <v>1279.73</v>
      </c>
      <c r="AD524" s="8" t="b">
        <f>AND(
 H524&gt;=Filters!$B$3,
 H524&lt;=Filters!$B$4,
 I524&gt;=Filters!$B$5,
 OR(Filters!$B$6="All",B524=Filters!$B$6),
 F524&gt;=Filters!$B$7,
 F524&lt;=Filters!$B$8,
 OR(Filters!$B$9="All",G524=Filters!$B$9)
)</f>
        <v>0</v>
      </c>
      <c r="AE524">
        <f t="shared" si="104"/>
        <v>6</v>
      </c>
      <c r="AF524">
        <f t="shared" si="105"/>
        <v>7</v>
      </c>
      <c r="AG524">
        <f t="shared" si="106"/>
        <v>7</v>
      </c>
      <c r="AH524" s="9" t="str">
        <f t="shared" si="107"/>
        <v/>
      </c>
      <c r="AI524" s="9" t="str">
        <f t="shared" si="108"/>
        <v/>
      </c>
      <c r="AJ524" s="9" t="str">
        <f t="shared" si="109"/>
        <v/>
      </c>
      <c r="AK524" s="9" t="str">
        <f t="shared" si="110"/>
        <v/>
      </c>
      <c r="AL524" s="9" t="str">
        <f t="shared" si="111"/>
        <v/>
      </c>
      <c r="AM524" s="9" t="str">
        <f t="shared" si="112"/>
        <v/>
      </c>
      <c r="AN524" s="9" t="str">
        <f t="shared" si="113"/>
        <v/>
      </c>
      <c r="AO524" s="9" t="str">
        <f t="shared" si="114"/>
        <v/>
      </c>
      <c r="AP524" s="9" t="str">
        <f t="shared" si="115"/>
        <v/>
      </c>
      <c r="AQ524" s="10" t="str">
        <f t="shared" si="116"/>
        <v/>
      </c>
    </row>
    <row r="525" spans="1:43">
      <c r="A525">
        <v>524</v>
      </c>
      <c r="B525" t="s">
        <v>26</v>
      </c>
      <c r="C525" t="s">
        <v>287</v>
      </c>
      <c r="D525" t="s">
        <v>288</v>
      </c>
      <c r="E525" t="s">
        <v>97</v>
      </c>
      <c r="G525" t="s">
        <v>18</v>
      </c>
      <c r="H525" s="4">
        <v>18603000</v>
      </c>
      <c r="I525" s="5">
        <v>128</v>
      </c>
      <c r="J525" s="5">
        <v>0</v>
      </c>
      <c r="K525" s="5">
        <v>4</v>
      </c>
      <c r="L525">
        <v>4</v>
      </c>
      <c r="M525">
        <v>3.5</v>
      </c>
      <c r="N525">
        <v>3.92</v>
      </c>
      <c r="O525" s="6">
        <v>15.6</v>
      </c>
      <c r="P525" s="7">
        <v>1.63</v>
      </c>
      <c r="U525" t="s">
        <v>84</v>
      </c>
      <c r="V525" t="s">
        <v>129</v>
      </c>
      <c r="W525">
        <v>2</v>
      </c>
      <c r="X525" t="s">
        <v>84</v>
      </c>
      <c r="Y525" t="s">
        <v>130</v>
      </c>
      <c r="Z525" t="s">
        <v>87</v>
      </c>
      <c r="AA525" t="s">
        <v>114</v>
      </c>
      <c r="AB525" t="s">
        <v>115</v>
      </c>
      <c r="AC525">
        <v>689</v>
      </c>
      <c r="AD525" s="8" t="b">
        <f>AND(
 H525&gt;=Filters!$B$3,
 H525&lt;=Filters!$B$4,
 I525&gt;=Filters!$B$5,
 OR(Filters!$B$6="All",B525=Filters!$B$6),
 F525&gt;=Filters!$B$7,
 F525&lt;=Filters!$B$8,
 OR(Filters!$B$9="All",G525=Filters!$B$9)
)</f>
        <v>0</v>
      </c>
      <c r="AE525">
        <f t="shared" si="104"/>
        <v>6</v>
      </c>
      <c r="AF525">
        <f t="shared" si="105"/>
        <v>7</v>
      </c>
      <c r="AG525">
        <f t="shared" si="106"/>
        <v>7</v>
      </c>
      <c r="AH525" s="9" t="str">
        <f t="shared" si="107"/>
        <v/>
      </c>
      <c r="AI525" s="9" t="str">
        <f t="shared" si="108"/>
        <v/>
      </c>
      <c r="AJ525" s="9" t="str">
        <f t="shared" si="109"/>
        <v/>
      </c>
      <c r="AK525" s="9" t="str">
        <f t="shared" si="110"/>
        <v/>
      </c>
      <c r="AL525" s="9" t="str">
        <f t="shared" si="111"/>
        <v/>
      </c>
      <c r="AM525" s="9" t="str">
        <f t="shared" si="112"/>
        <v/>
      </c>
      <c r="AN525" s="9" t="str">
        <f t="shared" si="113"/>
        <v/>
      </c>
      <c r="AO525" s="9" t="str">
        <f t="shared" si="114"/>
        <v/>
      </c>
      <c r="AP525" s="9" t="str">
        <f t="shared" si="115"/>
        <v/>
      </c>
      <c r="AQ525" s="10" t="str">
        <f t="shared" si="116"/>
        <v/>
      </c>
    </row>
    <row r="526" spans="1:43">
      <c r="A526">
        <v>525</v>
      </c>
      <c r="B526" t="s">
        <v>23</v>
      </c>
      <c r="C526" t="s">
        <v>202</v>
      </c>
      <c r="D526" t="s">
        <v>203</v>
      </c>
      <c r="E526" t="s">
        <v>97</v>
      </c>
      <c r="G526" t="s">
        <v>18</v>
      </c>
      <c r="H526" s="4">
        <v>24003000</v>
      </c>
      <c r="I526" s="5">
        <v>128</v>
      </c>
      <c r="J526" s="5">
        <v>1024</v>
      </c>
      <c r="K526" s="5">
        <v>8</v>
      </c>
      <c r="L526">
        <v>5.2</v>
      </c>
      <c r="M526">
        <v>6.5</v>
      </c>
      <c r="N526">
        <v>6.24</v>
      </c>
      <c r="O526" s="6">
        <v>17.3</v>
      </c>
      <c r="P526" s="7">
        <v>2.8</v>
      </c>
      <c r="U526" t="s">
        <v>84</v>
      </c>
      <c r="V526" t="s">
        <v>126</v>
      </c>
      <c r="W526">
        <v>1.6</v>
      </c>
      <c r="X526" t="s">
        <v>104</v>
      </c>
      <c r="Y526" t="s">
        <v>176</v>
      </c>
      <c r="Z526" t="s">
        <v>161</v>
      </c>
      <c r="AA526" t="s">
        <v>128</v>
      </c>
      <c r="AB526" t="s">
        <v>201</v>
      </c>
      <c r="AC526">
        <v>889</v>
      </c>
      <c r="AD526" s="8" t="b">
        <f>AND(
 H526&gt;=Filters!$B$3,
 H526&lt;=Filters!$B$4,
 I526&gt;=Filters!$B$5,
 OR(Filters!$B$6="All",B526=Filters!$B$6),
 F526&gt;=Filters!$B$7,
 F526&lt;=Filters!$B$8,
 OR(Filters!$B$9="All",G526=Filters!$B$9)
)</f>
        <v>0</v>
      </c>
      <c r="AE526">
        <f t="shared" si="104"/>
        <v>6</v>
      </c>
      <c r="AF526">
        <f t="shared" si="105"/>
        <v>7</v>
      </c>
      <c r="AG526">
        <f t="shared" si="106"/>
        <v>7</v>
      </c>
      <c r="AH526" s="9" t="str">
        <f t="shared" si="107"/>
        <v/>
      </c>
      <c r="AI526" s="9" t="str">
        <f t="shared" si="108"/>
        <v/>
      </c>
      <c r="AJ526" s="9" t="str">
        <f t="shared" si="109"/>
        <v/>
      </c>
      <c r="AK526" s="9" t="str">
        <f t="shared" si="110"/>
        <v/>
      </c>
      <c r="AL526" s="9" t="str">
        <f t="shared" si="111"/>
        <v/>
      </c>
      <c r="AM526" s="9" t="str">
        <f t="shared" si="112"/>
        <v/>
      </c>
      <c r="AN526" s="9" t="str">
        <f t="shared" si="113"/>
        <v/>
      </c>
      <c r="AO526" s="9" t="str">
        <f t="shared" si="114"/>
        <v/>
      </c>
      <c r="AP526" s="9" t="str">
        <f t="shared" si="115"/>
        <v/>
      </c>
      <c r="AQ526" s="10" t="str">
        <f t="shared" si="116"/>
        <v/>
      </c>
    </row>
    <row r="527" spans="1:43">
      <c r="A527">
        <v>526</v>
      </c>
      <c r="B527" t="s">
        <v>29</v>
      </c>
      <c r="C527" t="s">
        <v>704</v>
      </c>
      <c r="D527" t="s">
        <v>705</v>
      </c>
      <c r="E527" t="s">
        <v>97</v>
      </c>
      <c r="G527" t="s">
        <v>18</v>
      </c>
      <c r="H527" s="4">
        <v>36180000</v>
      </c>
      <c r="I527" s="5">
        <v>256</v>
      </c>
      <c r="J527" s="5">
        <v>0</v>
      </c>
      <c r="K527" s="5">
        <v>8</v>
      </c>
      <c r="L527">
        <v>6.6</v>
      </c>
      <c r="M527">
        <v>3.5</v>
      </c>
      <c r="N527">
        <v>6</v>
      </c>
      <c r="O527" s="6">
        <v>14</v>
      </c>
      <c r="P527" s="7">
        <v>2.02</v>
      </c>
      <c r="U527" t="s">
        <v>84</v>
      </c>
      <c r="V527" t="s">
        <v>375</v>
      </c>
      <c r="W527">
        <v>2.2999999999999998</v>
      </c>
      <c r="X527" t="s">
        <v>84</v>
      </c>
      <c r="Y527" t="s">
        <v>130</v>
      </c>
      <c r="Z527" t="s">
        <v>100</v>
      </c>
      <c r="AA527" t="s">
        <v>101</v>
      </c>
      <c r="AB527" t="s">
        <v>869</v>
      </c>
      <c r="AC527">
        <v>1340</v>
      </c>
      <c r="AD527" s="8" t="b">
        <f>AND(
 H527&gt;=Filters!$B$3,
 H527&lt;=Filters!$B$4,
 I527&gt;=Filters!$B$5,
 OR(Filters!$B$6="All",B527=Filters!$B$6),
 F527&gt;=Filters!$B$7,
 F527&lt;=Filters!$B$8,
 OR(Filters!$B$9="All",G527=Filters!$B$9)
)</f>
        <v>0</v>
      </c>
      <c r="AE527">
        <f t="shared" si="104"/>
        <v>6</v>
      </c>
      <c r="AF527">
        <f t="shared" si="105"/>
        <v>7</v>
      </c>
      <c r="AG527">
        <f t="shared" si="106"/>
        <v>7</v>
      </c>
      <c r="AH527" s="9" t="str">
        <f t="shared" si="107"/>
        <v/>
      </c>
      <c r="AI527" s="9" t="str">
        <f t="shared" si="108"/>
        <v/>
      </c>
      <c r="AJ527" s="9" t="str">
        <f t="shared" si="109"/>
        <v/>
      </c>
      <c r="AK527" s="9" t="str">
        <f t="shared" si="110"/>
        <v/>
      </c>
      <c r="AL527" s="9" t="str">
        <f t="shared" si="111"/>
        <v/>
      </c>
      <c r="AM527" s="9" t="str">
        <f t="shared" si="112"/>
        <v/>
      </c>
      <c r="AN527" s="9" t="str">
        <f t="shared" si="113"/>
        <v/>
      </c>
      <c r="AO527" s="9" t="str">
        <f t="shared" si="114"/>
        <v/>
      </c>
      <c r="AP527" s="9" t="str">
        <f t="shared" si="115"/>
        <v/>
      </c>
      <c r="AQ527" s="10" t="str">
        <f t="shared" si="116"/>
        <v/>
      </c>
    </row>
    <row r="528" spans="1:43">
      <c r="A528">
        <v>527</v>
      </c>
      <c r="B528" t="s">
        <v>29</v>
      </c>
      <c r="C528" t="s">
        <v>142</v>
      </c>
      <c r="D528" t="s">
        <v>143</v>
      </c>
      <c r="E528" t="s">
        <v>97</v>
      </c>
      <c r="G528" t="s">
        <v>18</v>
      </c>
      <c r="H528" s="4">
        <v>21573000</v>
      </c>
      <c r="I528" s="5">
        <v>0</v>
      </c>
      <c r="J528" s="5">
        <v>1024</v>
      </c>
      <c r="K528" s="5">
        <v>4</v>
      </c>
      <c r="L528">
        <v>9.4</v>
      </c>
      <c r="M528">
        <v>6.5</v>
      </c>
      <c r="N528">
        <v>5.92</v>
      </c>
      <c r="O528" s="6">
        <v>15.6</v>
      </c>
      <c r="P528" s="7">
        <v>2.2000000000000002</v>
      </c>
      <c r="U528" t="s">
        <v>84</v>
      </c>
      <c r="V528" t="s">
        <v>140</v>
      </c>
      <c r="W528">
        <v>2.7</v>
      </c>
      <c r="X528" t="s">
        <v>122</v>
      </c>
      <c r="Y528" t="s">
        <v>230</v>
      </c>
      <c r="Z528" t="s">
        <v>146</v>
      </c>
      <c r="AA528" t="s">
        <v>101</v>
      </c>
      <c r="AB528" t="s">
        <v>115</v>
      </c>
      <c r="AC528">
        <v>799</v>
      </c>
      <c r="AD528" s="8" t="b">
        <f>AND(
 H528&gt;=Filters!$B$3,
 H528&lt;=Filters!$B$4,
 I528&gt;=Filters!$B$5,
 OR(Filters!$B$6="All",B528=Filters!$B$6),
 F528&gt;=Filters!$B$7,
 F528&lt;=Filters!$B$8,
 OR(Filters!$B$9="All",G528=Filters!$B$9)
)</f>
        <v>0</v>
      </c>
      <c r="AE528">
        <f t="shared" si="104"/>
        <v>6</v>
      </c>
      <c r="AF528">
        <f t="shared" si="105"/>
        <v>7</v>
      </c>
      <c r="AG528">
        <f t="shared" si="106"/>
        <v>7</v>
      </c>
      <c r="AH528" s="9" t="str">
        <f t="shared" si="107"/>
        <v/>
      </c>
      <c r="AI528" s="9" t="str">
        <f t="shared" si="108"/>
        <v/>
      </c>
      <c r="AJ528" s="9" t="str">
        <f t="shared" si="109"/>
        <v/>
      </c>
      <c r="AK528" s="9" t="str">
        <f t="shared" si="110"/>
        <v/>
      </c>
      <c r="AL528" s="9" t="str">
        <f t="shared" si="111"/>
        <v/>
      </c>
      <c r="AM528" s="9" t="str">
        <f t="shared" si="112"/>
        <v/>
      </c>
      <c r="AN528" s="9" t="str">
        <f t="shared" si="113"/>
        <v/>
      </c>
      <c r="AO528" s="9" t="str">
        <f t="shared" si="114"/>
        <v/>
      </c>
      <c r="AP528" s="9" t="str">
        <f t="shared" si="115"/>
        <v/>
      </c>
      <c r="AQ528" s="10" t="str">
        <f t="shared" si="116"/>
        <v/>
      </c>
    </row>
    <row r="529" spans="1:43">
      <c r="A529">
        <v>528</v>
      </c>
      <c r="B529" t="s">
        <v>29</v>
      </c>
      <c r="C529" t="s">
        <v>221</v>
      </c>
      <c r="D529" t="s">
        <v>222</v>
      </c>
      <c r="E529" t="s">
        <v>97</v>
      </c>
      <c r="G529" t="s">
        <v>18</v>
      </c>
      <c r="H529" s="4">
        <v>12393000</v>
      </c>
      <c r="I529" s="5">
        <v>0</v>
      </c>
      <c r="J529" s="5">
        <v>2048</v>
      </c>
      <c r="K529" s="5">
        <v>8</v>
      </c>
      <c r="L529">
        <v>4</v>
      </c>
      <c r="M529">
        <v>6.5</v>
      </c>
      <c r="N529">
        <v>3.92</v>
      </c>
      <c r="O529" s="6">
        <v>15.6</v>
      </c>
      <c r="P529" s="7">
        <v>2.2000000000000002</v>
      </c>
      <c r="U529" t="s">
        <v>84</v>
      </c>
      <c r="V529" t="s">
        <v>129</v>
      </c>
      <c r="W529">
        <v>2</v>
      </c>
      <c r="X529" t="s">
        <v>122</v>
      </c>
      <c r="Y529" t="s">
        <v>230</v>
      </c>
      <c r="Z529" t="s">
        <v>283</v>
      </c>
      <c r="AA529" t="s">
        <v>114</v>
      </c>
      <c r="AB529" t="s">
        <v>102</v>
      </c>
      <c r="AC529">
        <v>459</v>
      </c>
      <c r="AD529" s="8" t="b">
        <f>AND(
 H529&gt;=Filters!$B$3,
 H529&lt;=Filters!$B$4,
 I529&gt;=Filters!$B$5,
 OR(Filters!$B$6="All",B529=Filters!$B$6),
 F529&gt;=Filters!$B$7,
 F529&lt;=Filters!$B$8,
 OR(Filters!$B$9="All",G529=Filters!$B$9)
)</f>
        <v>0</v>
      </c>
      <c r="AE529">
        <f t="shared" si="104"/>
        <v>6</v>
      </c>
      <c r="AF529">
        <f t="shared" si="105"/>
        <v>7</v>
      </c>
      <c r="AG529">
        <f t="shared" si="106"/>
        <v>7</v>
      </c>
      <c r="AH529" s="9" t="str">
        <f t="shared" si="107"/>
        <v/>
      </c>
      <c r="AI529" s="9" t="str">
        <f t="shared" si="108"/>
        <v/>
      </c>
      <c r="AJ529" s="9" t="str">
        <f t="shared" si="109"/>
        <v/>
      </c>
      <c r="AK529" s="9" t="str">
        <f t="shared" si="110"/>
        <v/>
      </c>
      <c r="AL529" s="9" t="str">
        <f t="shared" si="111"/>
        <v/>
      </c>
      <c r="AM529" s="9" t="str">
        <f t="shared" si="112"/>
        <v/>
      </c>
      <c r="AN529" s="9" t="str">
        <f t="shared" si="113"/>
        <v/>
      </c>
      <c r="AO529" s="9" t="str">
        <f t="shared" si="114"/>
        <v/>
      </c>
      <c r="AP529" s="9" t="str">
        <f t="shared" si="115"/>
        <v/>
      </c>
      <c r="AQ529" s="10" t="str">
        <f t="shared" si="116"/>
        <v/>
      </c>
    </row>
    <row r="530" spans="1:43">
      <c r="A530">
        <v>529</v>
      </c>
      <c r="B530" t="s">
        <v>23</v>
      </c>
      <c r="C530" t="s">
        <v>132</v>
      </c>
      <c r="D530" t="s">
        <v>133</v>
      </c>
      <c r="E530" t="s">
        <v>97</v>
      </c>
      <c r="G530" t="s">
        <v>18</v>
      </c>
      <c r="H530" s="4">
        <v>15795000</v>
      </c>
      <c r="I530" s="5">
        <v>0</v>
      </c>
      <c r="J530" s="5">
        <v>500</v>
      </c>
      <c r="K530" s="5">
        <v>4</v>
      </c>
      <c r="L530">
        <v>7</v>
      </c>
      <c r="M530">
        <v>6.5</v>
      </c>
      <c r="N530">
        <v>5.92</v>
      </c>
      <c r="O530" s="6">
        <v>15.6</v>
      </c>
      <c r="P530" s="7">
        <v>2.2999999999999998</v>
      </c>
      <c r="U530" t="s">
        <v>84</v>
      </c>
      <c r="V530" t="s">
        <v>98</v>
      </c>
      <c r="W530">
        <v>2.5</v>
      </c>
      <c r="X530" t="s">
        <v>104</v>
      </c>
      <c r="Y530" t="s">
        <v>134</v>
      </c>
      <c r="Z530" t="s">
        <v>113</v>
      </c>
      <c r="AA530" t="s">
        <v>101</v>
      </c>
      <c r="AB530" t="s">
        <v>115</v>
      </c>
      <c r="AC530">
        <v>585</v>
      </c>
      <c r="AD530" s="8" t="b">
        <f>AND(
 H530&gt;=Filters!$B$3,
 H530&lt;=Filters!$B$4,
 I530&gt;=Filters!$B$5,
 OR(Filters!$B$6="All",B530=Filters!$B$6),
 F530&gt;=Filters!$B$7,
 F530&lt;=Filters!$B$8,
 OR(Filters!$B$9="All",G530=Filters!$B$9)
)</f>
        <v>0</v>
      </c>
      <c r="AE530">
        <f t="shared" si="104"/>
        <v>6</v>
      </c>
      <c r="AF530">
        <f t="shared" si="105"/>
        <v>7</v>
      </c>
      <c r="AG530">
        <f t="shared" si="106"/>
        <v>7</v>
      </c>
      <c r="AH530" s="9" t="str">
        <f t="shared" si="107"/>
        <v/>
      </c>
      <c r="AI530" s="9" t="str">
        <f t="shared" si="108"/>
        <v/>
      </c>
      <c r="AJ530" s="9" t="str">
        <f t="shared" si="109"/>
        <v/>
      </c>
      <c r="AK530" s="9" t="str">
        <f t="shared" si="110"/>
        <v/>
      </c>
      <c r="AL530" s="9" t="str">
        <f t="shared" si="111"/>
        <v/>
      </c>
      <c r="AM530" s="9" t="str">
        <f t="shared" si="112"/>
        <v/>
      </c>
      <c r="AN530" s="9" t="str">
        <f t="shared" si="113"/>
        <v/>
      </c>
      <c r="AO530" s="9" t="str">
        <f t="shared" si="114"/>
        <v/>
      </c>
      <c r="AP530" s="9" t="str">
        <f t="shared" si="115"/>
        <v/>
      </c>
      <c r="AQ530" s="10" t="str">
        <f t="shared" si="116"/>
        <v/>
      </c>
    </row>
    <row r="531" spans="1:43">
      <c r="A531">
        <v>530</v>
      </c>
      <c r="B531" t="s">
        <v>23</v>
      </c>
      <c r="C531" t="s">
        <v>870</v>
      </c>
      <c r="D531" t="s">
        <v>871</v>
      </c>
      <c r="E531" t="s">
        <v>97</v>
      </c>
      <c r="G531" t="s">
        <v>18</v>
      </c>
      <c r="H531" s="4">
        <v>37179000</v>
      </c>
      <c r="I531" s="5">
        <v>256</v>
      </c>
      <c r="J531" s="5">
        <v>0</v>
      </c>
      <c r="K531" s="5">
        <v>8</v>
      </c>
      <c r="L531">
        <v>7.6</v>
      </c>
      <c r="M531">
        <v>3.5</v>
      </c>
      <c r="N531">
        <v>5.92</v>
      </c>
      <c r="O531" s="6">
        <v>15.6</v>
      </c>
      <c r="P531" s="7">
        <v>1.9</v>
      </c>
      <c r="U531" t="s">
        <v>84</v>
      </c>
      <c r="V531" t="s">
        <v>770</v>
      </c>
      <c r="W531">
        <v>2.8</v>
      </c>
      <c r="X531" t="s">
        <v>84</v>
      </c>
      <c r="Y531" t="s">
        <v>99</v>
      </c>
      <c r="Z531" t="s">
        <v>100</v>
      </c>
      <c r="AA531" t="s">
        <v>101</v>
      </c>
      <c r="AB531" t="s">
        <v>115</v>
      </c>
      <c r="AC531">
        <v>1377</v>
      </c>
      <c r="AD531" s="8" t="b">
        <f>AND(
 H531&gt;=Filters!$B$3,
 H531&lt;=Filters!$B$4,
 I531&gt;=Filters!$B$5,
 OR(Filters!$B$6="All",B531=Filters!$B$6),
 F531&gt;=Filters!$B$7,
 F531&lt;=Filters!$B$8,
 OR(Filters!$B$9="All",G531=Filters!$B$9)
)</f>
        <v>0</v>
      </c>
      <c r="AE531">
        <f t="shared" si="104"/>
        <v>6</v>
      </c>
      <c r="AF531">
        <f t="shared" si="105"/>
        <v>7</v>
      </c>
      <c r="AG531">
        <f t="shared" si="106"/>
        <v>7</v>
      </c>
      <c r="AH531" s="9" t="str">
        <f t="shared" si="107"/>
        <v/>
      </c>
      <c r="AI531" s="9" t="str">
        <f t="shared" si="108"/>
        <v/>
      </c>
      <c r="AJ531" s="9" t="str">
        <f t="shared" si="109"/>
        <v/>
      </c>
      <c r="AK531" s="9" t="str">
        <f t="shared" si="110"/>
        <v/>
      </c>
      <c r="AL531" s="9" t="str">
        <f t="shared" si="111"/>
        <v/>
      </c>
      <c r="AM531" s="9" t="str">
        <f t="shared" si="112"/>
        <v/>
      </c>
      <c r="AN531" s="9" t="str">
        <f t="shared" si="113"/>
        <v/>
      </c>
      <c r="AO531" s="9" t="str">
        <f t="shared" si="114"/>
        <v/>
      </c>
      <c r="AP531" s="9" t="str">
        <f t="shared" si="115"/>
        <v/>
      </c>
      <c r="AQ531" s="10" t="str">
        <f t="shared" si="116"/>
        <v/>
      </c>
    </row>
    <row r="532" spans="1:43">
      <c r="A532">
        <v>531</v>
      </c>
      <c r="B532" t="s">
        <v>23</v>
      </c>
      <c r="C532" t="s">
        <v>486</v>
      </c>
      <c r="D532" t="s">
        <v>487</v>
      </c>
      <c r="E532" t="s">
        <v>158</v>
      </c>
      <c r="G532" t="s">
        <v>18</v>
      </c>
      <c r="H532" s="4">
        <v>81344790</v>
      </c>
      <c r="I532" s="5">
        <v>128</v>
      </c>
      <c r="J532" s="5">
        <v>1024</v>
      </c>
      <c r="K532" s="5">
        <v>16</v>
      </c>
      <c r="L532">
        <v>9.6</v>
      </c>
      <c r="M532">
        <v>9.1999999999999993</v>
      </c>
      <c r="N532">
        <v>6.24</v>
      </c>
      <c r="O532" s="6">
        <v>17.3</v>
      </c>
      <c r="P532" s="7">
        <v>4.42</v>
      </c>
      <c r="U532" t="s">
        <v>84</v>
      </c>
      <c r="V532" t="s">
        <v>210</v>
      </c>
      <c r="W532">
        <v>2.8</v>
      </c>
      <c r="X532" t="s">
        <v>122</v>
      </c>
      <c r="Y532" t="s">
        <v>248</v>
      </c>
      <c r="Z532" t="s">
        <v>161</v>
      </c>
      <c r="AA532" t="s">
        <v>128</v>
      </c>
      <c r="AB532" t="s">
        <v>115</v>
      </c>
      <c r="AC532">
        <v>3012.77</v>
      </c>
      <c r="AD532" s="8" t="b">
        <f>AND(
 H532&gt;=Filters!$B$3,
 H532&lt;=Filters!$B$4,
 I532&gt;=Filters!$B$5,
 OR(Filters!$B$6="All",B532=Filters!$B$6),
 F532&gt;=Filters!$B$7,
 F532&lt;=Filters!$B$8,
 OR(Filters!$B$9="All",G532=Filters!$B$9)
)</f>
        <v>0</v>
      </c>
      <c r="AE532">
        <f t="shared" si="104"/>
        <v>6</v>
      </c>
      <c r="AF532">
        <f t="shared" si="105"/>
        <v>7</v>
      </c>
      <c r="AG532">
        <f t="shared" si="106"/>
        <v>7</v>
      </c>
      <c r="AH532" s="9" t="str">
        <f t="shared" si="107"/>
        <v/>
      </c>
      <c r="AI532" s="9" t="str">
        <f t="shared" si="108"/>
        <v/>
      </c>
      <c r="AJ532" s="9" t="str">
        <f t="shared" si="109"/>
        <v/>
      </c>
      <c r="AK532" s="9" t="str">
        <f t="shared" si="110"/>
        <v/>
      </c>
      <c r="AL532" s="9" t="str">
        <f t="shared" si="111"/>
        <v/>
      </c>
      <c r="AM532" s="9" t="str">
        <f t="shared" si="112"/>
        <v/>
      </c>
      <c r="AN532" s="9" t="str">
        <f t="shared" si="113"/>
        <v/>
      </c>
      <c r="AO532" s="9" t="str">
        <f t="shared" si="114"/>
        <v/>
      </c>
      <c r="AP532" s="9" t="str">
        <f t="shared" si="115"/>
        <v/>
      </c>
      <c r="AQ532" s="10" t="str">
        <f t="shared" si="116"/>
        <v/>
      </c>
    </row>
    <row r="533" spans="1:43">
      <c r="A533">
        <v>532</v>
      </c>
      <c r="B533" t="s">
        <v>35</v>
      </c>
      <c r="C533" t="s">
        <v>373</v>
      </c>
      <c r="D533" t="s">
        <v>374</v>
      </c>
      <c r="E533" t="s">
        <v>97</v>
      </c>
      <c r="G533" t="s">
        <v>18</v>
      </c>
      <c r="H533" s="4">
        <v>23220000</v>
      </c>
      <c r="I533" s="5">
        <v>0</v>
      </c>
      <c r="J533" s="5">
        <v>500</v>
      </c>
      <c r="K533" s="5">
        <v>8</v>
      </c>
      <c r="L533">
        <v>7</v>
      </c>
      <c r="M533">
        <v>3.5</v>
      </c>
      <c r="N533">
        <v>6.32</v>
      </c>
      <c r="O533" s="6">
        <v>15.6</v>
      </c>
      <c r="P533" s="7">
        <v>2</v>
      </c>
      <c r="U533" t="s">
        <v>84</v>
      </c>
      <c r="V533" t="s">
        <v>98</v>
      </c>
      <c r="W533">
        <v>2.5</v>
      </c>
      <c r="X533" t="s">
        <v>84</v>
      </c>
      <c r="Y533" t="s">
        <v>99</v>
      </c>
      <c r="Z533" t="s">
        <v>113</v>
      </c>
      <c r="AA533" t="s">
        <v>128</v>
      </c>
      <c r="AB533" t="s">
        <v>115</v>
      </c>
      <c r="AC533">
        <v>860</v>
      </c>
      <c r="AD533" s="8" t="b">
        <f>AND(
 H533&gt;=Filters!$B$3,
 H533&lt;=Filters!$B$4,
 I533&gt;=Filters!$B$5,
 OR(Filters!$B$6="All",B533=Filters!$B$6),
 F533&gt;=Filters!$B$7,
 F533&lt;=Filters!$B$8,
 OR(Filters!$B$9="All",G533=Filters!$B$9)
)</f>
        <v>0</v>
      </c>
      <c r="AE533">
        <f t="shared" si="104"/>
        <v>6</v>
      </c>
      <c r="AF533">
        <f t="shared" si="105"/>
        <v>7</v>
      </c>
      <c r="AG533">
        <f t="shared" si="106"/>
        <v>7</v>
      </c>
      <c r="AH533" s="9" t="str">
        <f t="shared" si="107"/>
        <v/>
      </c>
      <c r="AI533" s="9" t="str">
        <f t="shared" si="108"/>
        <v/>
      </c>
      <c r="AJ533" s="9" t="str">
        <f t="shared" si="109"/>
        <v/>
      </c>
      <c r="AK533" s="9" t="str">
        <f t="shared" si="110"/>
        <v/>
      </c>
      <c r="AL533" s="9" t="str">
        <f t="shared" si="111"/>
        <v/>
      </c>
      <c r="AM533" s="9" t="str">
        <f t="shared" si="112"/>
        <v/>
      </c>
      <c r="AN533" s="9" t="str">
        <f t="shared" si="113"/>
        <v/>
      </c>
      <c r="AO533" s="9" t="str">
        <f t="shared" si="114"/>
        <v/>
      </c>
      <c r="AP533" s="9" t="str">
        <f t="shared" si="115"/>
        <v/>
      </c>
      <c r="AQ533" s="10" t="str">
        <f t="shared" si="116"/>
        <v/>
      </c>
    </row>
    <row r="534" spans="1:43">
      <c r="A534">
        <v>533</v>
      </c>
      <c r="B534" t="s">
        <v>21</v>
      </c>
      <c r="C534" t="s">
        <v>872</v>
      </c>
      <c r="D534" t="s">
        <v>873</v>
      </c>
      <c r="E534" t="s">
        <v>97</v>
      </c>
      <c r="G534" t="s">
        <v>18</v>
      </c>
      <c r="H534" s="4">
        <v>35073000</v>
      </c>
      <c r="I534" s="5">
        <v>256</v>
      </c>
      <c r="J534" s="5">
        <v>1024</v>
      </c>
      <c r="K534" s="5">
        <v>8</v>
      </c>
      <c r="L534">
        <v>9.4</v>
      </c>
      <c r="M534">
        <v>9.1999999999999993</v>
      </c>
      <c r="N534">
        <v>9.82</v>
      </c>
      <c r="O534" s="6">
        <v>15.6</v>
      </c>
      <c r="P534" s="7">
        <v>2</v>
      </c>
      <c r="U534" t="s">
        <v>84</v>
      </c>
      <c r="V534" t="s">
        <v>140</v>
      </c>
      <c r="W534">
        <v>2.7</v>
      </c>
      <c r="X534" t="s">
        <v>122</v>
      </c>
      <c r="Y534" t="s">
        <v>874</v>
      </c>
      <c r="Z534" t="s">
        <v>212</v>
      </c>
      <c r="AA534" t="s">
        <v>459</v>
      </c>
      <c r="AB534" t="s">
        <v>115</v>
      </c>
      <c r="AC534">
        <v>1299</v>
      </c>
      <c r="AD534" s="8" t="b">
        <f>AND(
 H534&gt;=Filters!$B$3,
 H534&lt;=Filters!$B$4,
 I534&gt;=Filters!$B$5,
 OR(Filters!$B$6="All",B534=Filters!$B$6),
 F534&gt;=Filters!$B$7,
 F534&lt;=Filters!$B$8,
 OR(Filters!$B$9="All",G534=Filters!$B$9)
)</f>
        <v>0</v>
      </c>
      <c r="AE534">
        <f t="shared" si="104"/>
        <v>6</v>
      </c>
      <c r="AF534">
        <f t="shared" si="105"/>
        <v>7</v>
      </c>
      <c r="AG534">
        <f t="shared" si="106"/>
        <v>7</v>
      </c>
      <c r="AH534" s="9" t="str">
        <f t="shared" si="107"/>
        <v/>
      </c>
      <c r="AI534" s="9" t="str">
        <f t="shared" si="108"/>
        <v/>
      </c>
      <c r="AJ534" s="9" t="str">
        <f t="shared" si="109"/>
        <v/>
      </c>
      <c r="AK534" s="9" t="str">
        <f t="shared" si="110"/>
        <v/>
      </c>
      <c r="AL534" s="9" t="str">
        <f t="shared" si="111"/>
        <v/>
      </c>
      <c r="AM534" s="9" t="str">
        <f t="shared" si="112"/>
        <v/>
      </c>
      <c r="AN534" s="9" t="str">
        <f t="shared" si="113"/>
        <v/>
      </c>
      <c r="AO534" s="9" t="str">
        <f t="shared" si="114"/>
        <v/>
      </c>
      <c r="AP534" s="9" t="str">
        <f t="shared" si="115"/>
        <v/>
      </c>
      <c r="AQ534" s="10" t="str">
        <f t="shared" si="116"/>
        <v/>
      </c>
    </row>
    <row r="535" spans="1:43">
      <c r="A535">
        <v>534</v>
      </c>
      <c r="B535" t="s">
        <v>31</v>
      </c>
      <c r="C535" t="s">
        <v>875</v>
      </c>
      <c r="D535" t="s">
        <v>876</v>
      </c>
      <c r="E535" t="s">
        <v>97</v>
      </c>
      <c r="G535" t="s">
        <v>18</v>
      </c>
      <c r="H535" s="4">
        <v>9963000</v>
      </c>
      <c r="I535" s="5">
        <v>32</v>
      </c>
      <c r="J535" s="5">
        <v>0</v>
      </c>
      <c r="K535" s="5">
        <v>4</v>
      </c>
      <c r="L535">
        <v>1</v>
      </c>
      <c r="M535">
        <v>3.5</v>
      </c>
      <c r="N535">
        <v>6.37</v>
      </c>
      <c r="O535" s="6">
        <v>13.3</v>
      </c>
      <c r="P535" s="7">
        <v>1.2</v>
      </c>
      <c r="U535" t="s">
        <v>84</v>
      </c>
      <c r="V535" t="s">
        <v>669</v>
      </c>
      <c r="W535">
        <v>1.1000000000000001</v>
      </c>
      <c r="X535" t="s">
        <v>84</v>
      </c>
      <c r="Y535" t="s">
        <v>199</v>
      </c>
      <c r="Z535" t="s">
        <v>264</v>
      </c>
      <c r="AA535" t="s">
        <v>128</v>
      </c>
      <c r="AB535" t="s">
        <v>115</v>
      </c>
      <c r="AC535">
        <v>369</v>
      </c>
      <c r="AD535" s="8" t="b">
        <f>AND(
 H535&gt;=Filters!$B$3,
 H535&lt;=Filters!$B$4,
 I535&gt;=Filters!$B$5,
 OR(Filters!$B$6="All",B535=Filters!$B$6),
 F535&gt;=Filters!$B$7,
 F535&lt;=Filters!$B$8,
 OR(Filters!$B$9="All",G535=Filters!$B$9)
)</f>
        <v>0</v>
      </c>
      <c r="AE535">
        <f t="shared" si="104"/>
        <v>6</v>
      </c>
      <c r="AF535">
        <f t="shared" si="105"/>
        <v>7</v>
      </c>
      <c r="AG535">
        <f t="shared" si="106"/>
        <v>7</v>
      </c>
      <c r="AH535" s="9" t="str">
        <f t="shared" si="107"/>
        <v/>
      </c>
      <c r="AI535" s="9" t="str">
        <f t="shared" si="108"/>
        <v/>
      </c>
      <c r="AJ535" s="9" t="str">
        <f t="shared" si="109"/>
        <v/>
      </c>
      <c r="AK535" s="9" t="str">
        <f t="shared" si="110"/>
        <v/>
      </c>
      <c r="AL535" s="9" t="str">
        <f t="shared" si="111"/>
        <v/>
      </c>
      <c r="AM535" s="9" t="str">
        <f t="shared" si="112"/>
        <v/>
      </c>
      <c r="AN535" s="9" t="str">
        <f t="shared" si="113"/>
        <v/>
      </c>
      <c r="AO535" s="9" t="str">
        <f t="shared" si="114"/>
        <v/>
      </c>
      <c r="AP535" s="9" t="str">
        <f t="shared" si="115"/>
        <v/>
      </c>
      <c r="AQ535" s="10" t="str">
        <f t="shared" si="116"/>
        <v/>
      </c>
    </row>
    <row r="536" spans="1:43">
      <c r="A536">
        <v>535</v>
      </c>
      <c r="B536" t="s">
        <v>21</v>
      </c>
      <c r="C536" t="s">
        <v>676</v>
      </c>
      <c r="D536" t="s">
        <v>677</v>
      </c>
      <c r="E536" t="s">
        <v>158</v>
      </c>
      <c r="G536" t="s">
        <v>18</v>
      </c>
      <c r="H536" s="4">
        <v>44523000</v>
      </c>
      <c r="I536" s="5">
        <v>128</v>
      </c>
      <c r="J536" s="5">
        <v>1024</v>
      </c>
      <c r="K536" s="5">
        <v>8</v>
      </c>
      <c r="L536">
        <v>7</v>
      </c>
      <c r="M536">
        <v>9.1999999999999993</v>
      </c>
      <c r="N536">
        <v>6.32</v>
      </c>
      <c r="O536" s="6">
        <v>15.6</v>
      </c>
      <c r="P536" s="7">
        <v>2.2999999999999998</v>
      </c>
      <c r="U536" t="s">
        <v>84</v>
      </c>
      <c r="V536" t="s">
        <v>159</v>
      </c>
      <c r="W536">
        <v>2.5</v>
      </c>
      <c r="X536" t="s">
        <v>122</v>
      </c>
      <c r="Y536" t="s">
        <v>211</v>
      </c>
      <c r="Z536" t="s">
        <v>161</v>
      </c>
      <c r="AA536" t="s">
        <v>128</v>
      </c>
      <c r="AB536" t="s">
        <v>115</v>
      </c>
      <c r="AC536">
        <v>1649</v>
      </c>
      <c r="AD536" s="8" t="b">
        <f>AND(
 H536&gt;=Filters!$B$3,
 H536&lt;=Filters!$B$4,
 I536&gt;=Filters!$B$5,
 OR(Filters!$B$6="All",B536=Filters!$B$6),
 F536&gt;=Filters!$B$7,
 F536&lt;=Filters!$B$8,
 OR(Filters!$B$9="All",G536=Filters!$B$9)
)</f>
        <v>0</v>
      </c>
      <c r="AE536">
        <f t="shared" si="104"/>
        <v>6</v>
      </c>
      <c r="AF536">
        <f t="shared" si="105"/>
        <v>7</v>
      </c>
      <c r="AG536">
        <f t="shared" si="106"/>
        <v>7</v>
      </c>
      <c r="AH536" s="9" t="str">
        <f t="shared" si="107"/>
        <v/>
      </c>
      <c r="AI536" s="9" t="str">
        <f t="shared" si="108"/>
        <v/>
      </c>
      <c r="AJ536" s="9" t="str">
        <f t="shared" si="109"/>
        <v/>
      </c>
      <c r="AK536" s="9" t="str">
        <f t="shared" si="110"/>
        <v/>
      </c>
      <c r="AL536" s="9" t="str">
        <f t="shared" si="111"/>
        <v/>
      </c>
      <c r="AM536" s="9" t="str">
        <f t="shared" si="112"/>
        <v/>
      </c>
      <c r="AN536" s="9" t="str">
        <f t="shared" si="113"/>
        <v/>
      </c>
      <c r="AO536" s="9" t="str">
        <f t="shared" si="114"/>
        <v/>
      </c>
      <c r="AP536" s="9" t="str">
        <f t="shared" si="115"/>
        <v/>
      </c>
      <c r="AQ536" s="10" t="str">
        <f t="shared" si="116"/>
        <v/>
      </c>
    </row>
    <row r="537" spans="1:43">
      <c r="A537">
        <v>536</v>
      </c>
      <c r="B537" t="s">
        <v>23</v>
      </c>
      <c r="C537" t="s">
        <v>870</v>
      </c>
      <c r="D537" t="s">
        <v>871</v>
      </c>
      <c r="E537" t="s">
        <v>97</v>
      </c>
      <c r="G537" t="s">
        <v>18</v>
      </c>
      <c r="H537" s="4">
        <v>36963000</v>
      </c>
      <c r="I537" s="5">
        <v>256</v>
      </c>
      <c r="J537" s="5">
        <v>0</v>
      </c>
      <c r="K537" s="5">
        <v>8</v>
      </c>
      <c r="L537">
        <v>9.6</v>
      </c>
      <c r="M537">
        <v>6.5</v>
      </c>
      <c r="N537">
        <v>5.92</v>
      </c>
      <c r="O537" s="6">
        <v>15.6</v>
      </c>
      <c r="P537" s="7">
        <v>1.93</v>
      </c>
      <c r="U537" t="s">
        <v>84</v>
      </c>
      <c r="V537" t="s">
        <v>592</v>
      </c>
      <c r="W537">
        <v>2.8</v>
      </c>
      <c r="X537" t="s">
        <v>122</v>
      </c>
      <c r="Y537" t="s">
        <v>183</v>
      </c>
      <c r="Z537" t="s">
        <v>100</v>
      </c>
      <c r="AA537" t="s">
        <v>101</v>
      </c>
      <c r="AB537" t="s">
        <v>115</v>
      </c>
      <c r="AC537">
        <v>1369</v>
      </c>
      <c r="AD537" s="8" t="b">
        <f>AND(
 H537&gt;=Filters!$B$3,
 H537&lt;=Filters!$B$4,
 I537&gt;=Filters!$B$5,
 OR(Filters!$B$6="All",B537=Filters!$B$6),
 F537&gt;=Filters!$B$7,
 F537&lt;=Filters!$B$8,
 OR(Filters!$B$9="All",G537=Filters!$B$9)
)</f>
        <v>0</v>
      </c>
      <c r="AE537">
        <f t="shared" si="104"/>
        <v>6</v>
      </c>
      <c r="AF537">
        <f t="shared" si="105"/>
        <v>7</v>
      </c>
      <c r="AG537">
        <f t="shared" si="106"/>
        <v>7</v>
      </c>
      <c r="AH537" s="9" t="str">
        <f t="shared" si="107"/>
        <v/>
      </c>
      <c r="AI537" s="9" t="str">
        <f t="shared" si="108"/>
        <v/>
      </c>
      <c r="AJ537" s="9" t="str">
        <f t="shared" si="109"/>
        <v/>
      </c>
      <c r="AK537" s="9" t="str">
        <f t="shared" si="110"/>
        <v/>
      </c>
      <c r="AL537" s="9" t="str">
        <f t="shared" si="111"/>
        <v/>
      </c>
      <c r="AM537" s="9" t="str">
        <f t="shared" si="112"/>
        <v/>
      </c>
      <c r="AN537" s="9" t="str">
        <f t="shared" si="113"/>
        <v/>
      </c>
      <c r="AO537" s="9" t="str">
        <f t="shared" si="114"/>
        <v/>
      </c>
      <c r="AP537" s="9" t="str">
        <f t="shared" si="115"/>
        <v/>
      </c>
      <c r="AQ537" s="10" t="str">
        <f t="shared" si="116"/>
        <v/>
      </c>
    </row>
    <row r="538" spans="1:43">
      <c r="A538">
        <v>537</v>
      </c>
      <c r="B538" t="s">
        <v>23</v>
      </c>
      <c r="C538" t="s">
        <v>174</v>
      </c>
      <c r="D538" t="s">
        <v>175</v>
      </c>
      <c r="E538" t="s">
        <v>97</v>
      </c>
      <c r="G538" t="s">
        <v>18</v>
      </c>
      <c r="H538" s="4">
        <v>21530070</v>
      </c>
      <c r="I538" s="5">
        <v>256</v>
      </c>
      <c r="J538" s="5">
        <v>0</v>
      </c>
      <c r="K538" s="5">
        <v>8</v>
      </c>
      <c r="L538">
        <v>5.2</v>
      </c>
      <c r="M538">
        <v>6.5</v>
      </c>
      <c r="N538">
        <v>5.92</v>
      </c>
      <c r="O538" s="6">
        <v>15.6</v>
      </c>
      <c r="P538" s="7">
        <v>2.2000000000000002</v>
      </c>
      <c r="U538" t="s">
        <v>84</v>
      </c>
      <c r="V538" t="s">
        <v>126</v>
      </c>
      <c r="W538">
        <v>1.6</v>
      </c>
      <c r="X538" t="s">
        <v>104</v>
      </c>
      <c r="Y538" t="s">
        <v>176</v>
      </c>
      <c r="Z538" t="s">
        <v>100</v>
      </c>
      <c r="AA538" t="s">
        <v>101</v>
      </c>
      <c r="AB538" t="s">
        <v>115</v>
      </c>
      <c r="AC538">
        <v>797.41</v>
      </c>
      <c r="AD538" s="8" t="b">
        <f>AND(
 H538&gt;=Filters!$B$3,
 H538&lt;=Filters!$B$4,
 I538&gt;=Filters!$B$5,
 OR(Filters!$B$6="All",B538=Filters!$B$6),
 F538&gt;=Filters!$B$7,
 F538&lt;=Filters!$B$8,
 OR(Filters!$B$9="All",G538=Filters!$B$9)
)</f>
        <v>1</v>
      </c>
      <c r="AE538">
        <f t="shared" si="104"/>
        <v>6</v>
      </c>
      <c r="AF538">
        <f t="shared" si="105"/>
        <v>7</v>
      </c>
      <c r="AG538">
        <f t="shared" si="106"/>
        <v>7</v>
      </c>
      <c r="AH538" s="9">
        <f t="shared" si="107"/>
        <v>0.47619047619047616</v>
      </c>
      <c r="AI538" s="9">
        <f t="shared" si="108"/>
        <v>0.80952380952380942</v>
      </c>
      <c r="AJ538" s="9">
        <f t="shared" si="109"/>
        <v>0.63095238095238093</v>
      </c>
      <c r="AK538" s="9">
        <f t="shared" si="110"/>
        <v>0.56190476190476191</v>
      </c>
      <c r="AL538" s="9">
        <f t="shared" si="111"/>
        <v>0.88095238095238082</v>
      </c>
      <c r="AM538" s="9">
        <f t="shared" si="112"/>
        <v>0.5714285714285714</v>
      </c>
      <c r="AN538" s="9">
        <f t="shared" si="113"/>
        <v>0.69047619047619047</v>
      </c>
      <c r="AO538" s="9">
        <f t="shared" si="114"/>
        <v>0.69047619047619047</v>
      </c>
      <c r="AP538" s="9">
        <f t="shared" si="115"/>
        <v>0.64584333967408358</v>
      </c>
      <c r="AQ538" s="10">
        <f t="shared" si="116"/>
        <v>0.64584387767408358</v>
      </c>
    </row>
    <row r="539" spans="1:43">
      <c r="A539">
        <v>538</v>
      </c>
      <c r="B539" t="s">
        <v>26</v>
      </c>
      <c r="C539" t="s">
        <v>95</v>
      </c>
      <c r="D539" t="s">
        <v>96</v>
      </c>
      <c r="E539" t="s">
        <v>97</v>
      </c>
      <c r="G539" t="s">
        <v>18</v>
      </c>
      <c r="H539" s="4">
        <v>10772730</v>
      </c>
      <c r="I539" s="5">
        <v>256</v>
      </c>
      <c r="J539" s="5">
        <v>0</v>
      </c>
      <c r="K539" s="5">
        <v>4</v>
      </c>
      <c r="L539">
        <v>2.2000000000000002</v>
      </c>
      <c r="M539">
        <v>3.5</v>
      </c>
      <c r="N539">
        <v>5.92</v>
      </c>
      <c r="O539" s="6">
        <v>15.6</v>
      </c>
      <c r="P539" s="7">
        <v>1.86</v>
      </c>
      <c r="U539" t="s">
        <v>84</v>
      </c>
      <c r="V539" t="s">
        <v>611</v>
      </c>
      <c r="W539">
        <v>1.6</v>
      </c>
      <c r="X539" t="s">
        <v>84</v>
      </c>
      <c r="Y539" t="s">
        <v>612</v>
      </c>
      <c r="Z539" t="s">
        <v>100</v>
      </c>
      <c r="AA539" t="s">
        <v>101</v>
      </c>
      <c r="AB539" t="s">
        <v>115</v>
      </c>
      <c r="AC539">
        <v>398.99</v>
      </c>
      <c r="AD539" s="8" t="b">
        <f>AND(
 H539&gt;=Filters!$B$3,
 H539&lt;=Filters!$B$4,
 I539&gt;=Filters!$B$5,
 OR(Filters!$B$6="All",B539=Filters!$B$6),
 F539&gt;=Filters!$B$7,
 F539&lt;=Filters!$B$8,
 OR(Filters!$B$9="All",G539=Filters!$B$9)
)</f>
        <v>1</v>
      </c>
      <c r="AE539">
        <f t="shared" si="104"/>
        <v>6</v>
      </c>
      <c r="AF539">
        <f t="shared" si="105"/>
        <v>7</v>
      </c>
      <c r="AG539">
        <f t="shared" si="106"/>
        <v>7</v>
      </c>
      <c r="AH539" s="9">
        <f t="shared" si="107"/>
        <v>0.11904761904761907</v>
      </c>
      <c r="AI539" s="9">
        <f t="shared" si="108"/>
        <v>0.33333333333333331</v>
      </c>
      <c r="AJ539" s="9">
        <f t="shared" si="109"/>
        <v>0.27380952380952378</v>
      </c>
      <c r="AK539" s="9">
        <f t="shared" si="110"/>
        <v>0.56190476190476191</v>
      </c>
      <c r="AL539" s="9">
        <f t="shared" si="111"/>
        <v>0.92142857142857126</v>
      </c>
      <c r="AM539" s="9">
        <f t="shared" si="112"/>
        <v>0.5714285714285714</v>
      </c>
      <c r="AN539" s="9">
        <f t="shared" si="113"/>
        <v>0.69047619047619047</v>
      </c>
      <c r="AO539" s="9">
        <f t="shared" si="114"/>
        <v>0.69047619047619047</v>
      </c>
      <c r="AP539" s="9">
        <f t="shared" si="115"/>
        <v>0.46310079448545455</v>
      </c>
      <c r="AQ539" s="10">
        <f t="shared" si="116"/>
        <v>0.46310133348545457</v>
      </c>
    </row>
    <row r="540" spans="1:43">
      <c r="A540">
        <v>539</v>
      </c>
      <c r="B540" t="s">
        <v>26</v>
      </c>
      <c r="C540" t="s">
        <v>877</v>
      </c>
      <c r="D540" t="s">
        <v>878</v>
      </c>
      <c r="E540" t="s">
        <v>158</v>
      </c>
      <c r="G540" t="s">
        <v>18</v>
      </c>
      <c r="H540" s="4">
        <v>48573000</v>
      </c>
      <c r="I540" s="5">
        <v>0</v>
      </c>
      <c r="J540" s="5">
        <v>1024</v>
      </c>
      <c r="K540" s="5">
        <v>12</v>
      </c>
      <c r="L540">
        <v>9.6</v>
      </c>
      <c r="M540">
        <v>9.1999999999999993</v>
      </c>
      <c r="N540">
        <v>5.83</v>
      </c>
      <c r="O540" s="6">
        <v>17.3</v>
      </c>
      <c r="P540" s="7">
        <v>2.62</v>
      </c>
      <c r="U540" t="s">
        <v>84</v>
      </c>
      <c r="V540" t="s">
        <v>210</v>
      </c>
      <c r="W540">
        <v>2.8</v>
      </c>
      <c r="X540" t="s">
        <v>122</v>
      </c>
      <c r="Y540" t="s">
        <v>211</v>
      </c>
      <c r="Z540" t="s">
        <v>146</v>
      </c>
      <c r="AA540" t="s">
        <v>101</v>
      </c>
      <c r="AB540" t="s">
        <v>115</v>
      </c>
      <c r="AC540">
        <v>1799</v>
      </c>
      <c r="AD540" s="8" t="b">
        <f>AND(
 H540&gt;=Filters!$B$3,
 H540&lt;=Filters!$B$4,
 I540&gt;=Filters!$B$5,
 OR(Filters!$B$6="All",B540=Filters!$B$6),
 F540&gt;=Filters!$B$7,
 F540&lt;=Filters!$B$8,
 OR(Filters!$B$9="All",G540=Filters!$B$9)
)</f>
        <v>0</v>
      </c>
      <c r="AE540">
        <f t="shared" si="104"/>
        <v>6</v>
      </c>
      <c r="AF540">
        <f t="shared" si="105"/>
        <v>7</v>
      </c>
      <c r="AG540">
        <f t="shared" si="106"/>
        <v>7</v>
      </c>
      <c r="AH540" s="9" t="str">
        <f t="shared" si="107"/>
        <v/>
      </c>
      <c r="AI540" s="9" t="str">
        <f t="shared" si="108"/>
        <v/>
      </c>
      <c r="AJ540" s="9" t="str">
        <f t="shared" si="109"/>
        <v/>
      </c>
      <c r="AK540" s="9" t="str">
        <f t="shared" si="110"/>
        <v/>
      </c>
      <c r="AL540" s="9" t="str">
        <f t="shared" si="111"/>
        <v/>
      </c>
      <c r="AM540" s="9" t="str">
        <f t="shared" si="112"/>
        <v/>
      </c>
      <c r="AN540" s="9" t="str">
        <f t="shared" si="113"/>
        <v/>
      </c>
      <c r="AO540" s="9" t="str">
        <f t="shared" si="114"/>
        <v/>
      </c>
      <c r="AP540" s="9" t="str">
        <f t="shared" si="115"/>
        <v/>
      </c>
      <c r="AQ540" s="10" t="str">
        <f t="shared" si="116"/>
        <v/>
      </c>
    </row>
    <row r="541" spans="1:43">
      <c r="A541">
        <v>540</v>
      </c>
      <c r="B541" t="s">
        <v>29</v>
      </c>
      <c r="C541" t="s">
        <v>879</v>
      </c>
      <c r="D541" t="s">
        <v>880</v>
      </c>
      <c r="E541" t="s">
        <v>97</v>
      </c>
      <c r="G541" t="s">
        <v>18</v>
      </c>
      <c r="H541" s="4">
        <v>23193000</v>
      </c>
      <c r="I541" s="5">
        <v>256</v>
      </c>
      <c r="J541" s="5">
        <v>0</v>
      </c>
      <c r="K541" s="5">
        <v>8</v>
      </c>
      <c r="L541">
        <v>9.4</v>
      </c>
      <c r="M541">
        <v>6.5</v>
      </c>
      <c r="N541">
        <v>6.4</v>
      </c>
      <c r="O541" s="6">
        <v>14</v>
      </c>
      <c r="P541" s="7">
        <v>1.87</v>
      </c>
      <c r="U541" t="s">
        <v>84</v>
      </c>
      <c r="V541" t="s">
        <v>140</v>
      </c>
      <c r="W541">
        <v>2.7</v>
      </c>
      <c r="X541" t="s">
        <v>122</v>
      </c>
      <c r="Y541" t="s">
        <v>145</v>
      </c>
      <c r="Z541" t="s">
        <v>100</v>
      </c>
      <c r="AA541" t="s">
        <v>128</v>
      </c>
      <c r="AB541" t="s">
        <v>115</v>
      </c>
      <c r="AC541">
        <v>859</v>
      </c>
      <c r="AD541" s="8" t="b">
        <f>AND(
 H541&gt;=Filters!$B$3,
 H541&lt;=Filters!$B$4,
 I541&gt;=Filters!$B$5,
 OR(Filters!$B$6="All",B541=Filters!$B$6),
 F541&gt;=Filters!$B$7,
 F541&lt;=Filters!$B$8,
 OR(Filters!$B$9="All",G541=Filters!$B$9)
)</f>
        <v>1</v>
      </c>
      <c r="AE541">
        <f t="shared" si="104"/>
        <v>6</v>
      </c>
      <c r="AF541">
        <f t="shared" si="105"/>
        <v>7</v>
      </c>
      <c r="AG541">
        <f t="shared" si="106"/>
        <v>7</v>
      </c>
      <c r="AH541" s="9">
        <f t="shared" si="107"/>
        <v>0.97619047619047628</v>
      </c>
      <c r="AI541" s="9">
        <f t="shared" si="108"/>
        <v>0.80952380952380942</v>
      </c>
      <c r="AJ541" s="9">
        <f t="shared" si="109"/>
        <v>0.63095238095238093</v>
      </c>
      <c r="AK541" s="9">
        <f t="shared" si="110"/>
        <v>0.61904761904761907</v>
      </c>
      <c r="AL541" s="9">
        <f t="shared" si="111"/>
        <v>0.92023809523809519</v>
      </c>
      <c r="AM541" s="9">
        <f t="shared" si="112"/>
        <v>0.5714285714285714</v>
      </c>
      <c r="AN541" s="9">
        <f t="shared" si="113"/>
        <v>0.69047619047619047</v>
      </c>
      <c r="AO541" s="9">
        <f t="shared" si="114"/>
        <v>0.69047619047619047</v>
      </c>
      <c r="AP541" s="9">
        <f t="shared" si="115"/>
        <v>0.75698028187174071</v>
      </c>
      <c r="AQ541" s="10">
        <f t="shared" si="116"/>
        <v>0.75698082287174073</v>
      </c>
    </row>
    <row r="542" spans="1:43">
      <c r="A542">
        <v>541</v>
      </c>
      <c r="B542" t="s">
        <v>23</v>
      </c>
      <c r="C542" t="s">
        <v>147</v>
      </c>
      <c r="D542" t="s">
        <v>148</v>
      </c>
      <c r="E542" t="s">
        <v>83</v>
      </c>
      <c r="G542" t="s">
        <v>18</v>
      </c>
      <c r="H542" s="4">
        <v>37773000</v>
      </c>
      <c r="I542" s="5">
        <v>256</v>
      </c>
      <c r="J542" s="5">
        <v>0</v>
      </c>
      <c r="K542" s="5">
        <v>8</v>
      </c>
      <c r="L542">
        <v>7.6</v>
      </c>
      <c r="M542">
        <v>3.8</v>
      </c>
      <c r="N542">
        <v>8.4600000000000009</v>
      </c>
      <c r="O542" s="6">
        <v>13.3</v>
      </c>
      <c r="P542" s="7">
        <v>1.2</v>
      </c>
      <c r="U542" t="s">
        <v>84</v>
      </c>
      <c r="V542" t="s">
        <v>121</v>
      </c>
      <c r="W542">
        <v>1.8</v>
      </c>
      <c r="X542" t="s">
        <v>84</v>
      </c>
      <c r="Y542" t="s">
        <v>127</v>
      </c>
      <c r="Z542" t="s">
        <v>100</v>
      </c>
      <c r="AA542" t="s">
        <v>333</v>
      </c>
      <c r="AB542" t="s">
        <v>115</v>
      </c>
      <c r="AC542">
        <v>1399</v>
      </c>
      <c r="AD542" s="8" t="b">
        <f>AND(
 H542&gt;=Filters!$B$3,
 H542&lt;=Filters!$B$4,
 I542&gt;=Filters!$B$5,
 OR(Filters!$B$6="All",B542=Filters!$B$6),
 F542&gt;=Filters!$B$7,
 F542&lt;=Filters!$B$8,
 OR(Filters!$B$9="All",G542=Filters!$B$9)
)</f>
        <v>0</v>
      </c>
      <c r="AE542">
        <f t="shared" si="104"/>
        <v>6</v>
      </c>
      <c r="AF542">
        <f t="shared" si="105"/>
        <v>7</v>
      </c>
      <c r="AG542">
        <f t="shared" si="106"/>
        <v>7</v>
      </c>
      <c r="AH542" s="9" t="str">
        <f t="shared" si="107"/>
        <v/>
      </c>
      <c r="AI542" s="9" t="str">
        <f t="shared" si="108"/>
        <v/>
      </c>
      <c r="AJ542" s="9" t="str">
        <f t="shared" si="109"/>
        <v/>
      </c>
      <c r="AK542" s="9" t="str">
        <f t="shared" si="110"/>
        <v/>
      </c>
      <c r="AL542" s="9" t="str">
        <f t="shared" si="111"/>
        <v/>
      </c>
      <c r="AM542" s="9" t="str">
        <f t="shared" si="112"/>
        <v/>
      </c>
      <c r="AN542" s="9" t="str">
        <f t="shared" si="113"/>
        <v/>
      </c>
      <c r="AO542" s="9" t="str">
        <f t="shared" si="114"/>
        <v/>
      </c>
      <c r="AP542" s="9" t="str">
        <f t="shared" si="115"/>
        <v/>
      </c>
      <c r="AQ542" s="10" t="str">
        <f t="shared" si="116"/>
        <v/>
      </c>
    </row>
    <row r="543" spans="1:43">
      <c r="A543">
        <v>542</v>
      </c>
      <c r="B543" t="s">
        <v>23</v>
      </c>
      <c r="C543" t="s">
        <v>502</v>
      </c>
      <c r="D543" t="s">
        <v>503</v>
      </c>
      <c r="E543" t="s">
        <v>97</v>
      </c>
      <c r="G543" t="s">
        <v>18</v>
      </c>
      <c r="H543" s="4">
        <v>19868490</v>
      </c>
      <c r="I543" s="5">
        <v>128</v>
      </c>
      <c r="J543" s="5">
        <v>0</v>
      </c>
      <c r="K543" s="5">
        <v>4</v>
      </c>
      <c r="L543">
        <v>4</v>
      </c>
      <c r="M543">
        <v>3.5</v>
      </c>
      <c r="N543">
        <v>6</v>
      </c>
      <c r="O543" s="6">
        <v>14</v>
      </c>
      <c r="P543" s="7">
        <v>1.6</v>
      </c>
      <c r="U543" t="s">
        <v>84</v>
      </c>
      <c r="V543" t="s">
        <v>129</v>
      </c>
      <c r="W543">
        <v>2</v>
      </c>
      <c r="X543" t="s">
        <v>84</v>
      </c>
      <c r="Y543" t="s">
        <v>130</v>
      </c>
      <c r="Z543" t="s">
        <v>87</v>
      </c>
      <c r="AA543" t="s">
        <v>101</v>
      </c>
      <c r="AB543" t="s">
        <v>115</v>
      </c>
      <c r="AC543">
        <v>735.87</v>
      </c>
      <c r="AD543" s="8" t="b">
        <f>AND(
 H543&gt;=Filters!$B$3,
 H543&lt;=Filters!$B$4,
 I543&gt;=Filters!$B$5,
 OR(Filters!$B$6="All",B543=Filters!$B$6),
 F543&gt;=Filters!$B$7,
 F543&lt;=Filters!$B$8,
 OR(Filters!$B$9="All",G543=Filters!$B$9)
)</f>
        <v>0</v>
      </c>
      <c r="AE543">
        <f t="shared" si="104"/>
        <v>6</v>
      </c>
      <c r="AF543">
        <f t="shared" si="105"/>
        <v>7</v>
      </c>
      <c r="AG543">
        <f t="shared" si="106"/>
        <v>7</v>
      </c>
      <c r="AH543" s="9" t="str">
        <f t="shared" si="107"/>
        <v/>
      </c>
      <c r="AI543" s="9" t="str">
        <f t="shared" si="108"/>
        <v/>
      </c>
      <c r="AJ543" s="9" t="str">
        <f t="shared" si="109"/>
        <v/>
      </c>
      <c r="AK543" s="9" t="str">
        <f t="shared" si="110"/>
        <v/>
      </c>
      <c r="AL543" s="9" t="str">
        <f t="shared" si="111"/>
        <v/>
      </c>
      <c r="AM543" s="9" t="str">
        <f t="shared" si="112"/>
        <v/>
      </c>
      <c r="AN543" s="9" t="str">
        <f t="shared" si="113"/>
        <v/>
      </c>
      <c r="AO543" s="9" t="str">
        <f t="shared" si="114"/>
        <v/>
      </c>
      <c r="AP543" s="9" t="str">
        <f t="shared" si="115"/>
        <v/>
      </c>
      <c r="AQ543" s="10" t="str">
        <f t="shared" si="116"/>
        <v/>
      </c>
    </row>
    <row r="544" spans="1:43">
      <c r="A544">
        <v>543</v>
      </c>
      <c r="B544" t="s">
        <v>26</v>
      </c>
      <c r="C544" t="s">
        <v>881</v>
      </c>
      <c r="D544" t="s">
        <v>882</v>
      </c>
      <c r="E544" t="s">
        <v>83</v>
      </c>
      <c r="G544" t="s">
        <v>18</v>
      </c>
      <c r="H544" s="4">
        <v>30915000</v>
      </c>
      <c r="I544" s="5">
        <v>256</v>
      </c>
      <c r="J544" s="5">
        <v>0</v>
      </c>
      <c r="K544" s="5">
        <v>8</v>
      </c>
      <c r="L544">
        <v>9.4</v>
      </c>
      <c r="M544">
        <v>3.5</v>
      </c>
      <c r="N544">
        <v>8.56</v>
      </c>
      <c r="O544" s="6">
        <v>13.3</v>
      </c>
      <c r="P544" s="7">
        <v>1.34</v>
      </c>
      <c r="U544" t="s">
        <v>84</v>
      </c>
      <c r="V544" t="s">
        <v>140</v>
      </c>
      <c r="W544">
        <v>2.7</v>
      </c>
      <c r="X544" t="s">
        <v>84</v>
      </c>
      <c r="Y544" t="s">
        <v>99</v>
      </c>
      <c r="Z544" t="s">
        <v>100</v>
      </c>
      <c r="AA544" t="s">
        <v>883</v>
      </c>
      <c r="AB544" t="s">
        <v>115</v>
      </c>
      <c r="AC544">
        <v>1145</v>
      </c>
      <c r="AD544" s="8" t="b">
        <f>AND(
 H544&gt;=Filters!$B$3,
 H544&lt;=Filters!$B$4,
 I544&gt;=Filters!$B$5,
 OR(Filters!$B$6="All",B544=Filters!$B$6),
 F544&gt;=Filters!$B$7,
 F544&lt;=Filters!$B$8,
 OR(Filters!$B$9="All",G544=Filters!$B$9)
)</f>
        <v>0</v>
      </c>
      <c r="AE544">
        <f t="shared" si="104"/>
        <v>6</v>
      </c>
      <c r="AF544">
        <f t="shared" si="105"/>
        <v>7</v>
      </c>
      <c r="AG544">
        <f t="shared" si="106"/>
        <v>7</v>
      </c>
      <c r="AH544" s="9" t="str">
        <f t="shared" si="107"/>
        <v/>
      </c>
      <c r="AI544" s="9" t="str">
        <f t="shared" si="108"/>
        <v/>
      </c>
      <c r="AJ544" s="9" t="str">
        <f t="shared" si="109"/>
        <v/>
      </c>
      <c r="AK544" s="9" t="str">
        <f t="shared" si="110"/>
        <v/>
      </c>
      <c r="AL544" s="9" t="str">
        <f t="shared" si="111"/>
        <v/>
      </c>
      <c r="AM544" s="9" t="str">
        <f t="shared" si="112"/>
        <v/>
      </c>
      <c r="AN544" s="9" t="str">
        <f t="shared" si="113"/>
        <v/>
      </c>
      <c r="AO544" s="9" t="str">
        <f t="shared" si="114"/>
        <v/>
      </c>
      <c r="AP544" s="9" t="str">
        <f t="shared" si="115"/>
        <v/>
      </c>
      <c r="AQ544" s="10" t="str">
        <f t="shared" si="116"/>
        <v/>
      </c>
    </row>
    <row r="545" spans="1:43">
      <c r="A545">
        <v>544</v>
      </c>
      <c r="B545" t="s">
        <v>17</v>
      </c>
      <c r="C545" t="s">
        <v>884</v>
      </c>
      <c r="D545" t="s">
        <v>474</v>
      </c>
      <c r="E545" t="s">
        <v>158</v>
      </c>
      <c r="G545" t="s">
        <v>18</v>
      </c>
      <c r="H545" s="4">
        <v>21546000</v>
      </c>
      <c r="I545" s="5">
        <v>0</v>
      </c>
      <c r="J545" s="5">
        <v>1024</v>
      </c>
      <c r="K545" s="5">
        <v>8</v>
      </c>
      <c r="L545">
        <v>7</v>
      </c>
      <c r="M545">
        <v>9.1999999999999993</v>
      </c>
      <c r="N545">
        <v>5.92</v>
      </c>
      <c r="O545" s="6">
        <v>15.6</v>
      </c>
      <c r="P545" s="7">
        <v>2.4</v>
      </c>
      <c r="U545" t="s">
        <v>84</v>
      </c>
      <c r="V545" t="s">
        <v>159</v>
      </c>
      <c r="W545">
        <v>2.5</v>
      </c>
      <c r="X545" t="s">
        <v>122</v>
      </c>
      <c r="Y545" t="s">
        <v>160</v>
      </c>
      <c r="Z545" t="s">
        <v>146</v>
      </c>
      <c r="AA545" t="s">
        <v>101</v>
      </c>
      <c r="AB545" t="s">
        <v>201</v>
      </c>
      <c r="AC545">
        <v>798</v>
      </c>
      <c r="AD545" s="8" t="b">
        <f>AND(
 H545&gt;=Filters!$B$3,
 H545&lt;=Filters!$B$4,
 I545&gt;=Filters!$B$5,
 OR(Filters!$B$6="All",B545=Filters!$B$6),
 F545&gt;=Filters!$B$7,
 F545&lt;=Filters!$B$8,
 OR(Filters!$B$9="All",G545=Filters!$B$9)
)</f>
        <v>0</v>
      </c>
      <c r="AE545">
        <f t="shared" si="104"/>
        <v>6</v>
      </c>
      <c r="AF545">
        <f t="shared" si="105"/>
        <v>7</v>
      </c>
      <c r="AG545">
        <f t="shared" si="106"/>
        <v>7</v>
      </c>
      <c r="AH545" s="9" t="str">
        <f t="shared" si="107"/>
        <v/>
      </c>
      <c r="AI545" s="9" t="str">
        <f t="shared" si="108"/>
        <v/>
      </c>
      <c r="AJ545" s="9" t="str">
        <f t="shared" si="109"/>
        <v/>
      </c>
      <c r="AK545" s="9" t="str">
        <f t="shared" si="110"/>
        <v/>
      </c>
      <c r="AL545" s="9" t="str">
        <f t="shared" si="111"/>
        <v/>
      </c>
      <c r="AM545" s="9" t="str">
        <f t="shared" si="112"/>
        <v/>
      </c>
      <c r="AN545" s="9" t="str">
        <f t="shared" si="113"/>
        <v/>
      </c>
      <c r="AO545" s="9" t="str">
        <f t="shared" si="114"/>
        <v/>
      </c>
      <c r="AP545" s="9" t="str">
        <f t="shared" si="115"/>
        <v/>
      </c>
      <c r="AQ545" s="10" t="str">
        <f t="shared" si="116"/>
        <v/>
      </c>
    </row>
    <row r="546" spans="1:43">
      <c r="A546">
        <v>545</v>
      </c>
      <c r="B546" t="s">
        <v>21</v>
      </c>
      <c r="C546" t="s">
        <v>885</v>
      </c>
      <c r="D546" t="s">
        <v>886</v>
      </c>
      <c r="E546" t="s">
        <v>97</v>
      </c>
      <c r="G546" t="s">
        <v>18</v>
      </c>
      <c r="H546" s="4">
        <v>9423000</v>
      </c>
      <c r="I546" s="5">
        <v>0</v>
      </c>
      <c r="J546" s="5">
        <v>500</v>
      </c>
      <c r="K546" s="5">
        <v>4</v>
      </c>
      <c r="L546">
        <v>4.5999999999999996</v>
      </c>
      <c r="M546">
        <v>6.5</v>
      </c>
      <c r="N546">
        <v>3.92</v>
      </c>
      <c r="O546" s="6">
        <v>15.6</v>
      </c>
      <c r="P546" s="7">
        <v>2</v>
      </c>
      <c r="U546" t="s">
        <v>104</v>
      </c>
      <c r="V546" t="s">
        <v>887</v>
      </c>
      <c r="W546">
        <v>1.8</v>
      </c>
      <c r="X546" t="s">
        <v>104</v>
      </c>
      <c r="Y546" t="s">
        <v>888</v>
      </c>
      <c r="Z546" t="s">
        <v>113</v>
      </c>
      <c r="AA546" t="s">
        <v>114</v>
      </c>
      <c r="AB546" t="s">
        <v>115</v>
      </c>
      <c r="AC546">
        <v>349</v>
      </c>
      <c r="AD546" s="8" t="b">
        <f>AND(
 H546&gt;=Filters!$B$3,
 H546&lt;=Filters!$B$4,
 I546&gt;=Filters!$B$5,
 OR(Filters!$B$6="All",B546=Filters!$B$6),
 F546&gt;=Filters!$B$7,
 F546&lt;=Filters!$B$8,
 OR(Filters!$B$9="All",G546=Filters!$B$9)
)</f>
        <v>0</v>
      </c>
      <c r="AE546">
        <f t="shared" si="104"/>
        <v>6</v>
      </c>
      <c r="AF546">
        <f t="shared" si="105"/>
        <v>7</v>
      </c>
      <c r="AG546">
        <f t="shared" si="106"/>
        <v>7</v>
      </c>
      <c r="AH546" s="9" t="str">
        <f t="shared" si="107"/>
        <v/>
      </c>
      <c r="AI546" s="9" t="str">
        <f t="shared" si="108"/>
        <v/>
      </c>
      <c r="AJ546" s="9" t="str">
        <f t="shared" si="109"/>
        <v/>
      </c>
      <c r="AK546" s="9" t="str">
        <f t="shared" si="110"/>
        <v/>
      </c>
      <c r="AL546" s="9" t="str">
        <f t="shared" si="111"/>
        <v/>
      </c>
      <c r="AM546" s="9" t="str">
        <f t="shared" si="112"/>
        <v/>
      </c>
      <c r="AN546" s="9" t="str">
        <f t="shared" si="113"/>
        <v/>
      </c>
      <c r="AO546" s="9" t="str">
        <f t="shared" si="114"/>
        <v/>
      </c>
      <c r="AP546" s="9" t="str">
        <f t="shared" si="115"/>
        <v/>
      </c>
      <c r="AQ546" s="10" t="str">
        <f t="shared" si="116"/>
        <v/>
      </c>
    </row>
    <row r="547" spans="1:43">
      <c r="A547">
        <v>546</v>
      </c>
      <c r="B547" t="s">
        <v>26</v>
      </c>
      <c r="C547" t="s">
        <v>204</v>
      </c>
      <c r="D547" t="s">
        <v>205</v>
      </c>
      <c r="E547" t="s">
        <v>97</v>
      </c>
      <c r="G547" t="s">
        <v>18</v>
      </c>
      <c r="H547" s="4">
        <v>19048500</v>
      </c>
      <c r="I547" s="5">
        <v>128</v>
      </c>
      <c r="J547" s="5">
        <v>0</v>
      </c>
      <c r="K547" s="5">
        <v>4</v>
      </c>
      <c r="L547">
        <v>4.8</v>
      </c>
      <c r="M547">
        <v>3.5</v>
      </c>
      <c r="N547">
        <v>5.92</v>
      </c>
      <c r="O547" s="6">
        <v>15.6</v>
      </c>
      <c r="P547" s="7">
        <v>2.1</v>
      </c>
      <c r="U547" t="s">
        <v>84</v>
      </c>
      <c r="V547" t="s">
        <v>144</v>
      </c>
      <c r="W547">
        <v>2.4</v>
      </c>
      <c r="X547" t="s">
        <v>84</v>
      </c>
      <c r="Y547" t="s">
        <v>99</v>
      </c>
      <c r="Z547" t="s">
        <v>87</v>
      </c>
      <c r="AA547" t="s">
        <v>101</v>
      </c>
      <c r="AB547" t="s">
        <v>115</v>
      </c>
      <c r="AC547">
        <v>705.5</v>
      </c>
      <c r="AD547" s="8" t="b">
        <f>AND(
 H547&gt;=Filters!$B$3,
 H547&lt;=Filters!$B$4,
 I547&gt;=Filters!$B$5,
 OR(Filters!$B$6="All",B547=Filters!$B$6),
 F547&gt;=Filters!$B$7,
 F547&lt;=Filters!$B$8,
 OR(Filters!$B$9="All",G547=Filters!$B$9)
)</f>
        <v>0</v>
      </c>
      <c r="AE547">
        <f t="shared" si="104"/>
        <v>6</v>
      </c>
      <c r="AF547">
        <f t="shared" si="105"/>
        <v>7</v>
      </c>
      <c r="AG547">
        <f t="shared" si="106"/>
        <v>7</v>
      </c>
      <c r="AH547" s="9" t="str">
        <f t="shared" si="107"/>
        <v/>
      </c>
      <c r="AI547" s="9" t="str">
        <f t="shared" si="108"/>
        <v/>
      </c>
      <c r="AJ547" s="9" t="str">
        <f t="shared" si="109"/>
        <v/>
      </c>
      <c r="AK547" s="9" t="str">
        <f t="shared" si="110"/>
        <v/>
      </c>
      <c r="AL547" s="9" t="str">
        <f t="shared" si="111"/>
        <v/>
      </c>
      <c r="AM547" s="9" t="str">
        <f t="shared" si="112"/>
        <v/>
      </c>
      <c r="AN547" s="9" t="str">
        <f t="shared" si="113"/>
        <v/>
      </c>
      <c r="AO547" s="9" t="str">
        <f t="shared" si="114"/>
        <v/>
      </c>
      <c r="AP547" s="9" t="str">
        <f t="shared" si="115"/>
        <v/>
      </c>
      <c r="AQ547" s="10" t="str">
        <f t="shared" si="116"/>
        <v/>
      </c>
    </row>
    <row r="548" spans="1:43">
      <c r="A548">
        <v>547</v>
      </c>
      <c r="B548" t="s">
        <v>29</v>
      </c>
      <c r="C548" t="s">
        <v>889</v>
      </c>
      <c r="D548" t="s">
        <v>890</v>
      </c>
      <c r="E548" t="s">
        <v>97</v>
      </c>
      <c r="G548" t="s">
        <v>18</v>
      </c>
      <c r="H548" s="4">
        <v>21195000</v>
      </c>
      <c r="I548" s="5">
        <v>0</v>
      </c>
      <c r="J548" s="5">
        <v>500</v>
      </c>
      <c r="K548" s="5">
        <v>4</v>
      </c>
      <c r="L548">
        <v>7</v>
      </c>
      <c r="M548">
        <v>3.5</v>
      </c>
      <c r="N548">
        <v>6</v>
      </c>
      <c r="O548" s="6">
        <v>14</v>
      </c>
      <c r="P548" s="7">
        <v>1.87</v>
      </c>
      <c r="U548" t="s">
        <v>84</v>
      </c>
      <c r="V548" t="s">
        <v>98</v>
      </c>
      <c r="W548">
        <v>2.5</v>
      </c>
      <c r="X548" t="s">
        <v>84</v>
      </c>
      <c r="Y548" t="s">
        <v>99</v>
      </c>
      <c r="Z548" t="s">
        <v>113</v>
      </c>
      <c r="AA548" t="s">
        <v>101</v>
      </c>
      <c r="AB548" t="s">
        <v>115</v>
      </c>
      <c r="AC548">
        <v>785</v>
      </c>
      <c r="AD548" s="8" t="b">
        <f>AND(
 H548&gt;=Filters!$B$3,
 H548&lt;=Filters!$B$4,
 I548&gt;=Filters!$B$5,
 OR(Filters!$B$6="All",B548=Filters!$B$6),
 F548&gt;=Filters!$B$7,
 F548&lt;=Filters!$B$8,
 OR(Filters!$B$9="All",G548=Filters!$B$9)
)</f>
        <v>0</v>
      </c>
      <c r="AE548">
        <f t="shared" si="104"/>
        <v>6</v>
      </c>
      <c r="AF548">
        <f t="shared" si="105"/>
        <v>7</v>
      </c>
      <c r="AG548">
        <f t="shared" si="106"/>
        <v>7</v>
      </c>
      <c r="AH548" s="9" t="str">
        <f t="shared" si="107"/>
        <v/>
      </c>
      <c r="AI548" s="9" t="str">
        <f t="shared" si="108"/>
        <v/>
      </c>
      <c r="AJ548" s="9" t="str">
        <f t="shared" si="109"/>
        <v/>
      </c>
      <c r="AK548" s="9" t="str">
        <f t="shared" si="110"/>
        <v/>
      </c>
      <c r="AL548" s="9" t="str">
        <f t="shared" si="111"/>
        <v/>
      </c>
      <c r="AM548" s="9" t="str">
        <f t="shared" si="112"/>
        <v/>
      </c>
      <c r="AN548" s="9" t="str">
        <f t="shared" si="113"/>
        <v/>
      </c>
      <c r="AO548" s="9" t="str">
        <f t="shared" si="114"/>
        <v/>
      </c>
      <c r="AP548" s="9" t="str">
        <f t="shared" si="115"/>
        <v/>
      </c>
      <c r="AQ548" s="10" t="str">
        <f t="shared" si="116"/>
        <v/>
      </c>
    </row>
    <row r="549" spans="1:43">
      <c r="A549">
        <v>548</v>
      </c>
      <c r="B549" t="s">
        <v>29</v>
      </c>
      <c r="C549" t="s">
        <v>891</v>
      </c>
      <c r="D549" t="s">
        <v>892</v>
      </c>
      <c r="E549" t="s">
        <v>97</v>
      </c>
      <c r="G549" t="s">
        <v>18</v>
      </c>
      <c r="H549" s="4">
        <v>12483450</v>
      </c>
      <c r="I549" s="5">
        <v>0</v>
      </c>
      <c r="J549" s="5">
        <v>1024</v>
      </c>
      <c r="K549" s="5">
        <v>4</v>
      </c>
      <c r="L549">
        <v>6.6</v>
      </c>
      <c r="M549">
        <v>3.5</v>
      </c>
      <c r="N549">
        <v>5.92</v>
      </c>
      <c r="O549" s="6">
        <v>15.6</v>
      </c>
      <c r="P549" s="7">
        <v>2.15</v>
      </c>
      <c r="U549" t="s">
        <v>84</v>
      </c>
      <c r="V549" t="s">
        <v>375</v>
      </c>
      <c r="W549">
        <v>2.2999999999999998</v>
      </c>
      <c r="X549" t="s">
        <v>84</v>
      </c>
      <c r="Y549" t="s">
        <v>130</v>
      </c>
      <c r="Z549" t="s">
        <v>146</v>
      </c>
      <c r="AA549" t="s">
        <v>101</v>
      </c>
      <c r="AB549" t="s">
        <v>102</v>
      </c>
      <c r="AC549">
        <v>462.35</v>
      </c>
      <c r="AD549" s="8" t="b">
        <f>AND(
 H549&gt;=Filters!$B$3,
 H549&lt;=Filters!$B$4,
 I549&gt;=Filters!$B$5,
 OR(Filters!$B$6="All",B549=Filters!$B$6),
 F549&gt;=Filters!$B$7,
 F549&lt;=Filters!$B$8,
 OR(Filters!$B$9="All",G549=Filters!$B$9)
)</f>
        <v>0</v>
      </c>
      <c r="AE549">
        <f t="shared" si="104"/>
        <v>6</v>
      </c>
      <c r="AF549">
        <f t="shared" si="105"/>
        <v>7</v>
      </c>
      <c r="AG549">
        <f t="shared" si="106"/>
        <v>7</v>
      </c>
      <c r="AH549" s="9" t="str">
        <f t="shared" si="107"/>
        <v/>
      </c>
      <c r="AI549" s="9" t="str">
        <f t="shared" si="108"/>
        <v/>
      </c>
      <c r="AJ549" s="9" t="str">
        <f t="shared" si="109"/>
        <v/>
      </c>
      <c r="AK549" s="9" t="str">
        <f t="shared" si="110"/>
        <v/>
      </c>
      <c r="AL549" s="9" t="str">
        <f t="shared" si="111"/>
        <v/>
      </c>
      <c r="AM549" s="9" t="str">
        <f t="shared" si="112"/>
        <v/>
      </c>
      <c r="AN549" s="9" t="str">
        <f t="shared" si="113"/>
        <v/>
      </c>
      <c r="AO549" s="9" t="str">
        <f t="shared" si="114"/>
        <v/>
      </c>
      <c r="AP549" s="9" t="str">
        <f t="shared" si="115"/>
        <v/>
      </c>
      <c r="AQ549" s="10" t="str">
        <f t="shared" si="116"/>
        <v/>
      </c>
    </row>
    <row r="550" spans="1:43">
      <c r="A550">
        <v>549</v>
      </c>
      <c r="B550" t="s">
        <v>26</v>
      </c>
      <c r="C550" t="s">
        <v>95</v>
      </c>
      <c r="D550" t="s">
        <v>96</v>
      </c>
      <c r="E550" t="s">
        <v>97</v>
      </c>
      <c r="G550" t="s">
        <v>18</v>
      </c>
      <c r="H550" s="4">
        <v>10719000</v>
      </c>
      <c r="I550" s="5">
        <v>0</v>
      </c>
      <c r="J550" s="5">
        <v>500</v>
      </c>
      <c r="K550" s="5">
        <v>4</v>
      </c>
      <c r="L550">
        <v>4</v>
      </c>
      <c r="M550">
        <v>3.5</v>
      </c>
      <c r="N550">
        <v>5.92</v>
      </c>
      <c r="O550" s="6">
        <v>15.6</v>
      </c>
      <c r="P550" s="7">
        <v>1.86</v>
      </c>
      <c r="U550" t="s">
        <v>84</v>
      </c>
      <c r="V550" t="s">
        <v>129</v>
      </c>
      <c r="W550">
        <v>2</v>
      </c>
      <c r="X550" t="s">
        <v>84</v>
      </c>
      <c r="Y550" t="s">
        <v>130</v>
      </c>
      <c r="Z550" t="s">
        <v>113</v>
      </c>
      <c r="AA550" t="s">
        <v>101</v>
      </c>
      <c r="AB550" t="s">
        <v>115</v>
      </c>
      <c r="AC550">
        <v>397</v>
      </c>
      <c r="AD550" s="8" t="b">
        <f>AND(
 H550&gt;=Filters!$B$3,
 H550&lt;=Filters!$B$4,
 I550&gt;=Filters!$B$5,
 OR(Filters!$B$6="All",B550=Filters!$B$6),
 F550&gt;=Filters!$B$7,
 F550&lt;=Filters!$B$8,
 OR(Filters!$B$9="All",G550=Filters!$B$9)
)</f>
        <v>0</v>
      </c>
      <c r="AE550">
        <f t="shared" si="104"/>
        <v>6</v>
      </c>
      <c r="AF550">
        <f t="shared" si="105"/>
        <v>7</v>
      </c>
      <c r="AG550">
        <f t="shared" si="106"/>
        <v>7</v>
      </c>
      <c r="AH550" s="9" t="str">
        <f t="shared" si="107"/>
        <v/>
      </c>
      <c r="AI550" s="9" t="str">
        <f t="shared" si="108"/>
        <v/>
      </c>
      <c r="AJ550" s="9" t="str">
        <f t="shared" si="109"/>
        <v/>
      </c>
      <c r="AK550" s="9" t="str">
        <f t="shared" si="110"/>
        <v/>
      </c>
      <c r="AL550" s="9" t="str">
        <f t="shared" si="111"/>
        <v/>
      </c>
      <c r="AM550" s="9" t="str">
        <f t="shared" si="112"/>
        <v/>
      </c>
      <c r="AN550" s="9" t="str">
        <f t="shared" si="113"/>
        <v/>
      </c>
      <c r="AO550" s="9" t="str">
        <f t="shared" si="114"/>
        <v/>
      </c>
      <c r="AP550" s="9" t="str">
        <f t="shared" si="115"/>
        <v/>
      </c>
      <c r="AQ550" s="10" t="str">
        <f t="shared" si="116"/>
        <v/>
      </c>
    </row>
    <row r="551" spans="1:43">
      <c r="A551">
        <v>550</v>
      </c>
      <c r="B551" t="s">
        <v>29</v>
      </c>
      <c r="C551" t="s">
        <v>893</v>
      </c>
      <c r="D551" t="s">
        <v>894</v>
      </c>
      <c r="E551" t="s">
        <v>97</v>
      </c>
      <c r="G551" t="s">
        <v>18</v>
      </c>
      <c r="H551" s="4">
        <v>46683000</v>
      </c>
      <c r="I551" s="5">
        <v>512</v>
      </c>
      <c r="J551" s="5">
        <v>0</v>
      </c>
      <c r="K551" s="5">
        <v>8</v>
      </c>
      <c r="L551">
        <v>9.4</v>
      </c>
      <c r="M551">
        <v>3.5</v>
      </c>
      <c r="N551">
        <v>6.32</v>
      </c>
      <c r="O551" s="6">
        <v>15.6</v>
      </c>
      <c r="P551" s="7">
        <v>1.99</v>
      </c>
      <c r="U551" t="s">
        <v>84</v>
      </c>
      <c r="V551" t="s">
        <v>140</v>
      </c>
      <c r="W551">
        <v>2.7</v>
      </c>
      <c r="X551" t="s">
        <v>84</v>
      </c>
      <c r="Y551" t="s">
        <v>99</v>
      </c>
      <c r="Z551" t="s">
        <v>106</v>
      </c>
      <c r="AA551" t="s">
        <v>128</v>
      </c>
      <c r="AB551" t="s">
        <v>115</v>
      </c>
      <c r="AC551">
        <v>1729</v>
      </c>
      <c r="AD551" s="8" t="b">
        <f>AND(
 H551&gt;=Filters!$B$3,
 H551&lt;=Filters!$B$4,
 I551&gt;=Filters!$B$5,
 OR(Filters!$B$6="All",B551=Filters!$B$6),
 F551&gt;=Filters!$B$7,
 F551&lt;=Filters!$B$8,
 OR(Filters!$B$9="All",G551=Filters!$B$9)
)</f>
        <v>0</v>
      </c>
      <c r="AE551">
        <f t="shared" si="104"/>
        <v>6</v>
      </c>
      <c r="AF551">
        <f t="shared" si="105"/>
        <v>7</v>
      </c>
      <c r="AG551">
        <f t="shared" si="106"/>
        <v>7</v>
      </c>
      <c r="AH551" s="9" t="str">
        <f t="shared" si="107"/>
        <v/>
      </c>
      <c r="AI551" s="9" t="str">
        <f t="shared" si="108"/>
        <v/>
      </c>
      <c r="AJ551" s="9" t="str">
        <f t="shared" si="109"/>
        <v/>
      </c>
      <c r="AK551" s="9" t="str">
        <f t="shared" si="110"/>
        <v/>
      </c>
      <c r="AL551" s="9" t="str">
        <f t="shared" si="111"/>
        <v/>
      </c>
      <c r="AM551" s="9" t="str">
        <f t="shared" si="112"/>
        <v/>
      </c>
      <c r="AN551" s="9" t="str">
        <f t="shared" si="113"/>
        <v/>
      </c>
      <c r="AO551" s="9" t="str">
        <f t="shared" si="114"/>
        <v/>
      </c>
      <c r="AP551" s="9" t="str">
        <f t="shared" si="115"/>
        <v/>
      </c>
      <c r="AQ551" s="10" t="str">
        <f t="shared" si="116"/>
        <v/>
      </c>
    </row>
    <row r="552" spans="1:43">
      <c r="A552">
        <v>551</v>
      </c>
      <c r="B552" t="s">
        <v>29</v>
      </c>
      <c r="C552" t="s">
        <v>221</v>
      </c>
      <c r="D552" t="s">
        <v>222</v>
      </c>
      <c r="E552" t="s">
        <v>97</v>
      </c>
      <c r="G552" t="s">
        <v>18</v>
      </c>
      <c r="H552" s="4">
        <v>13473000</v>
      </c>
      <c r="I552" s="5">
        <v>128</v>
      </c>
      <c r="J552" s="5">
        <v>0</v>
      </c>
      <c r="K552" s="5">
        <v>4</v>
      </c>
      <c r="L552">
        <v>4</v>
      </c>
      <c r="M552">
        <v>3.5</v>
      </c>
      <c r="N552">
        <v>5.92</v>
      </c>
      <c r="O552" s="6">
        <v>15.6</v>
      </c>
      <c r="P552" s="7">
        <v>2.2000000000000002</v>
      </c>
      <c r="U552" t="s">
        <v>84</v>
      </c>
      <c r="V552" t="s">
        <v>129</v>
      </c>
      <c r="W552">
        <v>2</v>
      </c>
      <c r="X552" t="s">
        <v>84</v>
      </c>
      <c r="Y552" t="s">
        <v>130</v>
      </c>
      <c r="Z552" t="s">
        <v>87</v>
      </c>
      <c r="AA552" t="s">
        <v>101</v>
      </c>
      <c r="AB552" t="s">
        <v>115</v>
      </c>
      <c r="AC552">
        <v>499</v>
      </c>
      <c r="AD552" s="8" t="b">
        <f>AND(
 H552&gt;=Filters!$B$3,
 H552&lt;=Filters!$B$4,
 I552&gt;=Filters!$B$5,
 OR(Filters!$B$6="All",B552=Filters!$B$6),
 F552&gt;=Filters!$B$7,
 F552&lt;=Filters!$B$8,
 OR(Filters!$B$9="All",G552=Filters!$B$9)
)</f>
        <v>0</v>
      </c>
      <c r="AE552">
        <f t="shared" si="104"/>
        <v>6</v>
      </c>
      <c r="AF552">
        <f t="shared" si="105"/>
        <v>7</v>
      </c>
      <c r="AG552">
        <f t="shared" si="106"/>
        <v>7</v>
      </c>
      <c r="AH552" s="9" t="str">
        <f t="shared" si="107"/>
        <v/>
      </c>
      <c r="AI552" s="9" t="str">
        <f t="shared" si="108"/>
        <v/>
      </c>
      <c r="AJ552" s="9" t="str">
        <f t="shared" si="109"/>
        <v/>
      </c>
      <c r="AK552" s="9" t="str">
        <f t="shared" si="110"/>
        <v/>
      </c>
      <c r="AL552" s="9" t="str">
        <f t="shared" si="111"/>
        <v/>
      </c>
      <c r="AM552" s="9" t="str">
        <f t="shared" si="112"/>
        <v/>
      </c>
      <c r="AN552" s="9" t="str">
        <f t="shared" si="113"/>
        <v/>
      </c>
      <c r="AO552" s="9" t="str">
        <f t="shared" si="114"/>
        <v/>
      </c>
      <c r="AP552" s="9" t="str">
        <f t="shared" si="115"/>
        <v/>
      </c>
      <c r="AQ552" s="10" t="str">
        <f t="shared" si="116"/>
        <v/>
      </c>
    </row>
    <row r="553" spans="1:43">
      <c r="A553">
        <v>552</v>
      </c>
      <c r="B553" t="s">
        <v>23</v>
      </c>
      <c r="C553" t="s">
        <v>870</v>
      </c>
      <c r="D553" t="s">
        <v>871</v>
      </c>
      <c r="E553" t="s">
        <v>97</v>
      </c>
      <c r="G553" t="s">
        <v>18</v>
      </c>
      <c r="H553" s="4">
        <v>30158730</v>
      </c>
      <c r="I553" s="5">
        <v>256</v>
      </c>
      <c r="J553" s="5">
        <v>0</v>
      </c>
      <c r="K553" s="5">
        <v>8</v>
      </c>
      <c r="L553">
        <v>7</v>
      </c>
      <c r="M553">
        <v>3.5</v>
      </c>
      <c r="N553">
        <v>5.92</v>
      </c>
      <c r="O553" s="6">
        <v>15.6</v>
      </c>
      <c r="P553" s="7">
        <v>1.9</v>
      </c>
      <c r="U553" t="s">
        <v>84</v>
      </c>
      <c r="V553" t="s">
        <v>98</v>
      </c>
      <c r="W553">
        <v>2.5</v>
      </c>
      <c r="X553" t="s">
        <v>84</v>
      </c>
      <c r="Y553" t="s">
        <v>99</v>
      </c>
      <c r="Z553" t="s">
        <v>100</v>
      </c>
      <c r="AA553" t="s">
        <v>101</v>
      </c>
      <c r="AB553" t="s">
        <v>115</v>
      </c>
      <c r="AC553">
        <v>1116.99</v>
      </c>
      <c r="AD553" s="8" t="b">
        <f>AND(
 H553&gt;=Filters!$B$3,
 H553&lt;=Filters!$B$4,
 I553&gt;=Filters!$B$5,
 OR(Filters!$B$6="All",B553=Filters!$B$6),
 F553&gt;=Filters!$B$7,
 F553&lt;=Filters!$B$8,
 OR(Filters!$B$9="All",G553=Filters!$B$9)
)</f>
        <v>0</v>
      </c>
      <c r="AE553">
        <f t="shared" si="104"/>
        <v>6</v>
      </c>
      <c r="AF553">
        <f t="shared" si="105"/>
        <v>7</v>
      </c>
      <c r="AG553">
        <f t="shared" si="106"/>
        <v>7</v>
      </c>
      <c r="AH553" s="9" t="str">
        <f t="shared" si="107"/>
        <v/>
      </c>
      <c r="AI553" s="9" t="str">
        <f t="shared" si="108"/>
        <v/>
      </c>
      <c r="AJ553" s="9" t="str">
        <f t="shared" si="109"/>
        <v/>
      </c>
      <c r="AK553" s="9" t="str">
        <f t="shared" si="110"/>
        <v/>
      </c>
      <c r="AL553" s="9" t="str">
        <f t="shared" si="111"/>
        <v/>
      </c>
      <c r="AM553" s="9" t="str">
        <f t="shared" si="112"/>
        <v/>
      </c>
      <c r="AN553" s="9" t="str">
        <f t="shared" si="113"/>
        <v/>
      </c>
      <c r="AO553" s="9" t="str">
        <f t="shared" si="114"/>
        <v/>
      </c>
      <c r="AP553" s="9" t="str">
        <f t="shared" si="115"/>
        <v/>
      </c>
      <c r="AQ553" s="10" t="str">
        <f t="shared" si="116"/>
        <v/>
      </c>
    </row>
    <row r="554" spans="1:43">
      <c r="A554">
        <v>553</v>
      </c>
      <c r="B554" t="s">
        <v>23</v>
      </c>
      <c r="C554" t="s">
        <v>486</v>
      </c>
      <c r="D554" t="s">
        <v>487</v>
      </c>
      <c r="E554" t="s">
        <v>158</v>
      </c>
      <c r="G554" t="s">
        <v>18</v>
      </c>
      <c r="H554" s="4">
        <v>72873000</v>
      </c>
      <c r="I554" s="5">
        <v>256</v>
      </c>
      <c r="J554" s="5">
        <v>1024</v>
      </c>
      <c r="K554" s="5">
        <v>16</v>
      </c>
      <c r="L554">
        <v>9.6</v>
      </c>
      <c r="M554">
        <v>9.1999999999999993</v>
      </c>
      <c r="N554">
        <v>6.24</v>
      </c>
      <c r="O554" s="6">
        <v>17.3</v>
      </c>
      <c r="P554" s="7">
        <v>4.42</v>
      </c>
      <c r="U554" t="s">
        <v>84</v>
      </c>
      <c r="V554" t="s">
        <v>210</v>
      </c>
      <c r="W554">
        <v>2.8</v>
      </c>
      <c r="X554" t="s">
        <v>122</v>
      </c>
      <c r="Y554" t="s">
        <v>248</v>
      </c>
      <c r="Z554" t="s">
        <v>212</v>
      </c>
      <c r="AA554" t="s">
        <v>128</v>
      </c>
      <c r="AB554" t="s">
        <v>115</v>
      </c>
      <c r="AC554">
        <v>2699</v>
      </c>
      <c r="AD554" s="8" t="b">
        <f>AND(
 H554&gt;=Filters!$B$3,
 H554&lt;=Filters!$B$4,
 I554&gt;=Filters!$B$5,
 OR(Filters!$B$6="All",B554=Filters!$B$6),
 F554&gt;=Filters!$B$7,
 F554&lt;=Filters!$B$8,
 OR(Filters!$B$9="All",G554=Filters!$B$9)
)</f>
        <v>0</v>
      </c>
      <c r="AE554">
        <f t="shared" si="104"/>
        <v>6</v>
      </c>
      <c r="AF554">
        <f t="shared" si="105"/>
        <v>7</v>
      </c>
      <c r="AG554">
        <f t="shared" si="106"/>
        <v>7</v>
      </c>
      <c r="AH554" s="9" t="str">
        <f t="shared" si="107"/>
        <v/>
      </c>
      <c r="AI554" s="9" t="str">
        <f t="shared" si="108"/>
        <v/>
      </c>
      <c r="AJ554" s="9" t="str">
        <f t="shared" si="109"/>
        <v/>
      </c>
      <c r="AK554" s="9" t="str">
        <f t="shared" si="110"/>
        <v/>
      </c>
      <c r="AL554" s="9" t="str">
        <f t="shared" si="111"/>
        <v/>
      </c>
      <c r="AM554" s="9" t="str">
        <f t="shared" si="112"/>
        <v/>
      </c>
      <c r="AN554" s="9" t="str">
        <f t="shared" si="113"/>
        <v/>
      </c>
      <c r="AO554" s="9" t="str">
        <f t="shared" si="114"/>
        <v/>
      </c>
      <c r="AP554" s="9" t="str">
        <f t="shared" si="115"/>
        <v/>
      </c>
      <c r="AQ554" s="10" t="str">
        <f t="shared" si="116"/>
        <v/>
      </c>
    </row>
    <row r="555" spans="1:43">
      <c r="A555">
        <v>554</v>
      </c>
      <c r="B555" t="s">
        <v>26</v>
      </c>
      <c r="C555" t="s">
        <v>895</v>
      </c>
      <c r="D555" t="s">
        <v>896</v>
      </c>
      <c r="E555" t="s">
        <v>97</v>
      </c>
      <c r="G555" t="s">
        <v>18</v>
      </c>
      <c r="H555" s="4">
        <v>14692050</v>
      </c>
      <c r="I555" s="5">
        <v>0</v>
      </c>
      <c r="J555" s="5">
        <v>1024</v>
      </c>
      <c r="K555" s="5">
        <v>8</v>
      </c>
      <c r="L555">
        <v>4</v>
      </c>
      <c r="M555">
        <v>3.5</v>
      </c>
      <c r="N555">
        <v>5.83</v>
      </c>
      <c r="O555" s="6">
        <v>17.3</v>
      </c>
      <c r="P555" s="7">
        <v>2.65</v>
      </c>
      <c r="U555" t="s">
        <v>84</v>
      </c>
      <c r="V555" t="s">
        <v>129</v>
      </c>
      <c r="W555">
        <v>2</v>
      </c>
      <c r="X555" t="s">
        <v>84</v>
      </c>
      <c r="Y555" t="s">
        <v>130</v>
      </c>
      <c r="Z555" t="s">
        <v>146</v>
      </c>
      <c r="AA555" t="s">
        <v>452</v>
      </c>
      <c r="AB555" t="s">
        <v>115</v>
      </c>
      <c r="AC555">
        <v>544.15</v>
      </c>
      <c r="AD555" s="8" t="b">
        <f>AND(
 H555&gt;=Filters!$B$3,
 H555&lt;=Filters!$B$4,
 I555&gt;=Filters!$B$5,
 OR(Filters!$B$6="All",B555=Filters!$B$6),
 F555&gt;=Filters!$B$7,
 F555&lt;=Filters!$B$8,
 OR(Filters!$B$9="All",G555=Filters!$B$9)
)</f>
        <v>0</v>
      </c>
      <c r="AE555">
        <f t="shared" si="104"/>
        <v>6</v>
      </c>
      <c r="AF555">
        <f t="shared" si="105"/>
        <v>7</v>
      </c>
      <c r="AG555">
        <f t="shared" si="106"/>
        <v>7</v>
      </c>
      <c r="AH555" s="9" t="str">
        <f t="shared" si="107"/>
        <v/>
      </c>
      <c r="AI555" s="9" t="str">
        <f t="shared" si="108"/>
        <v/>
      </c>
      <c r="AJ555" s="9" t="str">
        <f t="shared" si="109"/>
        <v/>
      </c>
      <c r="AK555" s="9" t="str">
        <f t="shared" si="110"/>
        <v/>
      </c>
      <c r="AL555" s="9" t="str">
        <f t="shared" si="111"/>
        <v/>
      </c>
      <c r="AM555" s="9" t="str">
        <f t="shared" si="112"/>
        <v/>
      </c>
      <c r="AN555" s="9" t="str">
        <f t="shared" si="113"/>
        <v/>
      </c>
      <c r="AO555" s="9" t="str">
        <f t="shared" si="114"/>
        <v/>
      </c>
      <c r="AP555" s="9" t="str">
        <f t="shared" si="115"/>
        <v/>
      </c>
      <c r="AQ555" s="10" t="str">
        <f t="shared" si="116"/>
        <v/>
      </c>
    </row>
    <row r="556" spans="1:43">
      <c r="A556">
        <v>555</v>
      </c>
      <c r="B556" t="s">
        <v>26</v>
      </c>
      <c r="C556" t="s">
        <v>181</v>
      </c>
      <c r="D556" t="s">
        <v>182</v>
      </c>
      <c r="E556" t="s">
        <v>97</v>
      </c>
      <c r="G556" t="s">
        <v>18</v>
      </c>
      <c r="H556" s="4">
        <v>34560000</v>
      </c>
      <c r="I556" s="5">
        <v>0</v>
      </c>
      <c r="J556" s="5">
        <v>1024</v>
      </c>
      <c r="K556" s="5">
        <v>8</v>
      </c>
      <c r="L556">
        <v>9.4</v>
      </c>
      <c r="M556">
        <v>6.5</v>
      </c>
      <c r="N556">
        <v>5.83</v>
      </c>
      <c r="O556" s="6">
        <v>17.3</v>
      </c>
      <c r="P556" s="7">
        <v>2.63</v>
      </c>
      <c r="U556" t="s">
        <v>84</v>
      </c>
      <c r="V556" t="s">
        <v>140</v>
      </c>
      <c r="W556">
        <v>2.7</v>
      </c>
      <c r="X556" t="s">
        <v>122</v>
      </c>
      <c r="Y556" t="s">
        <v>183</v>
      </c>
      <c r="Z556" t="s">
        <v>146</v>
      </c>
      <c r="AA556" t="s">
        <v>101</v>
      </c>
      <c r="AB556" t="s">
        <v>115</v>
      </c>
      <c r="AC556">
        <v>1280</v>
      </c>
      <c r="AD556" s="8" t="b">
        <f>AND(
 H556&gt;=Filters!$B$3,
 H556&lt;=Filters!$B$4,
 I556&gt;=Filters!$B$5,
 OR(Filters!$B$6="All",B556=Filters!$B$6),
 F556&gt;=Filters!$B$7,
 F556&lt;=Filters!$B$8,
 OR(Filters!$B$9="All",G556=Filters!$B$9)
)</f>
        <v>0</v>
      </c>
      <c r="AE556">
        <f t="shared" si="104"/>
        <v>6</v>
      </c>
      <c r="AF556">
        <f t="shared" si="105"/>
        <v>7</v>
      </c>
      <c r="AG556">
        <f t="shared" si="106"/>
        <v>7</v>
      </c>
      <c r="AH556" s="9" t="str">
        <f t="shared" si="107"/>
        <v/>
      </c>
      <c r="AI556" s="9" t="str">
        <f t="shared" si="108"/>
        <v/>
      </c>
      <c r="AJ556" s="9" t="str">
        <f t="shared" si="109"/>
        <v/>
      </c>
      <c r="AK556" s="9" t="str">
        <f t="shared" si="110"/>
        <v/>
      </c>
      <c r="AL556" s="9" t="str">
        <f t="shared" si="111"/>
        <v/>
      </c>
      <c r="AM556" s="9" t="str">
        <f t="shared" si="112"/>
        <v/>
      </c>
      <c r="AN556" s="9" t="str">
        <f t="shared" si="113"/>
        <v/>
      </c>
      <c r="AO556" s="9" t="str">
        <f t="shared" si="114"/>
        <v/>
      </c>
      <c r="AP556" s="9" t="str">
        <f t="shared" si="115"/>
        <v/>
      </c>
      <c r="AQ556" s="10" t="str">
        <f t="shared" si="116"/>
        <v/>
      </c>
    </row>
    <row r="557" spans="1:43">
      <c r="A557">
        <v>556</v>
      </c>
      <c r="B557" t="s">
        <v>21</v>
      </c>
      <c r="C557" t="s">
        <v>897</v>
      </c>
      <c r="D557" t="s">
        <v>898</v>
      </c>
      <c r="E557" t="s">
        <v>97</v>
      </c>
      <c r="G557" t="s">
        <v>18</v>
      </c>
      <c r="H557" s="4">
        <v>6048000</v>
      </c>
      <c r="I557" s="5">
        <v>0</v>
      </c>
      <c r="J557" s="5">
        <v>500</v>
      </c>
      <c r="K557" s="5">
        <v>4</v>
      </c>
      <c r="L557">
        <v>1</v>
      </c>
      <c r="M557">
        <v>3.5</v>
      </c>
      <c r="N557">
        <v>3.92</v>
      </c>
      <c r="O557" s="6">
        <v>15.6</v>
      </c>
      <c r="P557" s="7">
        <v>2</v>
      </c>
      <c r="U557" t="s">
        <v>84</v>
      </c>
      <c r="V557" t="s">
        <v>198</v>
      </c>
      <c r="W557">
        <v>1.1000000000000001</v>
      </c>
      <c r="X557" t="s">
        <v>84</v>
      </c>
      <c r="Y557" t="s">
        <v>199</v>
      </c>
      <c r="Z557" t="s">
        <v>113</v>
      </c>
      <c r="AA557" t="s">
        <v>114</v>
      </c>
      <c r="AB557" t="s">
        <v>201</v>
      </c>
      <c r="AC557">
        <v>224</v>
      </c>
      <c r="AD557" s="8" t="b">
        <f>AND(
 H557&gt;=Filters!$B$3,
 H557&lt;=Filters!$B$4,
 I557&gt;=Filters!$B$5,
 OR(Filters!$B$6="All",B557=Filters!$B$6),
 F557&gt;=Filters!$B$7,
 F557&lt;=Filters!$B$8,
 OR(Filters!$B$9="All",G557=Filters!$B$9)
)</f>
        <v>0</v>
      </c>
      <c r="AE557">
        <f t="shared" si="104"/>
        <v>6</v>
      </c>
      <c r="AF557">
        <f t="shared" si="105"/>
        <v>7</v>
      </c>
      <c r="AG557">
        <f t="shared" si="106"/>
        <v>7</v>
      </c>
      <c r="AH557" s="9" t="str">
        <f t="shared" si="107"/>
        <v/>
      </c>
      <c r="AI557" s="9" t="str">
        <f t="shared" si="108"/>
        <v/>
      </c>
      <c r="AJ557" s="9" t="str">
        <f t="shared" si="109"/>
        <v/>
      </c>
      <c r="AK557" s="9" t="str">
        <f t="shared" si="110"/>
        <v/>
      </c>
      <c r="AL557" s="9" t="str">
        <f t="shared" si="111"/>
        <v/>
      </c>
      <c r="AM557" s="9" t="str">
        <f t="shared" si="112"/>
        <v/>
      </c>
      <c r="AN557" s="9" t="str">
        <f t="shared" si="113"/>
        <v/>
      </c>
      <c r="AO557" s="9" t="str">
        <f t="shared" si="114"/>
        <v/>
      </c>
      <c r="AP557" s="9" t="str">
        <f t="shared" si="115"/>
        <v/>
      </c>
      <c r="AQ557" s="10" t="str">
        <f t="shared" si="116"/>
        <v/>
      </c>
    </row>
    <row r="558" spans="1:43">
      <c r="A558">
        <v>557</v>
      </c>
      <c r="B558" t="s">
        <v>31</v>
      </c>
      <c r="C558" t="s">
        <v>899</v>
      </c>
      <c r="D558" t="s">
        <v>900</v>
      </c>
      <c r="E558" t="s">
        <v>97</v>
      </c>
      <c r="G558" t="s">
        <v>18</v>
      </c>
      <c r="H558" s="4">
        <v>6885000</v>
      </c>
      <c r="I558" s="5">
        <v>32</v>
      </c>
      <c r="J558" s="5">
        <v>0</v>
      </c>
      <c r="K558" s="5">
        <v>4</v>
      </c>
      <c r="L558">
        <v>1</v>
      </c>
      <c r="M558">
        <v>3.5</v>
      </c>
      <c r="N558">
        <v>6.37</v>
      </c>
      <c r="O558" s="6">
        <v>13.3</v>
      </c>
      <c r="P558" s="7">
        <v>1.35</v>
      </c>
      <c r="U558" t="s">
        <v>84</v>
      </c>
      <c r="V558" t="s">
        <v>153</v>
      </c>
      <c r="W558">
        <v>1.44</v>
      </c>
      <c r="X558" t="s">
        <v>84</v>
      </c>
      <c r="Y558" t="s">
        <v>187</v>
      </c>
      <c r="Z558" t="s">
        <v>155</v>
      </c>
      <c r="AA558" t="s">
        <v>128</v>
      </c>
      <c r="AB558" t="s">
        <v>115</v>
      </c>
      <c r="AC558">
        <v>255</v>
      </c>
      <c r="AD558" s="8" t="b">
        <f>AND(
 H558&gt;=Filters!$B$3,
 H558&lt;=Filters!$B$4,
 I558&gt;=Filters!$B$5,
 OR(Filters!$B$6="All",B558=Filters!$B$6),
 F558&gt;=Filters!$B$7,
 F558&lt;=Filters!$B$8,
 OR(Filters!$B$9="All",G558=Filters!$B$9)
)</f>
        <v>0</v>
      </c>
      <c r="AE558">
        <f t="shared" si="104"/>
        <v>6</v>
      </c>
      <c r="AF558">
        <f t="shared" si="105"/>
        <v>7</v>
      </c>
      <c r="AG558">
        <f t="shared" si="106"/>
        <v>7</v>
      </c>
      <c r="AH558" s="9" t="str">
        <f t="shared" si="107"/>
        <v/>
      </c>
      <c r="AI558" s="9" t="str">
        <f t="shared" si="108"/>
        <v/>
      </c>
      <c r="AJ558" s="9" t="str">
        <f t="shared" si="109"/>
        <v/>
      </c>
      <c r="AK558" s="9" t="str">
        <f t="shared" si="110"/>
        <v/>
      </c>
      <c r="AL558" s="9" t="str">
        <f t="shared" si="111"/>
        <v/>
      </c>
      <c r="AM558" s="9" t="str">
        <f t="shared" si="112"/>
        <v/>
      </c>
      <c r="AN558" s="9" t="str">
        <f t="shared" si="113"/>
        <v/>
      </c>
      <c r="AO558" s="9" t="str">
        <f t="shared" si="114"/>
        <v/>
      </c>
      <c r="AP558" s="9" t="str">
        <f t="shared" si="115"/>
        <v/>
      </c>
      <c r="AQ558" s="10" t="str">
        <f t="shared" si="116"/>
        <v/>
      </c>
    </row>
    <row r="559" spans="1:43">
      <c r="A559">
        <v>558</v>
      </c>
      <c r="B559" t="s">
        <v>29</v>
      </c>
      <c r="C559" t="s">
        <v>479</v>
      </c>
      <c r="D559" t="s">
        <v>480</v>
      </c>
      <c r="E559" t="s">
        <v>97</v>
      </c>
      <c r="G559" t="s">
        <v>18</v>
      </c>
      <c r="H559" s="4">
        <v>25623000</v>
      </c>
      <c r="I559" s="5">
        <v>128</v>
      </c>
      <c r="J559" s="5">
        <v>1024</v>
      </c>
      <c r="K559" s="5">
        <v>6</v>
      </c>
      <c r="L559">
        <v>9.4</v>
      </c>
      <c r="M559">
        <v>6.5</v>
      </c>
      <c r="N559">
        <v>5.83</v>
      </c>
      <c r="O559" s="6">
        <v>17.3</v>
      </c>
      <c r="P559" s="7">
        <v>2.8</v>
      </c>
      <c r="U559" t="s">
        <v>84</v>
      </c>
      <c r="V559" t="s">
        <v>140</v>
      </c>
      <c r="W559">
        <v>2.7</v>
      </c>
      <c r="X559" t="s">
        <v>122</v>
      </c>
      <c r="Y559" t="s">
        <v>145</v>
      </c>
      <c r="Z559" t="s">
        <v>161</v>
      </c>
      <c r="AA559" t="s">
        <v>452</v>
      </c>
      <c r="AB559" t="s">
        <v>115</v>
      </c>
      <c r="AC559">
        <v>949</v>
      </c>
      <c r="AD559" s="8" t="b">
        <f>AND(
 H559&gt;=Filters!$B$3,
 H559&lt;=Filters!$B$4,
 I559&gt;=Filters!$B$5,
 OR(Filters!$B$6="All",B559=Filters!$B$6),
 F559&gt;=Filters!$B$7,
 F559&lt;=Filters!$B$8,
 OR(Filters!$B$9="All",G559=Filters!$B$9)
)</f>
        <v>0</v>
      </c>
      <c r="AE559">
        <f t="shared" si="104"/>
        <v>6</v>
      </c>
      <c r="AF559">
        <f t="shared" si="105"/>
        <v>7</v>
      </c>
      <c r="AG559">
        <f t="shared" si="106"/>
        <v>7</v>
      </c>
      <c r="AH559" s="9" t="str">
        <f t="shared" si="107"/>
        <v/>
      </c>
      <c r="AI559" s="9" t="str">
        <f t="shared" si="108"/>
        <v/>
      </c>
      <c r="AJ559" s="9" t="str">
        <f t="shared" si="109"/>
        <v/>
      </c>
      <c r="AK559" s="9" t="str">
        <f t="shared" si="110"/>
        <v/>
      </c>
      <c r="AL559" s="9" t="str">
        <f t="shared" si="111"/>
        <v/>
      </c>
      <c r="AM559" s="9" t="str">
        <f t="shared" si="112"/>
        <v/>
      </c>
      <c r="AN559" s="9" t="str">
        <f t="shared" si="113"/>
        <v/>
      </c>
      <c r="AO559" s="9" t="str">
        <f t="shared" si="114"/>
        <v/>
      </c>
      <c r="AP559" s="9" t="str">
        <f t="shared" si="115"/>
        <v/>
      </c>
      <c r="AQ559" s="10" t="str">
        <f t="shared" si="116"/>
        <v/>
      </c>
    </row>
    <row r="560" spans="1:43">
      <c r="A560">
        <v>559</v>
      </c>
      <c r="B560" t="s">
        <v>26</v>
      </c>
      <c r="C560" t="s">
        <v>901</v>
      </c>
      <c r="D560" t="s">
        <v>902</v>
      </c>
      <c r="E560" t="s">
        <v>97</v>
      </c>
      <c r="G560" t="s">
        <v>18</v>
      </c>
      <c r="H560" s="4">
        <v>15360300</v>
      </c>
      <c r="I560" s="5">
        <v>128</v>
      </c>
      <c r="J560" s="5">
        <v>0</v>
      </c>
      <c r="K560" s="5">
        <v>6</v>
      </c>
      <c r="L560">
        <v>6</v>
      </c>
      <c r="M560">
        <v>6.5</v>
      </c>
      <c r="N560">
        <v>6.32</v>
      </c>
      <c r="O560" s="6">
        <v>15.6</v>
      </c>
      <c r="P560" s="7">
        <v>1.91</v>
      </c>
      <c r="U560" t="s">
        <v>104</v>
      </c>
      <c r="V560" t="s">
        <v>508</v>
      </c>
      <c r="W560">
        <v>2.5</v>
      </c>
      <c r="X560" t="s">
        <v>104</v>
      </c>
      <c r="Y560" t="s">
        <v>176</v>
      </c>
      <c r="Z560" t="s">
        <v>87</v>
      </c>
      <c r="AA560" t="s">
        <v>128</v>
      </c>
      <c r="AB560" t="s">
        <v>115</v>
      </c>
      <c r="AC560">
        <v>568.9</v>
      </c>
      <c r="AD560" s="8" t="b">
        <f>AND(
 H560&gt;=Filters!$B$3,
 H560&lt;=Filters!$B$4,
 I560&gt;=Filters!$B$5,
 OR(Filters!$B$6="All",B560=Filters!$B$6),
 F560&gt;=Filters!$B$7,
 F560&lt;=Filters!$B$8,
 OR(Filters!$B$9="All",G560=Filters!$B$9)
)</f>
        <v>0</v>
      </c>
      <c r="AE560">
        <f t="shared" si="104"/>
        <v>6</v>
      </c>
      <c r="AF560">
        <f t="shared" si="105"/>
        <v>7</v>
      </c>
      <c r="AG560">
        <f t="shared" si="106"/>
        <v>7</v>
      </c>
      <c r="AH560" s="9" t="str">
        <f t="shared" si="107"/>
        <v/>
      </c>
      <c r="AI560" s="9" t="str">
        <f t="shared" si="108"/>
        <v/>
      </c>
      <c r="AJ560" s="9" t="str">
        <f t="shared" si="109"/>
        <v/>
      </c>
      <c r="AK560" s="9" t="str">
        <f t="shared" si="110"/>
        <v/>
      </c>
      <c r="AL560" s="9" t="str">
        <f t="shared" si="111"/>
        <v/>
      </c>
      <c r="AM560" s="9" t="str">
        <f t="shared" si="112"/>
        <v/>
      </c>
      <c r="AN560" s="9" t="str">
        <f t="shared" si="113"/>
        <v/>
      </c>
      <c r="AO560" s="9" t="str">
        <f t="shared" si="114"/>
        <v/>
      </c>
      <c r="AP560" s="9" t="str">
        <f t="shared" si="115"/>
        <v/>
      </c>
      <c r="AQ560" s="10" t="str">
        <f t="shared" si="116"/>
        <v/>
      </c>
    </row>
    <row r="561" spans="1:43">
      <c r="A561">
        <v>560</v>
      </c>
      <c r="B561" t="s">
        <v>23</v>
      </c>
      <c r="C561" t="s">
        <v>540</v>
      </c>
      <c r="D561" t="s">
        <v>541</v>
      </c>
      <c r="E561" t="s">
        <v>97</v>
      </c>
      <c r="G561" t="s">
        <v>18</v>
      </c>
      <c r="H561" s="4">
        <v>16683300</v>
      </c>
      <c r="I561" s="5">
        <v>0</v>
      </c>
      <c r="J561" s="5">
        <v>1024</v>
      </c>
      <c r="K561" s="5">
        <v>4</v>
      </c>
      <c r="L561">
        <v>4</v>
      </c>
      <c r="M561">
        <v>6.5</v>
      </c>
      <c r="N561">
        <v>3.92</v>
      </c>
      <c r="O561" s="6">
        <v>15.6</v>
      </c>
      <c r="P561" s="7">
        <v>2.1800000000000002</v>
      </c>
      <c r="U561" t="s">
        <v>84</v>
      </c>
      <c r="V561" t="s">
        <v>129</v>
      </c>
      <c r="W561">
        <v>2</v>
      </c>
      <c r="X561" t="s">
        <v>104</v>
      </c>
      <c r="Y561" t="s">
        <v>411</v>
      </c>
      <c r="Z561" t="s">
        <v>146</v>
      </c>
      <c r="AA561" t="s">
        <v>114</v>
      </c>
      <c r="AB561" t="s">
        <v>115</v>
      </c>
      <c r="AC561">
        <v>617.9</v>
      </c>
      <c r="AD561" s="8" t="b">
        <f>AND(
 H561&gt;=Filters!$B$3,
 H561&lt;=Filters!$B$4,
 I561&gt;=Filters!$B$5,
 OR(Filters!$B$6="All",B561=Filters!$B$6),
 F561&gt;=Filters!$B$7,
 F561&lt;=Filters!$B$8,
 OR(Filters!$B$9="All",G561=Filters!$B$9)
)</f>
        <v>0</v>
      </c>
      <c r="AE561">
        <f t="shared" si="104"/>
        <v>6</v>
      </c>
      <c r="AF561">
        <f t="shared" si="105"/>
        <v>7</v>
      </c>
      <c r="AG561">
        <f t="shared" si="106"/>
        <v>7</v>
      </c>
      <c r="AH561" s="9" t="str">
        <f t="shared" si="107"/>
        <v/>
      </c>
      <c r="AI561" s="9" t="str">
        <f t="shared" si="108"/>
        <v/>
      </c>
      <c r="AJ561" s="9" t="str">
        <f t="shared" si="109"/>
        <v/>
      </c>
      <c r="AK561" s="9" t="str">
        <f t="shared" si="110"/>
        <v/>
      </c>
      <c r="AL561" s="9" t="str">
        <f t="shared" si="111"/>
        <v/>
      </c>
      <c r="AM561" s="9" t="str">
        <f t="shared" si="112"/>
        <v/>
      </c>
      <c r="AN561" s="9" t="str">
        <f t="shared" si="113"/>
        <v/>
      </c>
      <c r="AO561" s="9" t="str">
        <f t="shared" si="114"/>
        <v/>
      </c>
      <c r="AP561" s="9" t="str">
        <f t="shared" si="115"/>
        <v/>
      </c>
      <c r="AQ561" s="10" t="str">
        <f t="shared" si="116"/>
        <v/>
      </c>
    </row>
    <row r="562" spans="1:43">
      <c r="A562">
        <v>561</v>
      </c>
      <c r="B562" t="s">
        <v>17</v>
      </c>
      <c r="C562" t="s">
        <v>903</v>
      </c>
      <c r="D562" t="s">
        <v>904</v>
      </c>
      <c r="E562" t="s">
        <v>168</v>
      </c>
      <c r="G562" t="s">
        <v>18</v>
      </c>
      <c r="H562" s="4">
        <v>9423000</v>
      </c>
      <c r="I562" s="5">
        <v>32</v>
      </c>
      <c r="J562" s="5">
        <v>0</v>
      </c>
      <c r="K562" s="5">
        <v>4</v>
      </c>
      <c r="L562">
        <v>2</v>
      </c>
      <c r="M562">
        <v>3.5</v>
      </c>
      <c r="N562">
        <v>6.58</v>
      </c>
      <c r="O562" s="6">
        <v>11.6</v>
      </c>
      <c r="P562" s="7">
        <v>1.25</v>
      </c>
      <c r="U562" t="s">
        <v>84</v>
      </c>
      <c r="V562" t="s">
        <v>198</v>
      </c>
      <c r="W562">
        <v>2</v>
      </c>
      <c r="X562" t="s">
        <v>84</v>
      </c>
      <c r="Y562" t="s">
        <v>199</v>
      </c>
      <c r="Z562" t="s">
        <v>155</v>
      </c>
      <c r="AA562" t="s">
        <v>149</v>
      </c>
      <c r="AB562" t="s">
        <v>115</v>
      </c>
      <c r="AC562">
        <v>349</v>
      </c>
      <c r="AD562" s="8" t="b">
        <f>AND(
 H562&gt;=Filters!$B$3,
 H562&lt;=Filters!$B$4,
 I562&gt;=Filters!$B$5,
 OR(Filters!$B$6="All",B562=Filters!$B$6),
 F562&gt;=Filters!$B$7,
 F562&lt;=Filters!$B$8,
 OR(Filters!$B$9="All",G562=Filters!$B$9)
)</f>
        <v>0</v>
      </c>
      <c r="AE562">
        <f t="shared" si="104"/>
        <v>6</v>
      </c>
      <c r="AF562">
        <f t="shared" si="105"/>
        <v>7</v>
      </c>
      <c r="AG562">
        <f t="shared" si="106"/>
        <v>7</v>
      </c>
      <c r="AH562" s="9" t="str">
        <f t="shared" si="107"/>
        <v/>
      </c>
      <c r="AI562" s="9" t="str">
        <f t="shared" si="108"/>
        <v/>
      </c>
      <c r="AJ562" s="9" t="str">
        <f t="shared" si="109"/>
        <v/>
      </c>
      <c r="AK562" s="9" t="str">
        <f t="shared" si="110"/>
        <v/>
      </c>
      <c r="AL562" s="9" t="str">
        <f t="shared" si="111"/>
        <v/>
      </c>
      <c r="AM562" s="9" t="str">
        <f t="shared" si="112"/>
        <v/>
      </c>
      <c r="AN562" s="9" t="str">
        <f t="shared" si="113"/>
        <v/>
      </c>
      <c r="AO562" s="9" t="str">
        <f t="shared" si="114"/>
        <v/>
      </c>
      <c r="AP562" s="9" t="str">
        <f t="shared" si="115"/>
        <v/>
      </c>
      <c r="AQ562" s="10" t="str">
        <f t="shared" si="116"/>
        <v/>
      </c>
    </row>
    <row r="563" spans="1:43">
      <c r="A563">
        <v>562</v>
      </c>
      <c r="B563" t="s">
        <v>29</v>
      </c>
      <c r="C563" t="s">
        <v>905</v>
      </c>
      <c r="D563" t="s">
        <v>906</v>
      </c>
      <c r="E563" t="s">
        <v>97</v>
      </c>
      <c r="G563" t="s">
        <v>18</v>
      </c>
      <c r="H563" s="4">
        <v>17010000</v>
      </c>
      <c r="I563" s="5">
        <v>128</v>
      </c>
      <c r="J563" s="5">
        <v>0</v>
      </c>
      <c r="K563" s="5">
        <v>4</v>
      </c>
      <c r="L563">
        <v>5.4</v>
      </c>
      <c r="M563">
        <v>3.5</v>
      </c>
      <c r="N563">
        <v>5.92</v>
      </c>
      <c r="O563" s="6">
        <v>15.6</v>
      </c>
      <c r="P563" s="7">
        <v>2.0499999999999998</v>
      </c>
      <c r="U563" t="s">
        <v>84</v>
      </c>
      <c r="V563" t="s">
        <v>200</v>
      </c>
      <c r="W563">
        <v>2.7</v>
      </c>
      <c r="X563" t="s">
        <v>84</v>
      </c>
      <c r="Y563" t="s">
        <v>99</v>
      </c>
      <c r="Z563" t="s">
        <v>87</v>
      </c>
      <c r="AA563" t="s">
        <v>101</v>
      </c>
      <c r="AB563" t="s">
        <v>115</v>
      </c>
      <c r="AC563">
        <v>630</v>
      </c>
      <c r="AD563" s="8" t="b">
        <f>AND(
 H563&gt;=Filters!$B$3,
 H563&lt;=Filters!$B$4,
 I563&gt;=Filters!$B$5,
 OR(Filters!$B$6="All",B563=Filters!$B$6),
 F563&gt;=Filters!$B$7,
 F563&lt;=Filters!$B$8,
 OR(Filters!$B$9="All",G563=Filters!$B$9)
)</f>
        <v>0</v>
      </c>
      <c r="AE563">
        <f t="shared" si="104"/>
        <v>6</v>
      </c>
      <c r="AF563">
        <f t="shared" si="105"/>
        <v>7</v>
      </c>
      <c r="AG563">
        <f t="shared" si="106"/>
        <v>7</v>
      </c>
      <c r="AH563" s="9" t="str">
        <f t="shared" si="107"/>
        <v/>
      </c>
      <c r="AI563" s="9" t="str">
        <f t="shared" si="108"/>
        <v/>
      </c>
      <c r="AJ563" s="9" t="str">
        <f t="shared" si="109"/>
        <v/>
      </c>
      <c r="AK563" s="9" t="str">
        <f t="shared" si="110"/>
        <v/>
      </c>
      <c r="AL563" s="9" t="str">
        <f t="shared" si="111"/>
        <v/>
      </c>
      <c r="AM563" s="9" t="str">
        <f t="shared" si="112"/>
        <v/>
      </c>
      <c r="AN563" s="9" t="str">
        <f t="shared" si="113"/>
        <v/>
      </c>
      <c r="AO563" s="9" t="str">
        <f t="shared" si="114"/>
        <v/>
      </c>
      <c r="AP563" s="9" t="str">
        <f t="shared" si="115"/>
        <v/>
      </c>
      <c r="AQ563" s="10" t="str">
        <f t="shared" si="116"/>
        <v/>
      </c>
    </row>
    <row r="564" spans="1:43">
      <c r="A564">
        <v>563</v>
      </c>
      <c r="B564" t="s">
        <v>26</v>
      </c>
      <c r="C564" t="s">
        <v>907</v>
      </c>
      <c r="D564" t="s">
        <v>908</v>
      </c>
      <c r="E564" t="s">
        <v>83</v>
      </c>
      <c r="G564" t="s">
        <v>18</v>
      </c>
      <c r="H564" s="4">
        <v>53055000</v>
      </c>
      <c r="I564" s="5">
        <v>512</v>
      </c>
      <c r="J564" s="5">
        <v>0</v>
      </c>
      <c r="K564" s="5">
        <v>16</v>
      </c>
      <c r="L564">
        <v>3.4</v>
      </c>
      <c r="M564">
        <v>3.5</v>
      </c>
      <c r="N564">
        <v>8.8699999999999992</v>
      </c>
      <c r="O564" s="6">
        <v>13.3</v>
      </c>
      <c r="P564" s="7">
        <v>1.1599999999999999</v>
      </c>
      <c r="U564" t="s">
        <v>84</v>
      </c>
      <c r="V564" t="s">
        <v>380</v>
      </c>
      <c r="W564">
        <v>1.2</v>
      </c>
      <c r="X564" t="s">
        <v>84</v>
      </c>
      <c r="Y564" t="s">
        <v>381</v>
      </c>
      <c r="Z564" t="s">
        <v>106</v>
      </c>
      <c r="AA564" t="s">
        <v>909</v>
      </c>
      <c r="AB564" t="s">
        <v>115</v>
      </c>
      <c r="AC564">
        <v>1965</v>
      </c>
      <c r="AD564" s="8" t="b">
        <f>AND(
 H564&gt;=Filters!$B$3,
 H564&lt;=Filters!$B$4,
 I564&gt;=Filters!$B$5,
 OR(Filters!$B$6="All",B564=Filters!$B$6),
 F564&gt;=Filters!$B$7,
 F564&lt;=Filters!$B$8,
 OR(Filters!$B$9="All",G564=Filters!$B$9)
)</f>
        <v>0</v>
      </c>
      <c r="AE564">
        <f t="shared" si="104"/>
        <v>6</v>
      </c>
      <c r="AF564">
        <f t="shared" si="105"/>
        <v>7</v>
      </c>
      <c r="AG564">
        <f t="shared" si="106"/>
        <v>7</v>
      </c>
      <c r="AH564" s="9" t="str">
        <f t="shared" si="107"/>
        <v/>
      </c>
      <c r="AI564" s="9" t="str">
        <f t="shared" si="108"/>
        <v/>
      </c>
      <c r="AJ564" s="9" t="str">
        <f t="shared" si="109"/>
        <v/>
      </c>
      <c r="AK564" s="9" t="str">
        <f t="shared" si="110"/>
        <v/>
      </c>
      <c r="AL564" s="9" t="str">
        <f t="shared" si="111"/>
        <v/>
      </c>
      <c r="AM564" s="9" t="str">
        <f t="shared" si="112"/>
        <v/>
      </c>
      <c r="AN564" s="9" t="str">
        <f t="shared" si="113"/>
        <v/>
      </c>
      <c r="AO564" s="9" t="str">
        <f t="shared" si="114"/>
        <v/>
      </c>
      <c r="AP564" s="9" t="str">
        <f t="shared" si="115"/>
        <v/>
      </c>
      <c r="AQ564" s="10" t="str">
        <f t="shared" si="116"/>
        <v/>
      </c>
    </row>
    <row r="565" spans="1:43">
      <c r="A565">
        <v>564</v>
      </c>
      <c r="B565" t="s">
        <v>29</v>
      </c>
      <c r="C565" t="s">
        <v>910</v>
      </c>
      <c r="D565" t="s">
        <v>911</v>
      </c>
      <c r="E565" t="s">
        <v>97</v>
      </c>
      <c r="G565" t="s">
        <v>18</v>
      </c>
      <c r="H565" s="4">
        <v>80973000</v>
      </c>
      <c r="I565" s="5">
        <v>256</v>
      </c>
      <c r="J565" s="5">
        <v>0</v>
      </c>
      <c r="K565" s="5">
        <v>8</v>
      </c>
      <c r="L565">
        <v>9.6</v>
      </c>
      <c r="M565">
        <v>8</v>
      </c>
      <c r="N565">
        <v>6.24</v>
      </c>
      <c r="O565" s="6">
        <v>17.3</v>
      </c>
      <c r="P565" s="7">
        <v>3.4</v>
      </c>
      <c r="U565" t="s">
        <v>84</v>
      </c>
      <c r="V565" t="s">
        <v>210</v>
      </c>
      <c r="W565">
        <v>2.8</v>
      </c>
      <c r="X565" t="s">
        <v>122</v>
      </c>
      <c r="Y565" t="s">
        <v>912</v>
      </c>
      <c r="Z565" t="s">
        <v>100</v>
      </c>
      <c r="AA565" t="s">
        <v>128</v>
      </c>
      <c r="AB565" t="s">
        <v>115</v>
      </c>
      <c r="AC565">
        <v>2999</v>
      </c>
      <c r="AD565" s="8" t="b">
        <f>AND(
 H565&gt;=Filters!$B$3,
 H565&lt;=Filters!$B$4,
 I565&gt;=Filters!$B$5,
 OR(Filters!$B$6="All",B565=Filters!$B$6),
 F565&gt;=Filters!$B$7,
 F565&lt;=Filters!$B$8,
 OR(Filters!$B$9="All",G565=Filters!$B$9)
)</f>
        <v>0</v>
      </c>
      <c r="AE565">
        <f t="shared" si="104"/>
        <v>6</v>
      </c>
      <c r="AF565">
        <f t="shared" si="105"/>
        <v>7</v>
      </c>
      <c r="AG565">
        <f t="shared" si="106"/>
        <v>7</v>
      </c>
      <c r="AH565" s="9" t="str">
        <f t="shared" si="107"/>
        <v/>
      </c>
      <c r="AI565" s="9" t="str">
        <f t="shared" si="108"/>
        <v/>
      </c>
      <c r="AJ565" s="9" t="str">
        <f t="shared" si="109"/>
        <v/>
      </c>
      <c r="AK565" s="9" t="str">
        <f t="shared" si="110"/>
        <v/>
      </c>
      <c r="AL565" s="9" t="str">
        <f t="shared" si="111"/>
        <v/>
      </c>
      <c r="AM565" s="9" t="str">
        <f t="shared" si="112"/>
        <v/>
      </c>
      <c r="AN565" s="9" t="str">
        <f t="shared" si="113"/>
        <v/>
      </c>
      <c r="AO565" s="9" t="str">
        <f t="shared" si="114"/>
        <v/>
      </c>
      <c r="AP565" s="9" t="str">
        <f t="shared" si="115"/>
        <v/>
      </c>
      <c r="AQ565" s="10" t="str">
        <f t="shared" si="116"/>
        <v/>
      </c>
    </row>
    <row r="566" spans="1:43">
      <c r="A566">
        <v>565</v>
      </c>
      <c r="B566" t="s">
        <v>21</v>
      </c>
      <c r="C566" t="s">
        <v>913</v>
      </c>
      <c r="D566" t="s">
        <v>914</v>
      </c>
      <c r="E566" t="s">
        <v>97</v>
      </c>
      <c r="G566" t="s">
        <v>18</v>
      </c>
      <c r="H566" s="4">
        <v>22653000</v>
      </c>
      <c r="I566" s="5">
        <v>128</v>
      </c>
      <c r="J566" s="5">
        <v>1024</v>
      </c>
      <c r="K566" s="5">
        <v>8</v>
      </c>
      <c r="L566">
        <v>7</v>
      </c>
      <c r="M566">
        <v>9.1999999999999993</v>
      </c>
      <c r="N566">
        <v>5.92</v>
      </c>
      <c r="O566" s="6">
        <v>15.6</v>
      </c>
      <c r="P566" s="7">
        <v>2.5</v>
      </c>
      <c r="U566" t="s">
        <v>84</v>
      </c>
      <c r="V566" t="s">
        <v>159</v>
      </c>
      <c r="W566">
        <v>2.5</v>
      </c>
      <c r="X566" t="s">
        <v>122</v>
      </c>
      <c r="Y566" t="s">
        <v>160</v>
      </c>
      <c r="Z566" t="s">
        <v>161</v>
      </c>
      <c r="AA566" t="s">
        <v>101</v>
      </c>
      <c r="AB566" t="s">
        <v>115</v>
      </c>
      <c r="AC566">
        <v>839</v>
      </c>
      <c r="AD566" s="8" t="b">
        <f>AND(
 H566&gt;=Filters!$B$3,
 H566&lt;=Filters!$B$4,
 I566&gt;=Filters!$B$5,
 OR(Filters!$B$6="All",B566=Filters!$B$6),
 F566&gt;=Filters!$B$7,
 F566&lt;=Filters!$B$8,
 OR(Filters!$B$9="All",G566=Filters!$B$9)
)</f>
        <v>0</v>
      </c>
      <c r="AE566">
        <f t="shared" si="104"/>
        <v>6</v>
      </c>
      <c r="AF566">
        <f t="shared" si="105"/>
        <v>7</v>
      </c>
      <c r="AG566">
        <f t="shared" si="106"/>
        <v>7</v>
      </c>
      <c r="AH566" s="9" t="str">
        <f t="shared" si="107"/>
        <v/>
      </c>
      <c r="AI566" s="9" t="str">
        <f t="shared" si="108"/>
        <v/>
      </c>
      <c r="AJ566" s="9" t="str">
        <f t="shared" si="109"/>
        <v/>
      </c>
      <c r="AK566" s="9" t="str">
        <f t="shared" si="110"/>
        <v/>
      </c>
      <c r="AL566" s="9" t="str">
        <f t="shared" si="111"/>
        <v/>
      </c>
      <c r="AM566" s="9" t="str">
        <f t="shared" si="112"/>
        <v/>
      </c>
      <c r="AN566" s="9" t="str">
        <f t="shared" si="113"/>
        <v/>
      </c>
      <c r="AO566" s="9" t="str">
        <f t="shared" si="114"/>
        <v/>
      </c>
      <c r="AP566" s="9" t="str">
        <f t="shared" si="115"/>
        <v/>
      </c>
      <c r="AQ566" s="10" t="str">
        <f t="shared" si="116"/>
        <v/>
      </c>
    </row>
    <row r="567" spans="1:43">
      <c r="A567">
        <v>566</v>
      </c>
      <c r="B567" t="s">
        <v>23</v>
      </c>
      <c r="C567" t="s">
        <v>147</v>
      </c>
      <c r="D567" t="s">
        <v>148</v>
      </c>
      <c r="E567" t="s">
        <v>83</v>
      </c>
      <c r="G567" t="s">
        <v>18</v>
      </c>
      <c r="H567" s="4">
        <v>43173000</v>
      </c>
      <c r="I567" s="5">
        <v>128</v>
      </c>
      <c r="J567" s="5">
        <v>0</v>
      </c>
      <c r="K567" s="5">
        <v>8</v>
      </c>
      <c r="L567">
        <v>5.2</v>
      </c>
      <c r="M567">
        <v>3.8</v>
      </c>
      <c r="N567">
        <v>10</v>
      </c>
      <c r="O567" s="6">
        <v>13.3</v>
      </c>
      <c r="P567" s="7">
        <v>1.21</v>
      </c>
      <c r="U567" t="s">
        <v>84</v>
      </c>
      <c r="V567" t="s">
        <v>126</v>
      </c>
      <c r="W567">
        <v>1.6</v>
      </c>
      <c r="X567" t="s">
        <v>84</v>
      </c>
      <c r="Y567" t="s">
        <v>127</v>
      </c>
      <c r="Z567" t="s">
        <v>87</v>
      </c>
      <c r="AA567" t="s">
        <v>382</v>
      </c>
      <c r="AB567" t="s">
        <v>115</v>
      </c>
      <c r="AC567">
        <v>1599</v>
      </c>
      <c r="AD567" s="8" t="b">
        <f>AND(
 H567&gt;=Filters!$B$3,
 H567&lt;=Filters!$B$4,
 I567&gt;=Filters!$B$5,
 OR(Filters!$B$6="All",B567=Filters!$B$6),
 F567&gt;=Filters!$B$7,
 F567&lt;=Filters!$B$8,
 OR(Filters!$B$9="All",G567=Filters!$B$9)
)</f>
        <v>0</v>
      </c>
      <c r="AE567">
        <f t="shared" si="104"/>
        <v>6</v>
      </c>
      <c r="AF567">
        <f t="shared" si="105"/>
        <v>7</v>
      </c>
      <c r="AG567">
        <f t="shared" si="106"/>
        <v>7</v>
      </c>
      <c r="AH567" s="9" t="str">
        <f t="shared" si="107"/>
        <v/>
      </c>
      <c r="AI567" s="9" t="str">
        <f t="shared" si="108"/>
        <v/>
      </c>
      <c r="AJ567" s="9" t="str">
        <f t="shared" si="109"/>
        <v/>
      </c>
      <c r="AK567" s="9" t="str">
        <f t="shared" si="110"/>
        <v/>
      </c>
      <c r="AL567" s="9" t="str">
        <f t="shared" si="111"/>
        <v/>
      </c>
      <c r="AM567" s="9" t="str">
        <f t="shared" si="112"/>
        <v/>
      </c>
      <c r="AN567" s="9" t="str">
        <f t="shared" si="113"/>
        <v/>
      </c>
      <c r="AO567" s="9" t="str">
        <f t="shared" si="114"/>
        <v/>
      </c>
      <c r="AP567" s="9" t="str">
        <f t="shared" si="115"/>
        <v/>
      </c>
      <c r="AQ567" s="10" t="str">
        <f t="shared" si="116"/>
        <v/>
      </c>
    </row>
    <row r="568" spans="1:43">
      <c r="A568">
        <v>567</v>
      </c>
      <c r="B568" t="s">
        <v>23</v>
      </c>
      <c r="C568" t="s">
        <v>870</v>
      </c>
      <c r="D568" t="s">
        <v>871</v>
      </c>
      <c r="E568" t="s">
        <v>97</v>
      </c>
      <c r="G568" t="s">
        <v>18</v>
      </c>
      <c r="H568" s="4">
        <v>25893000</v>
      </c>
      <c r="I568" s="5">
        <v>0</v>
      </c>
      <c r="J568" s="5">
        <v>500</v>
      </c>
      <c r="K568" s="5">
        <v>4</v>
      </c>
      <c r="L568">
        <v>7.2</v>
      </c>
      <c r="M568">
        <v>3.5</v>
      </c>
      <c r="N568">
        <v>3.92</v>
      </c>
      <c r="O568" s="6">
        <v>15.6</v>
      </c>
      <c r="P568" s="7">
        <v>1.93</v>
      </c>
      <c r="U568" t="s">
        <v>84</v>
      </c>
      <c r="V568" t="s">
        <v>633</v>
      </c>
      <c r="W568">
        <v>2.6</v>
      </c>
      <c r="X568" t="s">
        <v>84</v>
      </c>
      <c r="Y568" t="s">
        <v>99</v>
      </c>
      <c r="Z568" t="s">
        <v>113</v>
      </c>
      <c r="AA568" t="s">
        <v>114</v>
      </c>
      <c r="AB568" t="s">
        <v>115</v>
      </c>
      <c r="AC568">
        <v>959</v>
      </c>
      <c r="AD568" s="8" t="b">
        <f>AND(
 H568&gt;=Filters!$B$3,
 H568&lt;=Filters!$B$4,
 I568&gt;=Filters!$B$5,
 OR(Filters!$B$6="All",B568=Filters!$B$6),
 F568&gt;=Filters!$B$7,
 F568&lt;=Filters!$B$8,
 OR(Filters!$B$9="All",G568=Filters!$B$9)
)</f>
        <v>0</v>
      </c>
      <c r="AE568">
        <f t="shared" si="104"/>
        <v>6</v>
      </c>
      <c r="AF568">
        <f t="shared" si="105"/>
        <v>7</v>
      </c>
      <c r="AG568">
        <f t="shared" si="106"/>
        <v>7</v>
      </c>
      <c r="AH568" s="9" t="str">
        <f t="shared" si="107"/>
        <v/>
      </c>
      <c r="AI568" s="9" t="str">
        <f t="shared" si="108"/>
        <v/>
      </c>
      <c r="AJ568" s="9" t="str">
        <f t="shared" si="109"/>
        <v/>
      </c>
      <c r="AK568" s="9" t="str">
        <f t="shared" si="110"/>
        <v/>
      </c>
      <c r="AL568" s="9" t="str">
        <f t="shared" si="111"/>
        <v/>
      </c>
      <c r="AM568" s="9" t="str">
        <f t="shared" si="112"/>
        <v/>
      </c>
      <c r="AN568" s="9" t="str">
        <f t="shared" si="113"/>
        <v/>
      </c>
      <c r="AO568" s="9" t="str">
        <f t="shared" si="114"/>
        <v/>
      </c>
      <c r="AP568" s="9" t="str">
        <f t="shared" si="115"/>
        <v/>
      </c>
      <c r="AQ568" s="10" t="str">
        <f t="shared" si="116"/>
        <v/>
      </c>
    </row>
    <row r="569" spans="1:43">
      <c r="A569">
        <v>568</v>
      </c>
      <c r="B569" t="s">
        <v>24</v>
      </c>
      <c r="C569" t="s">
        <v>915</v>
      </c>
      <c r="D569" t="s">
        <v>916</v>
      </c>
      <c r="E569" t="s">
        <v>97</v>
      </c>
      <c r="G569" t="s">
        <v>18</v>
      </c>
      <c r="H569" s="4">
        <v>19953000</v>
      </c>
      <c r="I569" s="5">
        <v>0</v>
      </c>
      <c r="J569" s="5">
        <v>1024</v>
      </c>
      <c r="K569" s="5">
        <v>8</v>
      </c>
      <c r="L569">
        <v>7</v>
      </c>
      <c r="M569">
        <v>3.5</v>
      </c>
      <c r="N569">
        <v>3.92</v>
      </c>
      <c r="O569" s="6">
        <v>15.6</v>
      </c>
      <c r="P569" s="7">
        <v>2.2000000000000002</v>
      </c>
      <c r="U569" t="s">
        <v>84</v>
      </c>
      <c r="V569" t="s">
        <v>98</v>
      </c>
      <c r="W569">
        <v>2.5</v>
      </c>
      <c r="X569" t="s">
        <v>84</v>
      </c>
      <c r="Y569" t="s">
        <v>99</v>
      </c>
      <c r="Z569" t="s">
        <v>146</v>
      </c>
      <c r="AA569" t="s">
        <v>114</v>
      </c>
      <c r="AB569" t="s">
        <v>115</v>
      </c>
      <c r="AC569">
        <v>739</v>
      </c>
      <c r="AD569" s="8" t="b">
        <f>AND(
 H569&gt;=Filters!$B$3,
 H569&lt;=Filters!$B$4,
 I569&gt;=Filters!$B$5,
 OR(Filters!$B$6="All",B569=Filters!$B$6),
 F569&gt;=Filters!$B$7,
 F569&lt;=Filters!$B$8,
 OR(Filters!$B$9="All",G569=Filters!$B$9)
)</f>
        <v>0</v>
      </c>
      <c r="AE569">
        <f t="shared" si="104"/>
        <v>6</v>
      </c>
      <c r="AF569">
        <f t="shared" si="105"/>
        <v>7</v>
      </c>
      <c r="AG569">
        <f t="shared" si="106"/>
        <v>7</v>
      </c>
      <c r="AH569" s="9" t="str">
        <f t="shared" si="107"/>
        <v/>
      </c>
      <c r="AI569" s="9" t="str">
        <f t="shared" si="108"/>
        <v/>
      </c>
      <c r="AJ569" s="9" t="str">
        <f t="shared" si="109"/>
        <v/>
      </c>
      <c r="AK569" s="9" t="str">
        <f t="shared" si="110"/>
        <v/>
      </c>
      <c r="AL569" s="9" t="str">
        <f t="shared" si="111"/>
        <v/>
      </c>
      <c r="AM569" s="9" t="str">
        <f t="shared" si="112"/>
        <v/>
      </c>
      <c r="AN569" s="9" t="str">
        <f t="shared" si="113"/>
        <v/>
      </c>
      <c r="AO569" s="9" t="str">
        <f t="shared" si="114"/>
        <v/>
      </c>
      <c r="AP569" s="9" t="str">
        <f t="shared" si="115"/>
        <v/>
      </c>
      <c r="AQ569" s="10" t="str">
        <f t="shared" si="116"/>
        <v/>
      </c>
    </row>
    <row r="570" spans="1:43">
      <c r="A570">
        <v>569</v>
      </c>
      <c r="B570" t="s">
        <v>29</v>
      </c>
      <c r="C570" t="s">
        <v>588</v>
      </c>
      <c r="D570" t="s">
        <v>589</v>
      </c>
      <c r="E570" t="s">
        <v>97</v>
      </c>
      <c r="G570" t="s">
        <v>18</v>
      </c>
      <c r="H570" s="4">
        <v>9288000</v>
      </c>
      <c r="I570" s="5">
        <v>0</v>
      </c>
      <c r="J570" s="5">
        <v>500</v>
      </c>
      <c r="K570" s="5">
        <v>4</v>
      </c>
      <c r="L570">
        <v>1.2</v>
      </c>
      <c r="M570">
        <v>3.5</v>
      </c>
      <c r="N570">
        <v>5.92</v>
      </c>
      <c r="O570" s="6">
        <v>15.6</v>
      </c>
      <c r="P570" s="7">
        <v>2.2000000000000002</v>
      </c>
      <c r="U570" t="s">
        <v>84</v>
      </c>
      <c r="V570" t="s">
        <v>229</v>
      </c>
      <c r="W570">
        <v>1.1000000000000001</v>
      </c>
      <c r="X570" t="s">
        <v>84</v>
      </c>
      <c r="Y570" t="s">
        <v>418</v>
      </c>
      <c r="Z570" t="s">
        <v>113</v>
      </c>
      <c r="AA570" t="s">
        <v>101</v>
      </c>
      <c r="AB570" t="s">
        <v>115</v>
      </c>
      <c r="AC570">
        <v>344</v>
      </c>
      <c r="AD570" s="8" t="b">
        <f>AND(
 H570&gt;=Filters!$B$3,
 H570&lt;=Filters!$B$4,
 I570&gt;=Filters!$B$5,
 OR(Filters!$B$6="All",B570=Filters!$B$6),
 F570&gt;=Filters!$B$7,
 F570&lt;=Filters!$B$8,
 OR(Filters!$B$9="All",G570=Filters!$B$9)
)</f>
        <v>0</v>
      </c>
      <c r="AE570">
        <f t="shared" si="104"/>
        <v>6</v>
      </c>
      <c r="AF570">
        <f t="shared" si="105"/>
        <v>7</v>
      </c>
      <c r="AG570">
        <f t="shared" si="106"/>
        <v>7</v>
      </c>
      <c r="AH570" s="9" t="str">
        <f t="shared" si="107"/>
        <v/>
      </c>
      <c r="AI570" s="9" t="str">
        <f t="shared" si="108"/>
        <v/>
      </c>
      <c r="AJ570" s="9" t="str">
        <f t="shared" si="109"/>
        <v/>
      </c>
      <c r="AK570" s="9" t="str">
        <f t="shared" si="110"/>
        <v/>
      </c>
      <c r="AL570" s="9" t="str">
        <f t="shared" si="111"/>
        <v/>
      </c>
      <c r="AM570" s="9" t="str">
        <f t="shared" si="112"/>
        <v/>
      </c>
      <c r="AN570" s="9" t="str">
        <f t="shared" si="113"/>
        <v/>
      </c>
      <c r="AO570" s="9" t="str">
        <f t="shared" si="114"/>
        <v/>
      </c>
      <c r="AP570" s="9" t="str">
        <f t="shared" si="115"/>
        <v/>
      </c>
      <c r="AQ570" s="10" t="str">
        <f t="shared" si="116"/>
        <v/>
      </c>
    </row>
    <row r="571" spans="1:43">
      <c r="A571">
        <v>570</v>
      </c>
      <c r="B571" t="s">
        <v>29</v>
      </c>
      <c r="C571" t="s">
        <v>704</v>
      </c>
      <c r="D571" t="s">
        <v>705</v>
      </c>
      <c r="E571" t="s">
        <v>97</v>
      </c>
      <c r="G571" t="s">
        <v>18</v>
      </c>
      <c r="H571" s="4">
        <v>26730000</v>
      </c>
      <c r="I571" s="5">
        <v>0</v>
      </c>
      <c r="J571" s="5">
        <v>500</v>
      </c>
      <c r="K571" s="5">
        <v>4</v>
      </c>
      <c r="L571">
        <v>7</v>
      </c>
      <c r="M571">
        <v>3.5</v>
      </c>
      <c r="N571">
        <v>4</v>
      </c>
      <c r="O571" s="6">
        <v>14</v>
      </c>
      <c r="P571" s="7">
        <v>2.02</v>
      </c>
      <c r="U571" t="s">
        <v>84</v>
      </c>
      <c r="V571" t="s">
        <v>98</v>
      </c>
      <c r="W571">
        <v>2.5</v>
      </c>
      <c r="X571" t="s">
        <v>84</v>
      </c>
      <c r="Y571" t="s">
        <v>99</v>
      </c>
      <c r="Z571" t="s">
        <v>113</v>
      </c>
      <c r="AA571" t="s">
        <v>114</v>
      </c>
      <c r="AB571" t="s">
        <v>115</v>
      </c>
      <c r="AC571">
        <v>990</v>
      </c>
      <c r="AD571" s="8" t="b">
        <f>AND(
 H571&gt;=Filters!$B$3,
 H571&lt;=Filters!$B$4,
 I571&gt;=Filters!$B$5,
 OR(Filters!$B$6="All",B571=Filters!$B$6),
 F571&gt;=Filters!$B$7,
 F571&lt;=Filters!$B$8,
 OR(Filters!$B$9="All",G571=Filters!$B$9)
)</f>
        <v>0</v>
      </c>
      <c r="AE571">
        <f t="shared" si="104"/>
        <v>6</v>
      </c>
      <c r="AF571">
        <f t="shared" si="105"/>
        <v>7</v>
      </c>
      <c r="AG571">
        <f t="shared" si="106"/>
        <v>7</v>
      </c>
      <c r="AH571" s="9" t="str">
        <f t="shared" si="107"/>
        <v/>
      </c>
      <c r="AI571" s="9" t="str">
        <f t="shared" si="108"/>
        <v/>
      </c>
      <c r="AJ571" s="9" t="str">
        <f t="shared" si="109"/>
        <v/>
      </c>
      <c r="AK571" s="9" t="str">
        <f t="shared" si="110"/>
        <v/>
      </c>
      <c r="AL571" s="9" t="str">
        <f t="shared" si="111"/>
        <v/>
      </c>
      <c r="AM571" s="9" t="str">
        <f t="shared" si="112"/>
        <v/>
      </c>
      <c r="AN571" s="9" t="str">
        <f t="shared" si="113"/>
        <v/>
      </c>
      <c r="AO571" s="9" t="str">
        <f t="shared" si="114"/>
        <v/>
      </c>
      <c r="AP571" s="9" t="str">
        <f t="shared" si="115"/>
        <v/>
      </c>
      <c r="AQ571" s="10" t="str">
        <f t="shared" si="116"/>
        <v/>
      </c>
    </row>
    <row r="572" spans="1:43">
      <c r="A572">
        <v>571</v>
      </c>
      <c r="B572" t="s">
        <v>26</v>
      </c>
      <c r="C572" t="s">
        <v>917</v>
      </c>
      <c r="D572" t="s">
        <v>918</v>
      </c>
      <c r="E572" t="s">
        <v>468</v>
      </c>
      <c r="G572" t="s">
        <v>18</v>
      </c>
      <c r="H572" s="4">
        <v>50246730</v>
      </c>
      <c r="I572" s="5">
        <v>0</v>
      </c>
      <c r="J572" s="5">
        <v>500</v>
      </c>
      <c r="K572" s="5">
        <v>8</v>
      </c>
      <c r="L572">
        <v>7.6</v>
      </c>
      <c r="M572">
        <v>8</v>
      </c>
      <c r="N572">
        <v>5.83</v>
      </c>
      <c r="O572" s="6">
        <v>17.3</v>
      </c>
      <c r="P572" s="7">
        <v>3.14</v>
      </c>
      <c r="U572" t="s">
        <v>84</v>
      </c>
      <c r="V572" t="s">
        <v>770</v>
      </c>
      <c r="W572">
        <v>2.8</v>
      </c>
      <c r="X572" t="s">
        <v>122</v>
      </c>
      <c r="Y572" t="s">
        <v>470</v>
      </c>
      <c r="Z572" t="s">
        <v>113</v>
      </c>
      <c r="AA572" t="s">
        <v>452</v>
      </c>
      <c r="AB572" t="s">
        <v>115</v>
      </c>
      <c r="AC572">
        <v>1860.99</v>
      </c>
      <c r="AD572" s="8" t="b">
        <f>AND(
 H572&gt;=Filters!$B$3,
 H572&lt;=Filters!$B$4,
 I572&gt;=Filters!$B$5,
 OR(Filters!$B$6="All",B572=Filters!$B$6),
 F572&gt;=Filters!$B$7,
 F572&lt;=Filters!$B$8,
 OR(Filters!$B$9="All",G572=Filters!$B$9)
)</f>
        <v>0</v>
      </c>
      <c r="AE572">
        <f t="shared" si="104"/>
        <v>6</v>
      </c>
      <c r="AF572">
        <f t="shared" si="105"/>
        <v>7</v>
      </c>
      <c r="AG572">
        <f t="shared" si="106"/>
        <v>7</v>
      </c>
      <c r="AH572" s="9" t="str">
        <f t="shared" si="107"/>
        <v/>
      </c>
      <c r="AI572" s="9" t="str">
        <f t="shared" si="108"/>
        <v/>
      </c>
      <c r="AJ572" s="9" t="str">
        <f t="shared" si="109"/>
        <v/>
      </c>
      <c r="AK572" s="9" t="str">
        <f t="shared" si="110"/>
        <v/>
      </c>
      <c r="AL572" s="9" t="str">
        <f t="shared" si="111"/>
        <v/>
      </c>
      <c r="AM572" s="9" t="str">
        <f t="shared" si="112"/>
        <v/>
      </c>
      <c r="AN572" s="9" t="str">
        <f t="shared" si="113"/>
        <v/>
      </c>
      <c r="AO572" s="9" t="str">
        <f t="shared" si="114"/>
        <v/>
      </c>
      <c r="AP572" s="9" t="str">
        <f t="shared" si="115"/>
        <v/>
      </c>
      <c r="AQ572" s="10" t="str">
        <f t="shared" si="116"/>
        <v/>
      </c>
    </row>
    <row r="573" spans="1:43">
      <c r="A573">
        <v>572</v>
      </c>
      <c r="B573" t="s">
        <v>26</v>
      </c>
      <c r="C573" t="s">
        <v>919</v>
      </c>
      <c r="D573" t="s">
        <v>920</v>
      </c>
      <c r="E573" t="s">
        <v>97</v>
      </c>
      <c r="G573" t="s">
        <v>18</v>
      </c>
      <c r="H573" s="4">
        <v>10503000</v>
      </c>
      <c r="I573" s="5">
        <v>0</v>
      </c>
      <c r="J573" s="5">
        <v>2048</v>
      </c>
      <c r="K573" s="5">
        <v>8</v>
      </c>
      <c r="L573">
        <v>2.2000000000000002</v>
      </c>
      <c r="M573">
        <v>3.5</v>
      </c>
      <c r="N573">
        <v>4</v>
      </c>
      <c r="O573" s="6">
        <v>14</v>
      </c>
      <c r="P573" s="7">
        <v>1.94</v>
      </c>
      <c r="U573" t="s">
        <v>84</v>
      </c>
      <c r="V573" t="s">
        <v>611</v>
      </c>
      <c r="W573">
        <v>1.6</v>
      </c>
      <c r="X573" t="s">
        <v>84</v>
      </c>
      <c r="Y573" t="s">
        <v>612</v>
      </c>
      <c r="Z573" t="s">
        <v>283</v>
      </c>
      <c r="AA573" t="s">
        <v>114</v>
      </c>
      <c r="AB573" t="s">
        <v>115</v>
      </c>
      <c r="AC573">
        <v>389</v>
      </c>
      <c r="AD573" s="8" t="b">
        <f>AND(
 H573&gt;=Filters!$B$3,
 H573&lt;=Filters!$B$4,
 I573&gt;=Filters!$B$5,
 OR(Filters!$B$6="All",B573=Filters!$B$6),
 F573&gt;=Filters!$B$7,
 F573&lt;=Filters!$B$8,
 OR(Filters!$B$9="All",G573=Filters!$B$9)
)</f>
        <v>0</v>
      </c>
      <c r="AE573">
        <f t="shared" si="104"/>
        <v>6</v>
      </c>
      <c r="AF573">
        <f t="shared" si="105"/>
        <v>7</v>
      </c>
      <c r="AG573">
        <f t="shared" si="106"/>
        <v>7</v>
      </c>
      <c r="AH573" s="9" t="str">
        <f t="shared" si="107"/>
        <v/>
      </c>
      <c r="AI573" s="9" t="str">
        <f t="shared" si="108"/>
        <v/>
      </c>
      <c r="AJ573" s="9" t="str">
        <f t="shared" si="109"/>
        <v/>
      </c>
      <c r="AK573" s="9" t="str">
        <f t="shared" si="110"/>
        <v/>
      </c>
      <c r="AL573" s="9" t="str">
        <f t="shared" si="111"/>
        <v/>
      </c>
      <c r="AM573" s="9" t="str">
        <f t="shared" si="112"/>
        <v/>
      </c>
      <c r="AN573" s="9" t="str">
        <f t="shared" si="113"/>
        <v/>
      </c>
      <c r="AO573" s="9" t="str">
        <f t="shared" si="114"/>
        <v/>
      </c>
      <c r="AP573" s="9" t="str">
        <f t="shared" si="115"/>
        <v/>
      </c>
      <c r="AQ573" s="10" t="str">
        <f t="shared" si="116"/>
        <v/>
      </c>
    </row>
    <row r="574" spans="1:43">
      <c r="A574">
        <v>573</v>
      </c>
      <c r="B574" t="s">
        <v>26</v>
      </c>
      <c r="C574" t="s">
        <v>921</v>
      </c>
      <c r="D574" t="s">
        <v>922</v>
      </c>
      <c r="E574" t="s">
        <v>97</v>
      </c>
      <c r="G574" t="s">
        <v>18</v>
      </c>
      <c r="H574" s="4">
        <v>17523000</v>
      </c>
      <c r="I574" s="5">
        <v>256</v>
      </c>
      <c r="J574" s="5">
        <v>0</v>
      </c>
      <c r="K574" s="5">
        <v>6</v>
      </c>
      <c r="L574">
        <v>7</v>
      </c>
      <c r="M574">
        <v>6.5</v>
      </c>
      <c r="N574">
        <v>6.32</v>
      </c>
      <c r="O574" s="6">
        <v>15.6</v>
      </c>
      <c r="P574" s="7">
        <v>1.95</v>
      </c>
      <c r="U574" t="s">
        <v>104</v>
      </c>
      <c r="V574" t="s">
        <v>923</v>
      </c>
      <c r="W574">
        <v>3</v>
      </c>
      <c r="X574" t="s">
        <v>104</v>
      </c>
      <c r="Y574" t="s">
        <v>176</v>
      </c>
      <c r="Z574" t="s">
        <v>100</v>
      </c>
      <c r="AA574" t="s">
        <v>128</v>
      </c>
      <c r="AB574" t="s">
        <v>115</v>
      </c>
      <c r="AC574">
        <v>649</v>
      </c>
      <c r="AD574" s="8" t="b">
        <f>AND(
 H574&gt;=Filters!$B$3,
 H574&lt;=Filters!$B$4,
 I574&gt;=Filters!$B$5,
 OR(Filters!$B$6="All",B574=Filters!$B$6),
 F574&gt;=Filters!$B$7,
 F574&lt;=Filters!$B$8,
 OR(Filters!$B$9="All",G574=Filters!$B$9)
)</f>
        <v>1</v>
      </c>
      <c r="AE574">
        <f t="shared" si="104"/>
        <v>6</v>
      </c>
      <c r="AF574">
        <f t="shared" si="105"/>
        <v>7</v>
      </c>
      <c r="AG574">
        <f t="shared" si="106"/>
        <v>7</v>
      </c>
      <c r="AH574" s="9">
        <f t="shared" si="107"/>
        <v>0.69047619047619047</v>
      </c>
      <c r="AI574" s="9">
        <f t="shared" si="108"/>
        <v>0.5714285714285714</v>
      </c>
      <c r="AJ574" s="9">
        <f t="shared" si="109"/>
        <v>0.63095238095238093</v>
      </c>
      <c r="AK574" s="9">
        <f t="shared" si="110"/>
        <v>0.60952380952380947</v>
      </c>
      <c r="AL574" s="9">
        <f t="shared" si="111"/>
        <v>0.91071428571428559</v>
      </c>
      <c r="AM574" s="9">
        <f t="shared" si="112"/>
        <v>0.5714285714285714</v>
      </c>
      <c r="AN574" s="9">
        <f t="shared" si="113"/>
        <v>0.69047619047619047</v>
      </c>
      <c r="AO574" s="9">
        <f t="shared" si="114"/>
        <v>0.69047619047619047</v>
      </c>
      <c r="AP574" s="9">
        <f t="shared" si="115"/>
        <v>0.65267812246416879</v>
      </c>
      <c r="AQ574" s="10">
        <f t="shared" si="116"/>
        <v>0.65267869646416876</v>
      </c>
    </row>
    <row r="575" spans="1:43">
      <c r="A575">
        <v>574</v>
      </c>
      <c r="B575" t="s">
        <v>29</v>
      </c>
      <c r="C575" t="s">
        <v>824</v>
      </c>
      <c r="D575" t="s">
        <v>825</v>
      </c>
      <c r="E575" t="s">
        <v>97</v>
      </c>
      <c r="G575" t="s">
        <v>18</v>
      </c>
      <c r="H575" s="4">
        <v>22410000</v>
      </c>
      <c r="I575" s="5">
        <v>256</v>
      </c>
      <c r="J575" s="5">
        <v>0</v>
      </c>
      <c r="K575" s="5">
        <v>8</v>
      </c>
      <c r="L575">
        <v>7</v>
      </c>
      <c r="M575">
        <v>3.5</v>
      </c>
      <c r="N575">
        <v>5.92</v>
      </c>
      <c r="O575" s="6">
        <v>15.6</v>
      </c>
      <c r="P575" s="7">
        <v>2.2999999999999998</v>
      </c>
      <c r="U575" t="s">
        <v>84</v>
      </c>
      <c r="V575" t="s">
        <v>98</v>
      </c>
      <c r="W575">
        <v>2.5</v>
      </c>
      <c r="X575" t="s">
        <v>84</v>
      </c>
      <c r="Y575" t="s">
        <v>99</v>
      </c>
      <c r="Z575" t="s">
        <v>100</v>
      </c>
      <c r="AA575" t="s">
        <v>101</v>
      </c>
      <c r="AB575" t="s">
        <v>115</v>
      </c>
      <c r="AC575">
        <v>830</v>
      </c>
      <c r="AD575" s="8" t="b">
        <f>AND(
 H575&gt;=Filters!$B$3,
 H575&lt;=Filters!$B$4,
 I575&gt;=Filters!$B$5,
 OR(Filters!$B$6="All",B575=Filters!$B$6),
 F575&gt;=Filters!$B$7,
 F575&lt;=Filters!$B$8,
 OR(Filters!$B$9="All",G575=Filters!$B$9)
)</f>
        <v>1</v>
      </c>
      <c r="AE575">
        <f t="shared" si="104"/>
        <v>6</v>
      </c>
      <c r="AF575">
        <f t="shared" si="105"/>
        <v>7</v>
      </c>
      <c r="AG575">
        <f t="shared" si="106"/>
        <v>7</v>
      </c>
      <c r="AH575" s="9">
        <f t="shared" si="107"/>
        <v>0.69047619047619047</v>
      </c>
      <c r="AI575" s="9">
        <f t="shared" si="108"/>
        <v>0.80952380952380942</v>
      </c>
      <c r="AJ575" s="9">
        <f t="shared" si="109"/>
        <v>0.27380952380952378</v>
      </c>
      <c r="AK575" s="9">
        <f t="shared" si="110"/>
        <v>0.56190476190476191</v>
      </c>
      <c r="AL575" s="9">
        <f t="shared" si="111"/>
        <v>0.86904761904761896</v>
      </c>
      <c r="AM575" s="9">
        <f t="shared" si="112"/>
        <v>0.5714285714285714</v>
      </c>
      <c r="AN575" s="9">
        <f t="shared" si="113"/>
        <v>0.69047619047619047</v>
      </c>
      <c r="AO575" s="9">
        <f t="shared" si="114"/>
        <v>0.69047619047619047</v>
      </c>
      <c r="AP575" s="9">
        <f t="shared" si="115"/>
        <v>0.66651623508465963</v>
      </c>
      <c r="AQ575" s="10">
        <f t="shared" si="116"/>
        <v>0.66651681008465957</v>
      </c>
    </row>
    <row r="576" spans="1:43">
      <c r="A576">
        <v>575</v>
      </c>
      <c r="B576" t="s">
        <v>29</v>
      </c>
      <c r="C576" t="s">
        <v>924</v>
      </c>
      <c r="D576" t="s">
        <v>925</v>
      </c>
      <c r="E576" t="s">
        <v>97</v>
      </c>
      <c r="G576" t="s">
        <v>18</v>
      </c>
      <c r="H576" s="4">
        <v>18495000</v>
      </c>
      <c r="I576" s="5">
        <v>0</v>
      </c>
      <c r="J576" s="5">
        <v>500</v>
      </c>
      <c r="K576" s="5">
        <v>4</v>
      </c>
      <c r="L576">
        <v>5.2</v>
      </c>
      <c r="M576">
        <v>3.5</v>
      </c>
      <c r="N576">
        <v>5.92</v>
      </c>
      <c r="O576" s="6">
        <v>15.6</v>
      </c>
      <c r="P576" s="7">
        <v>2.0499999999999998</v>
      </c>
      <c r="U576" t="s">
        <v>84</v>
      </c>
      <c r="V576" t="s">
        <v>126</v>
      </c>
      <c r="W576">
        <v>1.6</v>
      </c>
      <c r="X576" t="s">
        <v>84</v>
      </c>
      <c r="Y576" t="s">
        <v>99</v>
      </c>
      <c r="Z576" t="s">
        <v>113</v>
      </c>
      <c r="AA576" t="s">
        <v>101</v>
      </c>
      <c r="AB576" t="s">
        <v>115</v>
      </c>
      <c r="AC576">
        <v>685</v>
      </c>
      <c r="AD576" s="8" t="b">
        <f>AND(
 H576&gt;=Filters!$B$3,
 H576&lt;=Filters!$B$4,
 I576&gt;=Filters!$B$5,
 OR(Filters!$B$6="All",B576=Filters!$B$6),
 F576&gt;=Filters!$B$7,
 F576&lt;=Filters!$B$8,
 OR(Filters!$B$9="All",G576=Filters!$B$9)
)</f>
        <v>0</v>
      </c>
      <c r="AE576">
        <f t="shared" si="104"/>
        <v>6</v>
      </c>
      <c r="AF576">
        <f t="shared" si="105"/>
        <v>7</v>
      </c>
      <c r="AG576">
        <f t="shared" si="106"/>
        <v>7</v>
      </c>
      <c r="AH576" s="9" t="str">
        <f t="shared" si="107"/>
        <v/>
      </c>
      <c r="AI576" s="9" t="str">
        <f t="shared" si="108"/>
        <v/>
      </c>
      <c r="AJ576" s="9" t="str">
        <f t="shared" si="109"/>
        <v/>
      </c>
      <c r="AK576" s="9" t="str">
        <f t="shared" si="110"/>
        <v/>
      </c>
      <c r="AL576" s="9" t="str">
        <f t="shared" si="111"/>
        <v/>
      </c>
      <c r="AM576" s="9" t="str">
        <f t="shared" si="112"/>
        <v/>
      </c>
      <c r="AN576" s="9" t="str">
        <f t="shared" si="113"/>
        <v/>
      </c>
      <c r="AO576" s="9" t="str">
        <f t="shared" si="114"/>
        <v/>
      </c>
      <c r="AP576" s="9" t="str">
        <f t="shared" si="115"/>
        <v/>
      </c>
      <c r="AQ576" s="10" t="str">
        <f t="shared" si="116"/>
        <v/>
      </c>
    </row>
    <row r="577" spans="1:43">
      <c r="A577">
        <v>576</v>
      </c>
      <c r="B577" t="s">
        <v>31</v>
      </c>
      <c r="C577" t="s">
        <v>926</v>
      </c>
      <c r="D577" t="s">
        <v>927</v>
      </c>
      <c r="E577" t="s">
        <v>97</v>
      </c>
      <c r="G577" t="s">
        <v>18</v>
      </c>
      <c r="H577" s="4">
        <v>6723000</v>
      </c>
      <c r="I577" s="5">
        <v>32</v>
      </c>
      <c r="J577" s="5">
        <v>0</v>
      </c>
      <c r="K577" s="5">
        <v>4</v>
      </c>
      <c r="L577">
        <v>1</v>
      </c>
      <c r="M577">
        <v>3.5</v>
      </c>
      <c r="N577">
        <v>6</v>
      </c>
      <c r="O577" s="6">
        <v>14</v>
      </c>
      <c r="P577" s="7">
        <v>1.4</v>
      </c>
      <c r="U577" t="s">
        <v>84</v>
      </c>
      <c r="V577" t="s">
        <v>153</v>
      </c>
      <c r="W577">
        <v>1.44</v>
      </c>
      <c r="X577" t="s">
        <v>84</v>
      </c>
      <c r="Y577" t="s">
        <v>187</v>
      </c>
      <c r="Z577" t="s">
        <v>264</v>
      </c>
      <c r="AA577" t="s">
        <v>101</v>
      </c>
      <c r="AB577" t="s">
        <v>115</v>
      </c>
      <c r="AC577">
        <v>249</v>
      </c>
      <c r="AD577" s="8" t="b">
        <f>AND(
 H577&gt;=Filters!$B$3,
 H577&lt;=Filters!$B$4,
 I577&gt;=Filters!$B$5,
 OR(Filters!$B$6="All",B577=Filters!$B$6),
 F577&gt;=Filters!$B$7,
 F577&lt;=Filters!$B$8,
 OR(Filters!$B$9="All",G577=Filters!$B$9)
)</f>
        <v>0</v>
      </c>
      <c r="AE577">
        <f t="shared" si="104"/>
        <v>6</v>
      </c>
      <c r="AF577">
        <f t="shared" si="105"/>
        <v>7</v>
      </c>
      <c r="AG577">
        <f t="shared" si="106"/>
        <v>7</v>
      </c>
      <c r="AH577" s="9" t="str">
        <f t="shared" si="107"/>
        <v/>
      </c>
      <c r="AI577" s="9" t="str">
        <f t="shared" si="108"/>
        <v/>
      </c>
      <c r="AJ577" s="9" t="str">
        <f t="shared" si="109"/>
        <v/>
      </c>
      <c r="AK577" s="9" t="str">
        <f t="shared" si="110"/>
        <v/>
      </c>
      <c r="AL577" s="9" t="str">
        <f t="shared" si="111"/>
        <v/>
      </c>
      <c r="AM577" s="9" t="str">
        <f t="shared" si="112"/>
        <v/>
      </c>
      <c r="AN577" s="9" t="str">
        <f t="shared" si="113"/>
        <v/>
      </c>
      <c r="AO577" s="9" t="str">
        <f t="shared" si="114"/>
        <v/>
      </c>
      <c r="AP577" s="9" t="str">
        <f t="shared" si="115"/>
        <v/>
      </c>
      <c r="AQ577" s="10" t="str">
        <f t="shared" si="116"/>
        <v/>
      </c>
    </row>
    <row r="578" spans="1:43">
      <c r="A578">
        <v>577</v>
      </c>
      <c r="B578" t="s">
        <v>35</v>
      </c>
      <c r="C578" t="s">
        <v>928</v>
      </c>
      <c r="D578" t="s">
        <v>929</v>
      </c>
      <c r="E578" t="s">
        <v>83</v>
      </c>
      <c r="G578" t="s">
        <v>18</v>
      </c>
      <c r="H578" s="4">
        <v>50355000</v>
      </c>
      <c r="I578" s="5">
        <v>512</v>
      </c>
      <c r="J578" s="5">
        <v>0</v>
      </c>
      <c r="K578" s="5">
        <v>16</v>
      </c>
      <c r="L578">
        <v>9.4</v>
      </c>
      <c r="M578">
        <v>3.5</v>
      </c>
      <c r="N578">
        <v>6.3</v>
      </c>
      <c r="O578" s="6">
        <v>14</v>
      </c>
      <c r="P578" s="7">
        <v>1.24</v>
      </c>
      <c r="U578" t="s">
        <v>84</v>
      </c>
      <c r="V578" t="s">
        <v>140</v>
      </c>
      <c r="W578">
        <v>2.7</v>
      </c>
      <c r="X578" t="s">
        <v>84</v>
      </c>
      <c r="Y578" t="s">
        <v>99</v>
      </c>
      <c r="Z578" t="s">
        <v>106</v>
      </c>
      <c r="AA578" t="s">
        <v>169</v>
      </c>
      <c r="AB578" t="s">
        <v>115</v>
      </c>
      <c r="AC578">
        <v>1865</v>
      </c>
      <c r="AD578" s="8" t="b">
        <f>AND(
 H578&gt;=Filters!$B$3,
 H578&lt;=Filters!$B$4,
 I578&gt;=Filters!$B$5,
 OR(Filters!$B$6="All",B578=Filters!$B$6),
 F578&gt;=Filters!$B$7,
 F578&lt;=Filters!$B$8,
 OR(Filters!$B$9="All",G578=Filters!$B$9)
)</f>
        <v>0</v>
      </c>
      <c r="AE578">
        <f t="shared" ref="AE578:AE641" si="117">IF(Q578="",6,Q578)</f>
        <v>6</v>
      </c>
      <c r="AF578">
        <f t="shared" ref="AF578:AF641" si="118">IF(R578="",7,R578)</f>
        <v>7</v>
      </c>
      <c r="AG578">
        <f t="shared" ref="AG578:AG641" si="119">IF(S578="",7,S578)</f>
        <v>7</v>
      </c>
      <c r="AH578" s="9" t="str">
        <f t="shared" ref="AH578:AH641" si="120">IF(AD578,IF(CPU_MAX=CPU_MIN,1,(L578-CPU_MIN)/(CPU_MAX-CPU_MIN)),"")</f>
        <v/>
      </c>
      <c r="AI578" s="9" t="str">
        <f t="shared" ref="AI578:AI641" si="121">IF(AD578,IF(RAM_MAX=RAM_MIN,1,(K578-RAM_MIN)/(RAM_MAX-RAM_MIN)),"")</f>
        <v/>
      </c>
      <c r="AJ578" s="9" t="str">
        <f t="shared" ref="AJ578:AJ641" si="122">IF(AD578,IF(GPU_MAX=GPU_MIN,1,(M578-GPU_MIN)/(GPU_MAX-GPU_MIN)),"")</f>
        <v/>
      </c>
      <c r="AK578" s="9" t="str">
        <f t="shared" ref="AK578:AK641" si="123">IF(AD578,IF(SCREEN_MAX=SCREEN_MIN,1,(N578-SCREEN_MIN)/(SCREEN_MAX-SCREEN_MIN)),"")</f>
        <v/>
      </c>
      <c r="AL578" s="9" t="str">
        <f t="shared" ref="AL578:AL641" si="124">IF(AD578,IF(WEIGHT_MAX=WEIGHT_MIN,1,(WEIGHT_MAX-P578)/(WEIGHT_MAX-WEIGHT_MIN)),"")</f>
        <v/>
      </c>
      <c r="AM578" s="9" t="str">
        <f t="shared" ref="AM578:AM641" si="125">IF(AD578,IF(BATTERY_MAX=BATTERY_MIN,1,(AE578-BATTERY_MIN)/(BATTERY_MAX-BATTERY_MIN)),"")</f>
        <v/>
      </c>
      <c r="AN578" s="9" t="str">
        <f t="shared" ref="AN578:AN641" si="126">IF(AD578,IF(DURABILITY_MAX=DURABILITY_MIN,1,(AF578-DURABILITY_MIN)/(DURABILITY_MAX-DURABILITY_MIN)),"")</f>
        <v/>
      </c>
      <c r="AO578" s="9" t="str">
        <f t="shared" ref="AO578:AO641" si="127">IF(AD578,IF(UPGRADE_MAX=UPGRADE_MIN,1,(AG578-UPGRADE_MIN)/(UPGRADE_MAX-UPGRADE_MIN)),"")</f>
        <v/>
      </c>
      <c r="AP578" s="9" t="str">
        <f t="shared" ref="AP578:AP641" si="128">IF(AD578,W_CPU*AH578+W_RAM*AI578+W_GPU*AJ578+W_SCREEN*AK578+W_WEIGHT*AL578+W_BATTERY*AM578+W_DURABILITY*AN578+W_UPGRADE*AO578,"" )</f>
        <v/>
      </c>
      <c r="AQ578" s="10" t="str">
        <f t="shared" ref="AQ578:AQ641" si="129">IF(AP578="","",AP578+ROW()*0.000000001)</f>
        <v/>
      </c>
    </row>
    <row r="579" spans="1:43">
      <c r="A579">
        <v>578</v>
      </c>
      <c r="B579" t="s">
        <v>29</v>
      </c>
      <c r="C579" t="s">
        <v>930</v>
      </c>
      <c r="D579" t="s">
        <v>931</v>
      </c>
      <c r="E579" t="s">
        <v>158</v>
      </c>
      <c r="G579" t="s">
        <v>18</v>
      </c>
      <c r="H579" s="4">
        <v>71901000</v>
      </c>
      <c r="I579" s="5">
        <v>256</v>
      </c>
      <c r="J579" s="5">
        <v>1024</v>
      </c>
      <c r="K579" s="5">
        <v>32</v>
      </c>
      <c r="L579">
        <v>9.4</v>
      </c>
      <c r="M579">
        <v>9.1999999999999993</v>
      </c>
      <c r="N579">
        <v>6.24</v>
      </c>
      <c r="O579" s="6">
        <v>17.3</v>
      </c>
      <c r="P579" s="7">
        <v>4.5999999999999996</v>
      </c>
      <c r="U579" t="s">
        <v>84</v>
      </c>
      <c r="V579" t="s">
        <v>932</v>
      </c>
      <c r="W579">
        <v>2.7</v>
      </c>
      <c r="X579" t="s">
        <v>122</v>
      </c>
      <c r="Y579" t="s">
        <v>248</v>
      </c>
      <c r="Z579" t="s">
        <v>212</v>
      </c>
      <c r="AA579" t="s">
        <v>128</v>
      </c>
      <c r="AB579" t="s">
        <v>115</v>
      </c>
      <c r="AC579">
        <v>2663</v>
      </c>
      <c r="AD579" s="8" t="b">
        <f>AND(
 H579&gt;=Filters!$B$3,
 H579&lt;=Filters!$B$4,
 I579&gt;=Filters!$B$5,
 OR(Filters!$B$6="All",B579=Filters!$B$6),
 F579&gt;=Filters!$B$7,
 F579&lt;=Filters!$B$8,
 OR(Filters!$B$9="All",G579=Filters!$B$9)
)</f>
        <v>0</v>
      </c>
      <c r="AE579">
        <f t="shared" si="117"/>
        <v>6</v>
      </c>
      <c r="AF579">
        <f t="shared" si="118"/>
        <v>7</v>
      </c>
      <c r="AG579">
        <f t="shared" si="119"/>
        <v>7</v>
      </c>
      <c r="AH579" s="9" t="str">
        <f t="shared" si="120"/>
        <v/>
      </c>
      <c r="AI579" s="9" t="str">
        <f t="shared" si="121"/>
        <v/>
      </c>
      <c r="AJ579" s="9" t="str">
        <f t="shared" si="122"/>
        <v/>
      </c>
      <c r="AK579" s="9" t="str">
        <f t="shared" si="123"/>
        <v/>
      </c>
      <c r="AL579" s="9" t="str">
        <f t="shared" si="124"/>
        <v/>
      </c>
      <c r="AM579" s="9" t="str">
        <f t="shared" si="125"/>
        <v/>
      </c>
      <c r="AN579" s="9" t="str">
        <f t="shared" si="126"/>
        <v/>
      </c>
      <c r="AO579" s="9" t="str">
        <f t="shared" si="127"/>
        <v/>
      </c>
      <c r="AP579" s="9" t="str">
        <f t="shared" si="128"/>
        <v/>
      </c>
      <c r="AQ579" s="10" t="str">
        <f t="shared" si="129"/>
        <v/>
      </c>
    </row>
    <row r="580" spans="1:43">
      <c r="A580">
        <v>579</v>
      </c>
      <c r="B580" t="s">
        <v>30</v>
      </c>
      <c r="C580" t="s">
        <v>933</v>
      </c>
      <c r="D580" t="s">
        <v>934</v>
      </c>
      <c r="E580" t="s">
        <v>158</v>
      </c>
      <c r="G580" t="s">
        <v>18</v>
      </c>
      <c r="H580" s="4">
        <v>73683000</v>
      </c>
      <c r="I580" s="5">
        <v>512</v>
      </c>
      <c r="J580" s="5">
        <v>1024</v>
      </c>
      <c r="K580" s="5">
        <v>16</v>
      </c>
      <c r="L580">
        <v>9.8000000000000007</v>
      </c>
      <c r="M580">
        <v>9.1999999999999993</v>
      </c>
      <c r="N580">
        <v>5.83</v>
      </c>
      <c r="O580" s="6">
        <v>17.3</v>
      </c>
      <c r="P580" s="7">
        <v>4.1399999999999997</v>
      </c>
      <c r="U580" t="s">
        <v>84</v>
      </c>
      <c r="V580" t="s">
        <v>455</v>
      </c>
      <c r="W580">
        <v>2.9</v>
      </c>
      <c r="X580" t="s">
        <v>122</v>
      </c>
      <c r="Y580" t="s">
        <v>248</v>
      </c>
      <c r="Z580" t="s">
        <v>428</v>
      </c>
      <c r="AA580" t="s">
        <v>101</v>
      </c>
      <c r="AB580" t="s">
        <v>115</v>
      </c>
      <c r="AC580">
        <v>2729</v>
      </c>
      <c r="AD580" s="8" t="b">
        <f>AND(
 H580&gt;=Filters!$B$3,
 H580&lt;=Filters!$B$4,
 I580&gt;=Filters!$B$5,
 OR(Filters!$B$6="All",B580=Filters!$B$6),
 F580&gt;=Filters!$B$7,
 F580&lt;=Filters!$B$8,
 OR(Filters!$B$9="All",G580=Filters!$B$9)
)</f>
        <v>0</v>
      </c>
      <c r="AE580">
        <f t="shared" si="117"/>
        <v>6</v>
      </c>
      <c r="AF580">
        <f t="shared" si="118"/>
        <v>7</v>
      </c>
      <c r="AG580">
        <f t="shared" si="119"/>
        <v>7</v>
      </c>
      <c r="AH580" s="9" t="str">
        <f t="shared" si="120"/>
        <v/>
      </c>
      <c r="AI580" s="9" t="str">
        <f t="shared" si="121"/>
        <v/>
      </c>
      <c r="AJ580" s="9" t="str">
        <f t="shared" si="122"/>
        <v/>
      </c>
      <c r="AK580" s="9" t="str">
        <f t="shared" si="123"/>
        <v/>
      </c>
      <c r="AL580" s="9" t="str">
        <f t="shared" si="124"/>
        <v/>
      </c>
      <c r="AM580" s="9" t="str">
        <f t="shared" si="125"/>
        <v/>
      </c>
      <c r="AN580" s="9" t="str">
        <f t="shared" si="126"/>
        <v/>
      </c>
      <c r="AO580" s="9" t="str">
        <f t="shared" si="127"/>
        <v/>
      </c>
      <c r="AP580" s="9" t="str">
        <f t="shared" si="128"/>
        <v/>
      </c>
      <c r="AQ580" s="10" t="str">
        <f t="shared" si="129"/>
        <v/>
      </c>
    </row>
    <row r="581" spans="1:43">
      <c r="A581">
        <v>580</v>
      </c>
      <c r="B581" t="s">
        <v>23</v>
      </c>
      <c r="C581" t="s">
        <v>132</v>
      </c>
      <c r="D581" t="s">
        <v>133</v>
      </c>
      <c r="E581" t="s">
        <v>97</v>
      </c>
      <c r="G581" t="s">
        <v>18</v>
      </c>
      <c r="H581" s="4">
        <v>20223270</v>
      </c>
      <c r="I581" s="5">
        <v>256</v>
      </c>
      <c r="J581" s="5">
        <v>0</v>
      </c>
      <c r="K581" s="5">
        <v>8</v>
      </c>
      <c r="L581">
        <v>9.4</v>
      </c>
      <c r="M581">
        <v>6.5</v>
      </c>
      <c r="N581">
        <v>5.92</v>
      </c>
      <c r="O581" s="6">
        <v>15.6</v>
      </c>
      <c r="P581" s="7">
        <v>2.2000000000000002</v>
      </c>
      <c r="U581" t="s">
        <v>84</v>
      </c>
      <c r="V581" t="s">
        <v>140</v>
      </c>
      <c r="W581">
        <v>2.7</v>
      </c>
      <c r="X581" t="s">
        <v>104</v>
      </c>
      <c r="Y581" t="s">
        <v>134</v>
      </c>
      <c r="Z581" t="s">
        <v>100</v>
      </c>
      <c r="AA581" t="s">
        <v>101</v>
      </c>
      <c r="AB581" t="s">
        <v>201</v>
      </c>
      <c r="AC581">
        <v>749.01</v>
      </c>
      <c r="AD581" s="8" t="b">
        <f>AND(
 H581&gt;=Filters!$B$3,
 H581&lt;=Filters!$B$4,
 I581&gt;=Filters!$B$5,
 OR(Filters!$B$6="All",B581=Filters!$B$6),
 F581&gt;=Filters!$B$7,
 F581&lt;=Filters!$B$8,
 OR(Filters!$B$9="All",G581=Filters!$B$9)
)</f>
        <v>1</v>
      </c>
      <c r="AE581">
        <f t="shared" si="117"/>
        <v>6</v>
      </c>
      <c r="AF581">
        <f t="shared" si="118"/>
        <v>7</v>
      </c>
      <c r="AG581">
        <f t="shared" si="119"/>
        <v>7</v>
      </c>
      <c r="AH581" s="9">
        <f t="shared" si="120"/>
        <v>0.97619047619047628</v>
      </c>
      <c r="AI581" s="9">
        <f t="shared" si="121"/>
        <v>0.80952380952380942</v>
      </c>
      <c r="AJ581" s="9">
        <f t="shared" si="122"/>
        <v>0.63095238095238093</v>
      </c>
      <c r="AK581" s="9">
        <f t="shared" si="123"/>
        <v>0.56190476190476191</v>
      </c>
      <c r="AL581" s="9">
        <f t="shared" si="124"/>
        <v>0.88095238095238082</v>
      </c>
      <c r="AM581" s="9">
        <f t="shared" si="125"/>
        <v>0.5714285714285714</v>
      </c>
      <c r="AN581" s="9">
        <f t="shared" si="126"/>
        <v>0.69047619047619047</v>
      </c>
      <c r="AO581" s="9">
        <f t="shared" si="127"/>
        <v>0.69047619047619047</v>
      </c>
      <c r="AP581" s="9">
        <f t="shared" si="128"/>
        <v>0.75028731836960894</v>
      </c>
      <c r="AQ581" s="10">
        <f t="shared" si="129"/>
        <v>0.75028789936960893</v>
      </c>
    </row>
    <row r="582" spans="1:43">
      <c r="A582">
        <v>581</v>
      </c>
      <c r="B582" t="s">
        <v>31</v>
      </c>
      <c r="C582" t="s">
        <v>875</v>
      </c>
      <c r="D582" t="s">
        <v>876</v>
      </c>
      <c r="E582" t="s">
        <v>97</v>
      </c>
      <c r="G582" t="s">
        <v>18</v>
      </c>
      <c r="H582" s="4">
        <v>10503000</v>
      </c>
      <c r="I582" s="5">
        <v>32</v>
      </c>
      <c r="J582" s="5">
        <v>0</v>
      </c>
      <c r="K582" s="5">
        <v>4</v>
      </c>
      <c r="L582">
        <v>1</v>
      </c>
      <c r="M582">
        <v>3.5</v>
      </c>
      <c r="N582">
        <v>6.4</v>
      </c>
      <c r="O582" s="6">
        <v>14</v>
      </c>
      <c r="P582" s="7">
        <v>1.45</v>
      </c>
      <c r="U582" t="s">
        <v>84</v>
      </c>
      <c r="V582" t="s">
        <v>669</v>
      </c>
      <c r="W582">
        <v>1.1000000000000001</v>
      </c>
      <c r="X582" t="s">
        <v>84</v>
      </c>
      <c r="Y582" t="s">
        <v>199</v>
      </c>
      <c r="Z582" t="s">
        <v>264</v>
      </c>
      <c r="AA582" t="s">
        <v>128</v>
      </c>
      <c r="AB582" t="s">
        <v>115</v>
      </c>
      <c r="AC582">
        <v>389</v>
      </c>
      <c r="AD582" s="8" t="b">
        <f>AND(
 H582&gt;=Filters!$B$3,
 H582&lt;=Filters!$B$4,
 I582&gt;=Filters!$B$5,
 OR(Filters!$B$6="All",B582=Filters!$B$6),
 F582&gt;=Filters!$B$7,
 F582&lt;=Filters!$B$8,
 OR(Filters!$B$9="All",G582=Filters!$B$9)
)</f>
        <v>0</v>
      </c>
      <c r="AE582">
        <f t="shared" si="117"/>
        <v>6</v>
      </c>
      <c r="AF582">
        <f t="shared" si="118"/>
        <v>7</v>
      </c>
      <c r="AG582">
        <f t="shared" si="119"/>
        <v>7</v>
      </c>
      <c r="AH582" s="9" t="str">
        <f t="shared" si="120"/>
        <v/>
      </c>
      <c r="AI582" s="9" t="str">
        <f t="shared" si="121"/>
        <v/>
      </c>
      <c r="AJ582" s="9" t="str">
        <f t="shared" si="122"/>
        <v/>
      </c>
      <c r="AK582" s="9" t="str">
        <f t="shared" si="123"/>
        <v/>
      </c>
      <c r="AL582" s="9" t="str">
        <f t="shared" si="124"/>
        <v/>
      </c>
      <c r="AM582" s="9" t="str">
        <f t="shared" si="125"/>
        <v/>
      </c>
      <c r="AN582" s="9" t="str">
        <f t="shared" si="126"/>
        <v/>
      </c>
      <c r="AO582" s="9" t="str">
        <f t="shared" si="127"/>
        <v/>
      </c>
      <c r="AP582" s="9" t="str">
        <f t="shared" si="128"/>
        <v/>
      </c>
      <c r="AQ582" s="10" t="str">
        <f t="shared" si="129"/>
        <v/>
      </c>
    </row>
    <row r="583" spans="1:43">
      <c r="A583">
        <v>582</v>
      </c>
      <c r="B583" t="s">
        <v>23</v>
      </c>
      <c r="C583" t="s">
        <v>870</v>
      </c>
      <c r="D583" t="s">
        <v>871</v>
      </c>
      <c r="E583" t="s">
        <v>97</v>
      </c>
      <c r="G583" t="s">
        <v>18</v>
      </c>
      <c r="H583" s="4">
        <v>27230040</v>
      </c>
      <c r="I583" s="5">
        <v>0</v>
      </c>
      <c r="J583" s="5">
        <v>500</v>
      </c>
      <c r="K583" s="5">
        <v>8</v>
      </c>
      <c r="L583">
        <v>7.2</v>
      </c>
      <c r="M583">
        <v>3.5</v>
      </c>
      <c r="N583">
        <v>3.92</v>
      </c>
      <c r="O583" s="6">
        <v>15.6</v>
      </c>
      <c r="P583" s="7">
        <v>1.9</v>
      </c>
      <c r="U583" t="s">
        <v>84</v>
      </c>
      <c r="V583" t="s">
        <v>633</v>
      </c>
      <c r="W583">
        <v>2.6</v>
      </c>
      <c r="X583" t="s">
        <v>84</v>
      </c>
      <c r="Y583" t="s">
        <v>99</v>
      </c>
      <c r="Z583" t="s">
        <v>113</v>
      </c>
      <c r="AA583" t="s">
        <v>114</v>
      </c>
      <c r="AB583" t="s">
        <v>115</v>
      </c>
      <c r="AC583">
        <v>1008.52</v>
      </c>
      <c r="AD583" s="8" t="b">
        <f>AND(
 H583&gt;=Filters!$B$3,
 H583&lt;=Filters!$B$4,
 I583&gt;=Filters!$B$5,
 OR(Filters!$B$6="All",B583=Filters!$B$6),
 F583&gt;=Filters!$B$7,
 F583&lt;=Filters!$B$8,
 OR(Filters!$B$9="All",G583=Filters!$B$9)
)</f>
        <v>0</v>
      </c>
      <c r="AE583">
        <f t="shared" si="117"/>
        <v>6</v>
      </c>
      <c r="AF583">
        <f t="shared" si="118"/>
        <v>7</v>
      </c>
      <c r="AG583">
        <f t="shared" si="119"/>
        <v>7</v>
      </c>
      <c r="AH583" s="9" t="str">
        <f t="shared" si="120"/>
        <v/>
      </c>
      <c r="AI583" s="9" t="str">
        <f t="shared" si="121"/>
        <v/>
      </c>
      <c r="AJ583" s="9" t="str">
        <f t="shared" si="122"/>
        <v/>
      </c>
      <c r="AK583" s="9" t="str">
        <f t="shared" si="123"/>
        <v/>
      </c>
      <c r="AL583" s="9" t="str">
        <f t="shared" si="124"/>
        <v/>
      </c>
      <c r="AM583" s="9" t="str">
        <f t="shared" si="125"/>
        <v/>
      </c>
      <c r="AN583" s="9" t="str">
        <f t="shared" si="126"/>
        <v/>
      </c>
      <c r="AO583" s="9" t="str">
        <f t="shared" si="127"/>
        <v/>
      </c>
      <c r="AP583" s="9" t="str">
        <f t="shared" si="128"/>
        <v/>
      </c>
      <c r="AQ583" s="10" t="str">
        <f t="shared" si="129"/>
        <v/>
      </c>
    </row>
    <row r="584" spans="1:43">
      <c r="A584">
        <v>583</v>
      </c>
      <c r="B584" t="s">
        <v>26</v>
      </c>
      <c r="C584" t="s">
        <v>237</v>
      </c>
      <c r="D584" t="s">
        <v>238</v>
      </c>
      <c r="E584" t="s">
        <v>97</v>
      </c>
      <c r="G584" t="s">
        <v>18</v>
      </c>
      <c r="H584" s="4">
        <v>19413000</v>
      </c>
      <c r="I584" s="5">
        <v>128</v>
      </c>
      <c r="J584" s="5">
        <v>0</v>
      </c>
      <c r="K584" s="5">
        <v>4</v>
      </c>
      <c r="L584">
        <v>4.8</v>
      </c>
      <c r="M584">
        <v>3.5</v>
      </c>
      <c r="N584">
        <v>5.96</v>
      </c>
      <c r="O584" s="6">
        <v>13.3</v>
      </c>
      <c r="P584" s="7">
        <v>1.49</v>
      </c>
      <c r="U584" t="s">
        <v>84</v>
      </c>
      <c r="V584" t="s">
        <v>144</v>
      </c>
      <c r="W584">
        <v>2.4</v>
      </c>
      <c r="X584" t="s">
        <v>84</v>
      </c>
      <c r="Y584" t="s">
        <v>99</v>
      </c>
      <c r="Z584" t="s">
        <v>87</v>
      </c>
      <c r="AA584" t="s">
        <v>101</v>
      </c>
      <c r="AB584" t="s">
        <v>115</v>
      </c>
      <c r="AC584">
        <v>719</v>
      </c>
      <c r="AD584" s="8" t="b">
        <f>AND(
 H584&gt;=Filters!$B$3,
 H584&lt;=Filters!$B$4,
 I584&gt;=Filters!$B$5,
 OR(Filters!$B$6="All",B584=Filters!$B$6),
 F584&gt;=Filters!$B$7,
 F584&lt;=Filters!$B$8,
 OR(Filters!$B$9="All",G584=Filters!$B$9)
)</f>
        <v>0</v>
      </c>
      <c r="AE584">
        <f t="shared" si="117"/>
        <v>6</v>
      </c>
      <c r="AF584">
        <f t="shared" si="118"/>
        <v>7</v>
      </c>
      <c r="AG584">
        <f t="shared" si="119"/>
        <v>7</v>
      </c>
      <c r="AH584" s="9" t="str">
        <f t="shared" si="120"/>
        <v/>
      </c>
      <c r="AI584" s="9" t="str">
        <f t="shared" si="121"/>
        <v/>
      </c>
      <c r="AJ584" s="9" t="str">
        <f t="shared" si="122"/>
        <v/>
      </c>
      <c r="AK584" s="9" t="str">
        <f t="shared" si="123"/>
        <v/>
      </c>
      <c r="AL584" s="9" t="str">
        <f t="shared" si="124"/>
        <v/>
      </c>
      <c r="AM584" s="9" t="str">
        <f t="shared" si="125"/>
        <v/>
      </c>
      <c r="AN584" s="9" t="str">
        <f t="shared" si="126"/>
        <v/>
      </c>
      <c r="AO584" s="9" t="str">
        <f t="shared" si="127"/>
        <v/>
      </c>
      <c r="AP584" s="9" t="str">
        <f t="shared" si="128"/>
        <v/>
      </c>
      <c r="AQ584" s="10" t="str">
        <f t="shared" si="129"/>
        <v/>
      </c>
    </row>
    <row r="585" spans="1:43">
      <c r="A585">
        <v>584</v>
      </c>
      <c r="B585" t="s">
        <v>23</v>
      </c>
      <c r="C585" t="s">
        <v>870</v>
      </c>
      <c r="D585" t="s">
        <v>871</v>
      </c>
      <c r="E585" t="s">
        <v>97</v>
      </c>
      <c r="G585" t="s">
        <v>18</v>
      </c>
      <c r="H585" s="4">
        <v>41509530</v>
      </c>
      <c r="I585" s="5">
        <v>256</v>
      </c>
      <c r="J585" s="5">
        <v>0</v>
      </c>
      <c r="K585" s="5">
        <v>16</v>
      </c>
      <c r="L585">
        <v>9.6</v>
      </c>
      <c r="M585">
        <v>6.5</v>
      </c>
      <c r="N585">
        <v>5.92</v>
      </c>
      <c r="O585" s="6">
        <v>15.6</v>
      </c>
      <c r="P585" s="7">
        <v>1.93</v>
      </c>
      <c r="U585" t="s">
        <v>84</v>
      </c>
      <c r="V585" t="s">
        <v>592</v>
      </c>
      <c r="W585">
        <v>2.8</v>
      </c>
      <c r="X585" t="s">
        <v>122</v>
      </c>
      <c r="Y585" t="s">
        <v>183</v>
      </c>
      <c r="Z585" t="s">
        <v>100</v>
      </c>
      <c r="AA585" t="s">
        <v>101</v>
      </c>
      <c r="AB585" t="s">
        <v>115</v>
      </c>
      <c r="AC585">
        <v>1537.39</v>
      </c>
      <c r="AD585" s="8" t="b">
        <f>AND(
 H585&gt;=Filters!$B$3,
 H585&lt;=Filters!$B$4,
 I585&gt;=Filters!$B$5,
 OR(Filters!$B$6="All",B585=Filters!$B$6),
 F585&gt;=Filters!$B$7,
 F585&lt;=Filters!$B$8,
 OR(Filters!$B$9="All",G585=Filters!$B$9)
)</f>
        <v>0</v>
      </c>
      <c r="AE585">
        <f t="shared" si="117"/>
        <v>6</v>
      </c>
      <c r="AF585">
        <f t="shared" si="118"/>
        <v>7</v>
      </c>
      <c r="AG585">
        <f t="shared" si="119"/>
        <v>7</v>
      </c>
      <c r="AH585" s="9" t="str">
        <f t="shared" si="120"/>
        <v/>
      </c>
      <c r="AI585" s="9" t="str">
        <f t="shared" si="121"/>
        <v/>
      </c>
      <c r="AJ585" s="9" t="str">
        <f t="shared" si="122"/>
        <v/>
      </c>
      <c r="AK585" s="9" t="str">
        <f t="shared" si="123"/>
        <v/>
      </c>
      <c r="AL585" s="9" t="str">
        <f t="shared" si="124"/>
        <v/>
      </c>
      <c r="AM585" s="9" t="str">
        <f t="shared" si="125"/>
        <v/>
      </c>
      <c r="AN585" s="9" t="str">
        <f t="shared" si="126"/>
        <v/>
      </c>
      <c r="AO585" s="9" t="str">
        <f t="shared" si="127"/>
        <v/>
      </c>
      <c r="AP585" s="9" t="str">
        <f t="shared" si="128"/>
        <v/>
      </c>
      <c r="AQ585" s="10" t="str">
        <f t="shared" si="129"/>
        <v/>
      </c>
    </row>
    <row r="586" spans="1:43">
      <c r="A586">
        <v>585</v>
      </c>
      <c r="B586" t="s">
        <v>23</v>
      </c>
      <c r="C586" t="s">
        <v>935</v>
      </c>
      <c r="D586" t="s">
        <v>936</v>
      </c>
      <c r="E586" t="s">
        <v>152</v>
      </c>
      <c r="G586" t="s">
        <v>18</v>
      </c>
      <c r="H586" s="4">
        <v>7965000</v>
      </c>
      <c r="I586" s="5">
        <v>16</v>
      </c>
      <c r="J586" s="5">
        <v>0</v>
      </c>
      <c r="K586" s="5">
        <v>4</v>
      </c>
      <c r="L586">
        <v>1.2</v>
      </c>
      <c r="M586">
        <v>3.5</v>
      </c>
      <c r="N586">
        <v>3.88</v>
      </c>
      <c r="O586" s="6">
        <v>11.6</v>
      </c>
      <c r="P586" s="7">
        <v>1.26</v>
      </c>
      <c r="U586" t="s">
        <v>84</v>
      </c>
      <c r="V586" t="s">
        <v>263</v>
      </c>
      <c r="W586">
        <v>1.6</v>
      </c>
      <c r="X586" t="s">
        <v>84</v>
      </c>
      <c r="Y586" t="s">
        <v>154</v>
      </c>
      <c r="Z586" t="s">
        <v>606</v>
      </c>
      <c r="AA586" t="s">
        <v>114</v>
      </c>
      <c r="AB586" t="s">
        <v>563</v>
      </c>
      <c r="AC586">
        <v>295</v>
      </c>
      <c r="AD586" s="8" t="b">
        <f>AND(
 H586&gt;=Filters!$B$3,
 H586&lt;=Filters!$B$4,
 I586&gt;=Filters!$B$5,
 OR(Filters!$B$6="All",B586=Filters!$B$6),
 F586&gt;=Filters!$B$7,
 F586&lt;=Filters!$B$8,
 OR(Filters!$B$9="All",G586=Filters!$B$9)
)</f>
        <v>0</v>
      </c>
      <c r="AE586">
        <f t="shared" si="117"/>
        <v>6</v>
      </c>
      <c r="AF586">
        <f t="shared" si="118"/>
        <v>7</v>
      </c>
      <c r="AG586">
        <f t="shared" si="119"/>
        <v>7</v>
      </c>
      <c r="AH586" s="9" t="str">
        <f t="shared" si="120"/>
        <v/>
      </c>
      <c r="AI586" s="9" t="str">
        <f t="shared" si="121"/>
        <v/>
      </c>
      <c r="AJ586" s="9" t="str">
        <f t="shared" si="122"/>
        <v/>
      </c>
      <c r="AK586" s="9" t="str">
        <f t="shared" si="123"/>
        <v/>
      </c>
      <c r="AL586" s="9" t="str">
        <f t="shared" si="124"/>
        <v/>
      </c>
      <c r="AM586" s="9" t="str">
        <f t="shared" si="125"/>
        <v/>
      </c>
      <c r="AN586" s="9" t="str">
        <f t="shared" si="126"/>
        <v/>
      </c>
      <c r="AO586" s="9" t="str">
        <f t="shared" si="127"/>
        <v/>
      </c>
      <c r="AP586" s="9" t="str">
        <f t="shared" si="128"/>
        <v/>
      </c>
      <c r="AQ586" s="10" t="str">
        <f t="shared" si="129"/>
        <v/>
      </c>
    </row>
    <row r="587" spans="1:43">
      <c r="A587">
        <v>586</v>
      </c>
      <c r="B587" t="s">
        <v>30</v>
      </c>
      <c r="C587" t="s">
        <v>937</v>
      </c>
      <c r="D587" t="s">
        <v>938</v>
      </c>
      <c r="E587" t="s">
        <v>158</v>
      </c>
      <c r="G587" t="s">
        <v>18</v>
      </c>
      <c r="H587" s="4">
        <v>63423000</v>
      </c>
      <c r="I587" s="5">
        <v>128</v>
      </c>
      <c r="J587" s="5">
        <v>1024</v>
      </c>
      <c r="K587" s="5">
        <v>16</v>
      </c>
      <c r="L587">
        <v>9.4</v>
      </c>
      <c r="M587">
        <v>9.1999999999999993</v>
      </c>
      <c r="N587">
        <v>5.83</v>
      </c>
      <c r="O587" s="6">
        <v>17.3</v>
      </c>
      <c r="P587" s="7">
        <v>4.5</v>
      </c>
      <c r="U587" t="s">
        <v>84</v>
      </c>
      <c r="V587" t="s">
        <v>932</v>
      </c>
      <c r="W587">
        <v>2.7</v>
      </c>
      <c r="X587" t="s">
        <v>122</v>
      </c>
      <c r="Y587" t="s">
        <v>526</v>
      </c>
      <c r="Z587" t="s">
        <v>161</v>
      </c>
      <c r="AA587" t="s">
        <v>101</v>
      </c>
      <c r="AB587" t="s">
        <v>115</v>
      </c>
      <c r="AC587">
        <v>2349</v>
      </c>
      <c r="AD587" s="8" t="b">
        <f>AND(
 H587&gt;=Filters!$B$3,
 H587&lt;=Filters!$B$4,
 I587&gt;=Filters!$B$5,
 OR(Filters!$B$6="All",B587=Filters!$B$6),
 F587&gt;=Filters!$B$7,
 F587&lt;=Filters!$B$8,
 OR(Filters!$B$9="All",G587=Filters!$B$9)
)</f>
        <v>0</v>
      </c>
      <c r="AE587">
        <f t="shared" si="117"/>
        <v>6</v>
      </c>
      <c r="AF587">
        <f t="shared" si="118"/>
        <v>7</v>
      </c>
      <c r="AG587">
        <f t="shared" si="119"/>
        <v>7</v>
      </c>
      <c r="AH587" s="9" t="str">
        <f t="shared" si="120"/>
        <v/>
      </c>
      <c r="AI587" s="9" t="str">
        <f t="shared" si="121"/>
        <v/>
      </c>
      <c r="AJ587" s="9" t="str">
        <f t="shared" si="122"/>
        <v/>
      </c>
      <c r="AK587" s="9" t="str">
        <f t="shared" si="123"/>
        <v/>
      </c>
      <c r="AL587" s="9" t="str">
        <f t="shared" si="124"/>
        <v/>
      </c>
      <c r="AM587" s="9" t="str">
        <f t="shared" si="125"/>
        <v/>
      </c>
      <c r="AN587" s="9" t="str">
        <f t="shared" si="126"/>
        <v/>
      </c>
      <c r="AO587" s="9" t="str">
        <f t="shared" si="127"/>
        <v/>
      </c>
      <c r="AP587" s="9" t="str">
        <f t="shared" si="128"/>
        <v/>
      </c>
      <c r="AQ587" s="10" t="str">
        <f t="shared" si="129"/>
        <v/>
      </c>
    </row>
    <row r="588" spans="1:43">
      <c r="A588">
        <v>587</v>
      </c>
      <c r="B588" t="s">
        <v>26</v>
      </c>
      <c r="C588" t="s">
        <v>939</v>
      </c>
      <c r="D588" t="s">
        <v>940</v>
      </c>
      <c r="E588" t="s">
        <v>158</v>
      </c>
      <c r="G588" t="s">
        <v>18</v>
      </c>
      <c r="H588" s="4">
        <v>40446000</v>
      </c>
      <c r="I588" s="5">
        <v>256</v>
      </c>
      <c r="J588" s="5">
        <v>1024</v>
      </c>
      <c r="K588" s="5">
        <v>16</v>
      </c>
      <c r="L588">
        <v>9.6</v>
      </c>
      <c r="M588">
        <v>9.1999999999999993</v>
      </c>
      <c r="N588">
        <v>6.24</v>
      </c>
      <c r="O588" s="6">
        <v>17.3</v>
      </c>
      <c r="P588" s="7">
        <v>3.78</v>
      </c>
      <c r="U588" t="s">
        <v>84</v>
      </c>
      <c r="V588" t="s">
        <v>210</v>
      </c>
      <c r="W588">
        <v>2.8</v>
      </c>
      <c r="X588" t="s">
        <v>122</v>
      </c>
      <c r="Y588" t="s">
        <v>160</v>
      </c>
      <c r="Z588" t="s">
        <v>212</v>
      </c>
      <c r="AA588" t="s">
        <v>128</v>
      </c>
      <c r="AB588" t="s">
        <v>115</v>
      </c>
      <c r="AC588">
        <v>1498</v>
      </c>
      <c r="AD588" s="8" t="b">
        <f>AND(
 H588&gt;=Filters!$B$3,
 H588&lt;=Filters!$B$4,
 I588&gt;=Filters!$B$5,
 OR(Filters!$B$6="All",B588=Filters!$B$6),
 F588&gt;=Filters!$B$7,
 F588&lt;=Filters!$B$8,
 OR(Filters!$B$9="All",G588=Filters!$B$9)
)</f>
        <v>0</v>
      </c>
      <c r="AE588">
        <f t="shared" si="117"/>
        <v>6</v>
      </c>
      <c r="AF588">
        <f t="shared" si="118"/>
        <v>7</v>
      </c>
      <c r="AG588">
        <f t="shared" si="119"/>
        <v>7</v>
      </c>
      <c r="AH588" s="9" t="str">
        <f t="shared" si="120"/>
        <v/>
      </c>
      <c r="AI588" s="9" t="str">
        <f t="shared" si="121"/>
        <v/>
      </c>
      <c r="AJ588" s="9" t="str">
        <f t="shared" si="122"/>
        <v/>
      </c>
      <c r="AK588" s="9" t="str">
        <f t="shared" si="123"/>
        <v/>
      </c>
      <c r="AL588" s="9" t="str">
        <f t="shared" si="124"/>
        <v/>
      </c>
      <c r="AM588" s="9" t="str">
        <f t="shared" si="125"/>
        <v/>
      </c>
      <c r="AN588" s="9" t="str">
        <f t="shared" si="126"/>
        <v/>
      </c>
      <c r="AO588" s="9" t="str">
        <f t="shared" si="127"/>
        <v/>
      </c>
      <c r="AP588" s="9" t="str">
        <f t="shared" si="128"/>
        <v/>
      </c>
      <c r="AQ588" s="10" t="str">
        <f t="shared" si="129"/>
        <v/>
      </c>
    </row>
    <row r="589" spans="1:43">
      <c r="A589">
        <v>588</v>
      </c>
      <c r="B589" t="s">
        <v>29</v>
      </c>
      <c r="C589" t="s">
        <v>801</v>
      </c>
      <c r="D589" t="s">
        <v>802</v>
      </c>
      <c r="E589" t="s">
        <v>83</v>
      </c>
      <c r="G589" t="s">
        <v>18</v>
      </c>
      <c r="H589" s="4">
        <v>45171000</v>
      </c>
      <c r="I589" s="5">
        <v>256</v>
      </c>
      <c r="J589" s="5">
        <v>0</v>
      </c>
      <c r="K589" s="5">
        <v>12</v>
      </c>
      <c r="L589">
        <v>9.1999999999999993</v>
      </c>
      <c r="M589">
        <v>3.5</v>
      </c>
      <c r="N589">
        <v>6.4</v>
      </c>
      <c r="O589" s="6">
        <v>14</v>
      </c>
      <c r="P589" s="7">
        <v>1.4</v>
      </c>
      <c r="U589" t="s">
        <v>84</v>
      </c>
      <c r="V589" t="s">
        <v>548</v>
      </c>
      <c r="W589">
        <v>2.6</v>
      </c>
      <c r="X589" t="s">
        <v>84</v>
      </c>
      <c r="Y589" t="s">
        <v>130</v>
      </c>
      <c r="Z589" t="s">
        <v>100</v>
      </c>
      <c r="AA589" t="s">
        <v>128</v>
      </c>
      <c r="AB589" t="s">
        <v>115</v>
      </c>
      <c r="AC589">
        <v>1673</v>
      </c>
      <c r="AD589" s="8" t="b">
        <f>AND(
 H589&gt;=Filters!$B$3,
 H589&lt;=Filters!$B$4,
 I589&gt;=Filters!$B$5,
 OR(Filters!$B$6="All",B589=Filters!$B$6),
 F589&gt;=Filters!$B$7,
 F589&lt;=Filters!$B$8,
 OR(Filters!$B$9="All",G589=Filters!$B$9)
)</f>
        <v>0</v>
      </c>
      <c r="AE589">
        <f t="shared" si="117"/>
        <v>6</v>
      </c>
      <c r="AF589">
        <f t="shared" si="118"/>
        <v>7</v>
      </c>
      <c r="AG589">
        <f t="shared" si="119"/>
        <v>7</v>
      </c>
      <c r="AH589" s="9" t="str">
        <f t="shared" si="120"/>
        <v/>
      </c>
      <c r="AI589" s="9" t="str">
        <f t="shared" si="121"/>
        <v/>
      </c>
      <c r="AJ589" s="9" t="str">
        <f t="shared" si="122"/>
        <v/>
      </c>
      <c r="AK589" s="9" t="str">
        <f t="shared" si="123"/>
        <v/>
      </c>
      <c r="AL589" s="9" t="str">
        <f t="shared" si="124"/>
        <v/>
      </c>
      <c r="AM589" s="9" t="str">
        <f t="shared" si="125"/>
        <v/>
      </c>
      <c r="AN589" s="9" t="str">
        <f t="shared" si="126"/>
        <v/>
      </c>
      <c r="AO589" s="9" t="str">
        <f t="shared" si="127"/>
        <v/>
      </c>
      <c r="AP589" s="9" t="str">
        <f t="shared" si="128"/>
        <v/>
      </c>
      <c r="AQ589" s="10" t="str">
        <f t="shared" si="129"/>
        <v/>
      </c>
    </row>
    <row r="590" spans="1:43">
      <c r="A590">
        <v>589</v>
      </c>
      <c r="B590" t="s">
        <v>29</v>
      </c>
      <c r="C590" t="s">
        <v>941</v>
      </c>
      <c r="D590" t="s">
        <v>942</v>
      </c>
      <c r="E590" t="s">
        <v>97</v>
      </c>
      <c r="G590" t="s">
        <v>18</v>
      </c>
      <c r="H590" s="4">
        <v>16443000</v>
      </c>
      <c r="I590" s="5">
        <v>0</v>
      </c>
      <c r="J590" s="5">
        <v>1024</v>
      </c>
      <c r="K590" s="5">
        <v>12</v>
      </c>
      <c r="L590">
        <v>7.6</v>
      </c>
      <c r="M590">
        <v>3.5</v>
      </c>
      <c r="N590">
        <v>4.22</v>
      </c>
      <c r="O590" s="6">
        <v>15.6</v>
      </c>
      <c r="P590" s="7">
        <v>2.2000000000000002</v>
      </c>
      <c r="U590" t="s">
        <v>84</v>
      </c>
      <c r="V590" t="s">
        <v>121</v>
      </c>
      <c r="W590">
        <v>1.8</v>
      </c>
      <c r="X590" t="s">
        <v>84</v>
      </c>
      <c r="Y590" t="s">
        <v>99</v>
      </c>
      <c r="Z590" t="s">
        <v>146</v>
      </c>
      <c r="AA590" t="s">
        <v>472</v>
      </c>
      <c r="AB590" t="s">
        <v>115</v>
      </c>
      <c r="AC590">
        <v>609</v>
      </c>
      <c r="AD590" s="8" t="b">
        <f>AND(
 H590&gt;=Filters!$B$3,
 H590&lt;=Filters!$B$4,
 I590&gt;=Filters!$B$5,
 OR(Filters!$B$6="All",B590=Filters!$B$6),
 F590&gt;=Filters!$B$7,
 F590&lt;=Filters!$B$8,
 OR(Filters!$B$9="All",G590=Filters!$B$9)
)</f>
        <v>0</v>
      </c>
      <c r="AE590">
        <f t="shared" si="117"/>
        <v>6</v>
      </c>
      <c r="AF590">
        <f t="shared" si="118"/>
        <v>7</v>
      </c>
      <c r="AG590">
        <f t="shared" si="119"/>
        <v>7</v>
      </c>
      <c r="AH590" s="9" t="str">
        <f t="shared" si="120"/>
        <v/>
      </c>
      <c r="AI590" s="9" t="str">
        <f t="shared" si="121"/>
        <v/>
      </c>
      <c r="AJ590" s="9" t="str">
        <f t="shared" si="122"/>
        <v/>
      </c>
      <c r="AK590" s="9" t="str">
        <f t="shared" si="123"/>
        <v/>
      </c>
      <c r="AL590" s="9" t="str">
        <f t="shared" si="124"/>
        <v/>
      </c>
      <c r="AM590" s="9" t="str">
        <f t="shared" si="125"/>
        <v/>
      </c>
      <c r="AN590" s="9" t="str">
        <f t="shared" si="126"/>
        <v/>
      </c>
      <c r="AO590" s="9" t="str">
        <f t="shared" si="127"/>
        <v/>
      </c>
      <c r="AP590" s="9" t="str">
        <f t="shared" si="128"/>
        <v/>
      </c>
      <c r="AQ590" s="10" t="str">
        <f t="shared" si="129"/>
        <v/>
      </c>
    </row>
    <row r="591" spans="1:43">
      <c r="A591">
        <v>590</v>
      </c>
      <c r="B591" t="s">
        <v>21</v>
      </c>
      <c r="C591" t="s">
        <v>676</v>
      </c>
      <c r="D591" t="s">
        <v>677</v>
      </c>
      <c r="E591" t="s">
        <v>158</v>
      </c>
      <c r="G591" t="s">
        <v>18</v>
      </c>
      <c r="H591" s="4">
        <v>47790000</v>
      </c>
      <c r="I591" s="5">
        <v>128</v>
      </c>
      <c r="J591" s="5">
        <v>1024</v>
      </c>
      <c r="K591" s="5">
        <v>8</v>
      </c>
      <c r="L591">
        <v>7</v>
      </c>
      <c r="M591">
        <v>9.1999999999999993</v>
      </c>
      <c r="N591">
        <v>6.24</v>
      </c>
      <c r="O591" s="6">
        <v>17.3</v>
      </c>
      <c r="P591" s="7">
        <v>2.73</v>
      </c>
      <c r="U591" t="s">
        <v>84</v>
      </c>
      <c r="V591" t="s">
        <v>159</v>
      </c>
      <c r="W591">
        <v>2.5</v>
      </c>
      <c r="X591" t="s">
        <v>122</v>
      </c>
      <c r="Y591" t="s">
        <v>211</v>
      </c>
      <c r="Z591" t="s">
        <v>161</v>
      </c>
      <c r="AA591" t="s">
        <v>128</v>
      </c>
      <c r="AB591" t="s">
        <v>115</v>
      </c>
      <c r="AC591">
        <v>1770</v>
      </c>
      <c r="AD591" s="8" t="b">
        <f>AND(
 H591&gt;=Filters!$B$3,
 H591&lt;=Filters!$B$4,
 I591&gt;=Filters!$B$5,
 OR(Filters!$B$6="All",B591=Filters!$B$6),
 F591&gt;=Filters!$B$7,
 F591&lt;=Filters!$B$8,
 OR(Filters!$B$9="All",G591=Filters!$B$9)
)</f>
        <v>0</v>
      </c>
      <c r="AE591">
        <f t="shared" si="117"/>
        <v>6</v>
      </c>
      <c r="AF591">
        <f t="shared" si="118"/>
        <v>7</v>
      </c>
      <c r="AG591">
        <f t="shared" si="119"/>
        <v>7</v>
      </c>
      <c r="AH591" s="9" t="str">
        <f t="shared" si="120"/>
        <v/>
      </c>
      <c r="AI591" s="9" t="str">
        <f t="shared" si="121"/>
        <v/>
      </c>
      <c r="AJ591" s="9" t="str">
        <f t="shared" si="122"/>
        <v/>
      </c>
      <c r="AK591" s="9" t="str">
        <f t="shared" si="123"/>
        <v/>
      </c>
      <c r="AL591" s="9" t="str">
        <f t="shared" si="124"/>
        <v/>
      </c>
      <c r="AM591" s="9" t="str">
        <f t="shared" si="125"/>
        <v/>
      </c>
      <c r="AN591" s="9" t="str">
        <f t="shared" si="126"/>
        <v/>
      </c>
      <c r="AO591" s="9" t="str">
        <f t="shared" si="127"/>
        <v/>
      </c>
      <c r="AP591" s="9" t="str">
        <f t="shared" si="128"/>
        <v/>
      </c>
      <c r="AQ591" s="10" t="str">
        <f t="shared" si="129"/>
        <v/>
      </c>
    </row>
    <row r="592" spans="1:43">
      <c r="A592">
        <v>591</v>
      </c>
      <c r="B592" t="s">
        <v>21</v>
      </c>
      <c r="C592" t="s">
        <v>943</v>
      </c>
      <c r="D592" t="s">
        <v>944</v>
      </c>
      <c r="E592" t="s">
        <v>168</v>
      </c>
      <c r="G592" t="s">
        <v>18</v>
      </c>
      <c r="H592" s="4">
        <v>19953000</v>
      </c>
      <c r="I592" s="5">
        <v>0</v>
      </c>
      <c r="J592" s="5">
        <v>1024</v>
      </c>
      <c r="K592" s="5">
        <v>8</v>
      </c>
      <c r="L592">
        <v>7</v>
      </c>
      <c r="M592">
        <v>3.5</v>
      </c>
      <c r="N592">
        <v>4.22</v>
      </c>
      <c r="O592" s="6">
        <v>15.6</v>
      </c>
      <c r="P592" s="7">
        <v>2.2000000000000002</v>
      </c>
      <c r="U592" t="s">
        <v>84</v>
      </c>
      <c r="V592" t="s">
        <v>98</v>
      </c>
      <c r="W592">
        <v>2.5</v>
      </c>
      <c r="X592" t="s">
        <v>84</v>
      </c>
      <c r="Y592" t="s">
        <v>130</v>
      </c>
      <c r="Z592" t="s">
        <v>146</v>
      </c>
      <c r="AA592" t="s">
        <v>472</v>
      </c>
      <c r="AB592" t="s">
        <v>115</v>
      </c>
      <c r="AC592">
        <v>739</v>
      </c>
      <c r="AD592" s="8" t="b">
        <f>AND(
 H592&gt;=Filters!$B$3,
 H592&lt;=Filters!$B$4,
 I592&gt;=Filters!$B$5,
 OR(Filters!$B$6="All",B592=Filters!$B$6),
 F592&gt;=Filters!$B$7,
 F592&lt;=Filters!$B$8,
 OR(Filters!$B$9="All",G592=Filters!$B$9)
)</f>
        <v>0</v>
      </c>
      <c r="AE592">
        <f t="shared" si="117"/>
        <v>6</v>
      </c>
      <c r="AF592">
        <f t="shared" si="118"/>
        <v>7</v>
      </c>
      <c r="AG592">
        <f t="shared" si="119"/>
        <v>7</v>
      </c>
      <c r="AH592" s="9" t="str">
        <f t="shared" si="120"/>
        <v/>
      </c>
      <c r="AI592" s="9" t="str">
        <f t="shared" si="121"/>
        <v/>
      </c>
      <c r="AJ592" s="9" t="str">
        <f t="shared" si="122"/>
        <v/>
      </c>
      <c r="AK592" s="9" t="str">
        <f t="shared" si="123"/>
        <v/>
      </c>
      <c r="AL592" s="9" t="str">
        <f t="shared" si="124"/>
        <v/>
      </c>
      <c r="AM592" s="9" t="str">
        <f t="shared" si="125"/>
        <v/>
      </c>
      <c r="AN592" s="9" t="str">
        <f t="shared" si="126"/>
        <v/>
      </c>
      <c r="AO592" s="9" t="str">
        <f t="shared" si="127"/>
        <v/>
      </c>
      <c r="AP592" s="9" t="str">
        <f t="shared" si="128"/>
        <v/>
      </c>
      <c r="AQ592" s="10" t="str">
        <f t="shared" si="129"/>
        <v/>
      </c>
    </row>
    <row r="593" spans="1:43">
      <c r="A593">
        <v>592</v>
      </c>
      <c r="B593" t="s">
        <v>29</v>
      </c>
      <c r="C593" t="s">
        <v>641</v>
      </c>
      <c r="D593" t="s">
        <v>642</v>
      </c>
      <c r="E593" t="s">
        <v>97</v>
      </c>
      <c r="G593" t="s">
        <v>18</v>
      </c>
      <c r="H593" s="4">
        <v>25623000</v>
      </c>
      <c r="I593" s="5">
        <v>512</v>
      </c>
      <c r="J593" s="5">
        <v>0</v>
      </c>
      <c r="K593" s="5">
        <v>12</v>
      </c>
      <c r="L593">
        <v>8.1999999999999993</v>
      </c>
      <c r="M593">
        <v>6.5</v>
      </c>
      <c r="N593">
        <v>5.92</v>
      </c>
      <c r="O593" s="6">
        <v>15.6</v>
      </c>
      <c r="P593" s="7">
        <v>2.2000000000000002</v>
      </c>
      <c r="U593" t="s">
        <v>104</v>
      </c>
      <c r="V593" t="s">
        <v>618</v>
      </c>
      <c r="W593">
        <v>3.6</v>
      </c>
      <c r="X593" t="s">
        <v>104</v>
      </c>
      <c r="Y593" t="s">
        <v>176</v>
      </c>
      <c r="Z593" t="s">
        <v>106</v>
      </c>
      <c r="AA593" t="s">
        <v>101</v>
      </c>
      <c r="AB593" t="s">
        <v>115</v>
      </c>
      <c r="AC593">
        <v>949</v>
      </c>
      <c r="AD593" s="8" t="b">
        <f>AND(
 H593&gt;=Filters!$B$3,
 H593&lt;=Filters!$B$4,
 I593&gt;=Filters!$B$5,
 OR(Filters!$B$6="All",B593=Filters!$B$6),
 F593&gt;=Filters!$B$7,
 F593&lt;=Filters!$B$8,
 OR(Filters!$B$9="All",G593=Filters!$B$9)
)</f>
        <v>0</v>
      </c>
      <c r="AE593">
        <f t="shared" si="117"/>
        <v>6</v>
      </c>
      <c r="AF593">
        <f t="shared" si="118"/>
        <v>7</v>
      </c>
      <c r="AG593">
        <f t="shared" si="119"/>
        <v>7</v>
      </c>
      <c r="AH593" s="9" t="str">
        <f t="shared" si="120"/>
        <v/>
      </c>
      <c r="AI593" s="9" t="str">
        <f t="shared" si="121"/>
        <v/>
      </c>
      <c r="AJ593" s="9" t="str">
        <f t="shared" si="122"/>
        <v/>
      </c>
      <c r="AK593" s="9" t="str">
        <f t="shared" si="123"/>
        <v/>
      </c>
      <c r="AL593" s="9" t="str">
        <f t="shared" si="124"/>
        <v/>
      </c>
      <c r="AM593" s="9" t="str">
        <f t="shared" si="125"/>
        <v/>
      </c>
      <c r="AN593" s="9" t="str">
        <f t="shared" si="126"/>
        <v/>
      </c>
      <c r="AO593" s="9" t="str">
        <f t="shared" si="127"/>
        <v/>
      </c>
      <c r="AP593" s="9" t="str">
        <f t="shared" si="128"/>
        <v/>
      </c>
      <c r="AQ593" s="10" t="str">
        <f t="shared" si="129"/>
        <v/>
      </c>
    </row>
    <row r="594" spans="1:43">
      <c r="A594">
        <v>593</v>
      </c>
      <c r="B594" t="s">
        <v>23</v>
      </c>
      <c r="C594" t="s">
        <v>945</v>
      </c>
      <c r="D594" t="s">
        <v>946</v>
      </c>
      <c r="E594" t="s">
        <v>168</v>
      </c>
      <c r="G594" t="s">
        <v>18</v>
      </c>
      <c r="H594" s="4">
        <v>16281000</v>
      </c>
      <c r="I594" s="5">
        <v>128</v>
      </c>
      <c r="J594" s="5">
        <v>0</v>
      </c>
      <c r="K594" s="5">
        <v>4</v>
      </c>
      <c r="L594">
        <v>3</v>
      </c>
      <c r="M594">
        <v>3.5</v>
      </c>
      <c r="N594">
        <v>4.18</v>
      </c>
      <c r="O594" s="6">
        <v>11.6</v>
      </c>
      <c r="P594" s="7">
        <v>1.39</v>
      </c>
      <c r="U594" t="s">
        <v>84</v>
      </c>
      <c r="V594" t="s">
        <v>947</v>
      </c>
      <c r="W594">
        <v>1</v>
      </c>
      <c r="X594" t="s">
        <v>84</v>
      </c>
      <c r="Y594" t="s">
        <v>138</v>
      </c>
      <c r="Z594" t="s">
        <v>87</v>
      </c>
      <c r="AA594" t="s">
        <v>472</v>
      </c>
      <c r="AB594" t="s">
        <v>115</v>
      </c>
      <c r="AC594">
        <v>603</v>
      </c>
      <c r="AD594" s="8" t="b">
        <f>AND(
 H594&gt;=Filters!$B$3,
 H594&lt;=Filters!$B$4,
 I594&gt;=Filters!$B$5,
 OR(Filters!$B$6="All",B594=Filters!$B$6),
 F594&gt;=Filters!$B$7,
 F594&lt;=Filters!$B$8,
 OR(Filters!$B$9="All",G594=Filters!$B$9)
)</f>
        <v>0</v>
      </c>
      <c r="AE594">
        <f t="shared" si="117"/>
        <v>6</v>
      </c>
      <c r="AF594">
        <f t="shared" si="118"/>
        <v>7</v>
      </c>
      <c r="AG594">
        <f t="shared" si="119"/>
        <v>7</v>
      </c>
      <c r="AH594" s="9" t="str">
        <f t="shared" si="120"/>
        <v/>
      </c>
      <c r="AI594" s="9" t="str">
        <f t="shared" si="121"/>
        <v/>
      </c>
      <c r="AJ594" s="9" t="str">
        <f t="shared" si="122"/>
        <v/>
      </c>
      <c r="AK594" s="9" t="str">
        <f t="shared" si="123"/>
        <v/>
      </c>
      <c r="AL594" s="9" t="str">
        <f t="shared" si="124"/>
        <v/>
      </c>
      <c r="AM594" s="9" t="str">
        <f t="shared" si="125"/>
        <v/>
      </c>
      <c r="AN594" s="9" t="str">
        <f t="shared" si="126"/>
        <v/>
      </c>
      <c r="AO594" s="9" t="str">
        <f t="shared" si="127"/>
        <v/>
      </c>
      <c r="AP594" s="9" t="str">
        <f t="shared" si="128"/>
        <v/>
      </c>
      <c r="AQ594" s="10" t="str">
        <f t="shared" si="129"/>
        <v/>
      </c>
    </row>
    <row r="595" spans="1:43">
      <c r="A595">
        <v>594</v>
      </c>
      <c r="B595" t="s">
        <v>34</v>
      </c>
      <c r="C595" t="s">
        <v>948</v>
      </c>
      <c r="D595" t="s">
        <v>949</v>
      </c>
      <c r="E595" t="s">
        <v>97</v>
      </c>
      <c r="G595" t="s">
        <v>18</v>
      </c>
      <c r="H595" s="4">
        <v>45873000</v>
      </c>
      <c r="I595" s="5">
        <v>128</v>
      </c>
      <c r="J595" s="5">
        <v>1024</v>
      </c>
      <c r="K595" s="5">
        <v>16</v>
      </c>
      <c r="L595">
        <v>9.6</v>
      </c>
      <c r="M595">
        <v>9.1999999999999993</v>
      </c>
      <c r="N595">
        <v>5.92</v>
      </c>
      <c r="O595" s="6">
        <v>15.6</v>
      </c>
      <c r="P595" s="7">
        <v>2.5</v>
      </c>
      <c r="U595" t="s">
        <v>84</v>
      </c>
      <c r="V595" t="s">
        <v>210</v>
      </c>
      <c r="W595">
        <v>2.8</v>
      </c>
      <c r="X595" t="s">
        <v>122</v>
      </c>
      <c r="Y595" t="s">
        <v>160</v>
      </c>
      <c r="Z595" t="s">
        <v>161</v>
      </c>
      <c r="AA595" t="s">
        <v>101</v>
      </c>
      <c r="AB595" t="s">
        <v>115</v>
      </c>
      <c r="AC595">
        <v>1699</v>
      </c>
      <c r="AD595" s="8" t="b">
        <f>AND(
 H595&gt;=Filters!$B$3,
 H595&lt;=Filters!$B$4,
 I595&gt;=Filters!$B$5,
 OR(Filters!$B$6="All",B595=Filters!$B$6),
 F595&gt;=Filters!$B$7,
 F595&lt;=Filters!$B$8,
 OR(Filters!$B$9="All",G595=Filters!$B$9)
)</f>
        <v>0</v>
      </c>
      <c r="AE595">
        <f t="shared" si="117"/>
        <v>6</v>
      </c>
      <c r="AF595">
        <f t="shared" si="118"/>
        <v>7</v>
      </c>
      <c r="AG595">
        <f t="shared" si="119"/>
        <v>7</v>
      </c>
      <c r="AH595" s="9" t="str">
        <f t="shared" si="120"/>
        <v/>
      </c>
      <c r="AI595" s="9" t="str">
        <f t="shared" si="121"/>
        <v/>
      </c>
      <c r="AJ595" s="9" t="str">
        <f t="shared" si="122"/>
        <v/>
      </c>
      <c r="AK595" s="9" t="str">
        <f t="shared" si="123"/>
        <v/>
      </c>
      <c r="AL595" s="9" t="str">
        <f t="shared" si="124"/>
        <v/>
      </c>
      <c r="AM595" s="9" t="str">
        <f t="shared" si="125"/>
        <v/>
      </c>
      <c r="AN595" s="9" t="str">
        <f t="shared" si="126"/>
        <v/>
      </c>
      <c r="AO595" s="9" t="str">
        <f t="shared" si="127"/>
        <v/>
      </c>
      <c r="AP595" s="9" t="str">
        <f t="shared" si="128"/>
        <v/>
      </c>
      <c r="AQ595" s="10" t="str">
        <f t="shared" si="129"/>
        <v/>
      </c>
    </row>
    <row r="596" spans="1:43">
      <c r="A596">
        <v>595</v>
      </c>
      <c r="B596" t="s">
        <v>29</v>
      </c>
      <c r="C596" t="s">
        <v>950</v>
      </c>
      <c r="D596" t="s">
        <v>951</v>
      </c>
      <c r="E596" t="s">
        <v>97</v>
      </c>
      <c r="G596" t="s">
        <v>18</v>
      </c>
      <c r="H596" s="4">
        <v>14283000</v>
      </c>
      <c r="I596" s="5">
        <v>0</v>
      </c>
      <c r="J596" s="5">
        <v>500</v>
      </c>
      <c r="K596" s="5">
        <v>4</v>
      </c>
      <c r="L596">
        <v>4</v>
      </c>
      <c r="M596">
        <v>3.5</v>
      </c>
      <c r="N596">
        <v>5.83</v>
      </c>
      <c r="O596" s="6">
        <v>17.3</v>
      </c>
      <c r="P596" s="7">
        <v>2.8</v>
      </c>
      <c r="U596" t="s">
        <v>84</v>
      </c>
      <c r="V596" t="s">
        <v>129</v>
      </c>
      <c r="W596">
        <v>2</v>
      </c>
      <c r="X596" t="s">
        <v>84</v>
      </c>
      <c r="Y596" t="s">
        <v>130</v>
      </c>
      <c r="Z596" t="s">
        <v>113</v>
      </c>
      <c r="AA596" t="s">
        <v>101</v>
      </c>
      <c r="AB596" t="s">
        <v>102</v>
      </c>
      <c r="AC596">
        <v>529</v>
      </c>
      <c r="AD596" s="8" t="b">
        <f>AND(
 H596&gt;=Filters!$B$3,
 H596&lt;=Filters!$B$4,
 I596&gt;=Filters!$B$5,
 OR(Filters!$B$6="All",B596=Filters!$B$6),
 F596&gt;=Filters!$B$7,
 F596&lt;=Filters!$B$8,
 OR(Filters!$B$9="All",G596=Filters!$B$9)
)</f>
        <v>0</v>
      </c>
      <c r="AE596">
        <f t="shared" si="117"/>
        <v>6</v>
      </c>
      <c r="AF596">
        <f t="shared" si="118"/>
        <v>7</v>
      </c>
      <c r="AG596">
        <f t="shared" si="119"/>
        <v>7</v>
      </c>
      <c r="AH596" s="9" t="str">
        <f t="shared" si="120"/>
        <v/>
      </c>
      <c r="AI596" s="9" t="str">
        <f t="shared" si="121"/>
        <v/>
      </c>
      <c r="AJ596" s="9" t="str">
        <f t="shared" si="122"/>
        <v/>
      </c>
      <c r="AK596" s="9" t="str">
        <f t="shared" si="123"/>
        <v/>
      </c>
      <c r="AL596" s="9" t="str">
        <f t="shared" si="124"/>
        <v/>
      </c>
      <c r="AM596" s="9" t="str">
        <f t="shared" si="125"/>
        <v/>
      </c>
      <c r="AN596" s="9" t="str">
        <f t="shared" si="126"/>
        <v/>
      </c>
      <c r="AO596" s="9" t="str">
        <f t="shared" si="127"/>
        <v/>
      </c>
      <c r="AP596" s="9" t="str">
        <f t="shared" si="128"/>
        <v/>
      </c>
      <c r="AQ596" s="10" t="str">
        <f t="shared" si="129"/>
        <v/>
      </c>
    </row>
    <row r="597" spans="1:43">
      <c r="A597">
        <v>596</v>
      </c>
      <c r="B597" t="s">
        <v>29</v>
      </c>
      <c r="C597" t="s">
        <v>952</v>
      </c>
      <c r="D597" t="s">
        <v>953</v>
      </c>
      <c r="E597" t="s">
        <v>97</v>
      </c>
      <c r="G597" t="s">
        <v>18</v>
      </c>
      <c r="H597" s="4">
        <v>12393000</v>
      </c>
      <c r="I597" s="5">
        <v>0</v>
      </c>
      <c r="J597" s="5">
        <v>1024</v>
      </c>
      <c r="K597" s="5">
        <v>8</v>
      </c>
      <c r="L597">
        <v>4.5999999999999996</v>
      </c>
      <c r="M597">
        <v>3.5</v>
      </c>
      <c r="N597">
        <v>3.92</v>
      </c>
      <c r="O597" s="6">
        <v>15.6</v>
      </c>
      <c r="P597" s="7">
        <v>2.29</v>
      </c>
      <c r="U597" t="s">
        <v>84</v>
      </c>
      <c r="V597" t="s">
        <v>812</v>
      </c>
      <c r="W597">
        <v>2.2999999999999998</v>
      </c>
      <c r="X597" t="s">
        <v>84</v>
      </c>
      <c r="Y597" t="s">
        <v>130</v>
      </c>
      <c r="Z597" t="s">
        <v>146</v>
      </c>
      <c r="AA597" t="s">
        <v>114</v>
      </c>
      <c r="AB597" t="s">
        <v>115</v>
      </c>
      <c r="AC597">
        <v>459</v>
      </c>
      <c r="AD597" s="8" t="b">
        <f>AND(
 H597&gt;=Filters!$B$3,
 H597&lt;=Filters!$B$4,
 I597&gt;=Filters!$B$5,
 OR(Filters!$B$6="All",B597=Filters!$B$6),
 F597&gt;=Filters!$B$7,
 F597&lt;=Filters!$B$8,
 OR(Filters!$B$9="All",G597=Filters!$B$9)
)</f>
        <v>0</v>
      </c>
      <c r="AE597">
        <f t="shared" si="117"/>
        <v>6</v>
      </c>
      <c r="AF597">
        <f t="shared" si="118"/>
        <v>7</v>
      </c>
      <c r="AG597">
        <f t="shared" si="119"/>
        <v>7</v>
      </c>
      <c r="AH597" s="9" t="str">
        <f t="shared" si="120"/>
        <v/>
      </c>
      <c r="AI597" s="9" t="str">
        <f t="shared" si="121"/>
        <v/>
      </c>
      <c r="AJ597" s="9" t="str">
        <f t="shared" si="122"/>
        <v/>
      </c>
      <c r="AK597" s="9" t="str">
        <f t="shared" si="123"/>
        <v/>
      </c>
      <c r="AL597" s="9" t="str">
        <f t="shared" si="124"/>
        <v/>
      </c>
      <c r="AM597" s="9" t="str">
        <f t="shared" si="125"/>
        <v/>
      </c>
      <c r="AN597" s="9" t="str">
        <f t="shared" si="126"/>
        <v/>
      </c>
      <c r="AO597" s="9" t="str">
        <f t="shared" si="127"/>
        <v/>
      </c>
      <c r="AP597" s="9" t="str">
        <f t="shared" si="128"/>
        <v/>
      </c>
      <c r="AQ597" s="10" t="str">
        <f t="shared" si="129"/>
        <v/>
      </c>
    </row>
    <row r="598" spans="1:43">
      <c r="A598">
        <v>597</v>
      </c>
      <c r="B598" t="s">
        <v>29</v>
      </c>
      <c r="C598" t="s">
        <v>334</v>
      </c>
      <c r="D598" t="s">
        <v>335</v>
      </c>
      <c r="E598" t="s">
        <v>168</v>
      </c>
      <c r="G598" t="s">
        <v>18</v>
      </c>
      <c r="H598" s="4">
        <v>54675000</v>
      </c>
      <c r="I598" s="5">
        <v>512</v>
      </c>
      <c r="J598" s="5">
        <v>0</v>
      </c>
      <c r="K598" s="5">
        <v>8</v>
      </c>
      <c r="L598">
        <v>9.4</v>
      </c>
      <c r="M598">
        <v>3.5</v>
      </c>
      <c r="N598">
        <v>6.67</v>
      </c>
      <c r="O598" s="6">
        <v>13.3</v>
      </c>
      <c r="P598" s="7">
        <v>1.37</v>
      </c>
      <c r="U598" t="s">
        <v>84</v>
      </c>
      <c r="V598" t="s">
        <v>140</v>
      </c>
      <c r="W598">
        <v>2.7</v>
      </c>
      <c r="X598" t="s">
        <v>84</v>
      </c>
      <c r="Y598" t="s">
        <v>99</v>
      </c>
      <c r="Z598" t="s">
        <v>106</v>
      </c>
      <c r="AA598" t="s">
        <v>149</v>
      </c>
      <c r="AB598" t="s">
        <v>115</v>
      </c>
      <c r="AC598">
        <v>2025</v>
      </c>
      <c r="AD598" s="8" t="b">
        <f>AND(
 H598&gt;=Filters!$B$3,
 H598&lt;=Filters!$B$4,
 I598&gt;=Filters!$B$5,
 OR(Filters!$B$6="All",B598=Filters!$B$6),
 F598&gt;=Filters!$B$7,
 F598&lt;=Filters!$B$8,
 OR(Filters!$B$9="All",G598=Filters!$B$9)
)</f>
        <v>0</v>
      </c>
      <c r="AE598">
        <f t="shared" si="117"/>
        <v>6</v>
      </c>
      <c r="AF598">
        <f t="shared" si="118"/>
        <v>7</v>
      </c>
      <c r="AG598">
        <f t="shared" si="119"/>
        <v>7</v>
      </c>
      <c r="AH598" s="9" t="str">
        <f t="shared" si="120"/>
        <v/>
      </c>
      <c r="AI598" s="9" t="str">
        <f t="shared" si="121"/>
        <v/>
      </c>
      <c r="AJ598" s="9" t="str">
        <f t="shared" si="122"/>
        <v/>
      </c>
      <c r="AK598" s="9" t="str">
        <f t="shared" si="123"/>
        <v/>
      </c>
      <c r="AL598" s="9" t="str">
        <f t="shared" si="124"/>
        <v/>
      </c>
      <c r="AM598" s="9" t="str">
        <f t="shared" si="125"/>
        <v/>
      </c>
      <c r="AN598" s="9" t="str">
        <f t="shared" si="126"/>
        <v/>
      </c>
      <c r="AO598" s="9" t="str">
        <f t="shared" si="127"/>
        <v/>
      </c>
      <c r="AP598" s="9" t="str">
        <f t="shared" si="128"/>
        <v/>
      </c>
      <c r="AQ598" s="10" t="str">
        <f t="shared" si="129"/>
        <v/>
      </c>
    </row>
    <row r="599" spans="1:43">
      <c r="A599">
        <v>598</v>
      </c>
      <c r="B599" t="s">
        <v>29</v>
      </c>
      <c r="C599" t="s">
        <v>954</v>
      </c>
      <c r="D599" t="s">
        <v>722</v>
      </c>
      <c r="E599" t="s">
        <v>97</v>
      </c>
      <c r="G599" t="s">
        <v>18</v>
      </c>
      <c r="H599" s="4">
        <v>39798000</v>
      </c>
      <c r="I599" s="5">
        <v>256</v>
      </c>
      <c r="J599" s="5">
        <v>0</v>
      </c>
      <c r="K599" s="5">
        <v>8</v>
      </c>
      <c r="L599">
        <v>7</v>
      </c>
      <c r="M599">
        <v>3.5</v>
      </c>
      <c r="N599">
        <v>6.4</v>
      </c>
      <c r="O599" s="6">
        <v>14</v>
      </c>
      <c r="P599" s="7">
        <v>1.7</v>
      </c>
      <c r="U599" t="s">
        <v>84</v>
      </c>
      <c r="V599" t="s">
        <v>159</v>
      </c>
      <c r="W599">
        <v>2.5</v>
      </c>
      <c r="X599" t="s">
        <v>84</v>
      </c>
      <c r="Y599" t="s">
        <v>558</v>
      </c>
      <c r="Z599" t="s">
        <v>100</v>
      </c>
      <c r="AA599" t="s">
        <v>128</v>
      </c>
      <c r="AB599" t="s">
        <v>115</v>
      </c>
      <c r="AC599">
        <v>1474</v>
      </c>
      <c r="AD599" s="8" t="b">
        <f>AND(
 H599&gt;=Filters!$B$3,
 H599&lt;=Filters!$B$4,
 I599&gt;=Filters!$B$5,
 OR(Filters!$B$6="All",B599=Filters!$B$6),
 F599&gt;=Filters!$B$7,
 F599&lt;=Filters!$B$8,
 OR(Filters!$B$9="All",G599=Filters!$B$9)
)</f>
        <v>0</v>
      </c>
      <c r="AE599">
        <f t="shared" si="117"/>
        <v>6</v>
      </c>
      <c r="AF599">
        <f t="shared" si="118"/>
        <v>7</v>
      </c>
      <c r="AG599">
        <f t="shared" si="119"/>
        <v>7</v>
      </c>
      <c r="AH599" s="9" t="str">
        <f t="shared" si="120"/>
        <v/>
      </c>
      <c r="AI599" s="9" t="str">
        <f t="shared" si="121"/>
        <v/>
      </c>
      <c r="AJ599" s="9" t="str">
        <f t="shared" si="122"/>
        <v/>
      </c>
      <c r="AK599" s="9" t="str">
        <f t="shared" si="123"/>
        <v/>
      </c>
      <c r="AL599" s="9" t="str">
        <f t="shared" si="124"/>
        <v/>
      </c>
      <c r="AM599" s="9" t="str">
        <f t="shared" si="125"/>
        <v/>
      </c>
      <c r="AN599" s="9" t="str">
        <f t="shared" si="126"/>
        <v/>
      </c>
      <c r="AO599" s="9" t="str">
        <f t="shared" si="127"/>
        <v/>
      </c>
      <c r="AP599" s="9" t="str">
        <f t="shared" si="128"/>
        <v/>
      </c>
      <c r="AQ599" s="10" t="str">
        <f t="shared" si="129"/>
        <v/>
      </c>
    </row>
    <row r="600" spans="1:43">
      <c r="A600">
        <v>599</v>
      </c>
      <c r="B600" t="s">
        <v>23</v>
      </c>
      <c r="C600" t="s">
        <v>955</v>
      </c>
      <c r="D600" t="s">
        <v>956</v>
      </c>
      <c r="E600" t="s">
        <v>168</v>
      </c>
      <c r="G600" t="s">
        <v>18</v>
      </c>
      <c r="H600" s="4">
        <v>45090000</v>
      </c>
      <c r="I600" s="5">
        <v>256</v>
      </c>
      <c r="J600" s="5">
        <v>0</v>
      </c>
      <c r="K600" s="5">
        <v>8</v>
      </c>
      <c r="L600">
        <v>7</v>
      </c>
      <c r="M600">
        <v>3.5</v>
      </c>
      <c r="N600">
        <v>6.22</v>
      </c>
      <c r="O600" s="6">
        <v>12.5</v>
      </c>
      <c r="P600" s="7">
        <v>1.34</v>
      </c>
      <c r="U600" t="s">
        <v>84</v>
      </c>
      <c r="V600" t="s">
        <v>98</v>
      </c>
      <c r="W600">
        <v>2.5</v>
      </c>
      <c r="X600" t="s">
        <v>84</v>
      </c>
      <c r="Y600" t="s">
        <v>99</v>
      </c>
      <c r="Z600" t="s">
        <v>100</v>
      </c>
      <c r="AA600" t="s">
        <v>169</v>
      </c>
      <c r="AB600" t="s">
        <v>115</v>
      </c>
      <c r="AC600">
        <v>1670</v>
      </c>
      <c r="AD600" s="8" t="b">
        <f>AND(
 H600&gt;=Filters!$B$3,
 H600&lt;=Filters!$B$4,
 I600&gt;=Filters!$B$5,
 OR(Filters!$B$6="All",B600=Filters!$B$6),
 F600&gt;=Filters!$B$7,
 F600&lt;=Filters!$B$8,
 OR(Filters!$B$9="All",G600=Filters!$B$9)
)</f>
        <v>0</v>
      </c>
      <c r="AE600">
        <f t="shared" si="117"/>
        <v>6</v>
      </c>
      <c r="AF600">
        <f t="shared" si="118"/>
        <v>7</v>
      </c>
      <c r="AG600">
        <f t="shared" si="119"/>
        <v>7</v>
      </c>
      <c r="AH600" s="9" t="str">
        <f t="shared" si="120"/>
        <v/>
      </c>
      <c r="AI600" s="9" t="str">
        <f t="shared" si="121"/>
        <v/>
      </c>
      <c r="AJ600" s="9" t="str">
        <f t="shared" si="122"/>
        <v/>
      </c>
      <c r="AK600" s="9" t="str">
        <f t="shared" si="123"/>
        <v/>
      </c>
      <c r="AL600" s="9" t="str">
        <f t="shared" si="124"/>
        <v/>
      </c>
      <c r="AM600" s="9" t="str">
        <f t="shared" si="125"/>
        <v/>
      </c>
      <c r="AN600" s="9" t="str">
        <f t="shared" si="126"/>
        <v/>
      </c>
      <c r="AO600" s="9" t="str">
        <f t="shared" si="127"/>
        <v/>
      </c>
      <c r="AP600" s="9" t="str">
        <f t="shared" si="128"/>
        <v/>
      </c>
      <c r="AQ600" s="10" t="str">
        <f t="shared" si="129"/>
        <v/>
      </c>
    </row>
    <row r="601" spans="1:43">
      <c r="A601">
        <v>600</v>
      </c>
      <c r="B601" t="s">
        <v>23</v>
      </c>
      <c r="C601" t="s">
        <v>773</v>
      </c>
      <c r="D601" t="s">
        <v>774</v>
      </c>
      <c r="E601" t="s">
        <v>468</v>
      </c>
      <c r="G601" t="s">
        <v>18</v>
      </c>
      <c r="H601" s="4">
        <v>47601000</v>
      </c>
      <c r="I601" s="5">
        <v>256</v>
      </c>
      <c r="J601" s="5">
        <v>0</v>
      </c>
      <c r="K601" s="5">
        <v>8</v>
      </c>
      <c r="L601">
        <v>9.6</v>
      </c>
      <c r="M601">
        <v>8</v>
      </c>
      <c r="N601">
        <v>6.22</v>
      </c>
      <c r="O601" s="6">
        <v>15.6</v>
      </c>
      <c r="P601" s="7">
        <v>2.06</v>
      </c>
      <c r="U601" t="s">
        <v>84</v>
      </c>
      <c r="V601" t="s">
        <v>210</v>
      </c>
      <c r="W601">
        <v>2.8</v>
      </c>
      <c r="X601" t="s">
        <v>122</v>
      </c>
      <c r="Y601" t="s">
        <v>775</v>
      </c>
      <c r="Z601" t="s">
        <v>100</v>
      </c>
      <c r="AA601" t="s">
        <v>169</v>
      </c>
      <c r="AB601" t="s">
        <v>115</v>
      </c>
      <c r="AC601">
        <v>1763</v>
      </c>
      <c r="AD601" s="8" t="b">
        <f>AND(
 H601&gt;=Filters!$B$3,
 H601&lt;=Filters!$B$4,
 I601&gt;=Filters!$B$5,
 OR(Filters!$B$6="All",B601=Filters!$B$6),
 F601&gt;=Filters!$B$7,
 F601&lt;=Filters!$B$8,
 OR(Filters!$B$9="All",G601=Filters!$B$9)
)</f>
        <v>0</v>
      </c>
      <c r="AE601">
        <f t="shared" si="117"/>
        <v>6</v>
      </c>
      <c r="AF601">
        <f t="shared" si="118"/>
        <v>7</v>
      </c>
      <c r="AG601">
        <f t="shared" si="119"/>
        <v>7</v>
      </c>
      <c r="AH601" s="9" t="str">
        <f t="shared" si="120"/>
        <v/>
      </c>
      <c r="AI601" s="9" t="str">
        <f t="shared" si="121"/>
        <v/>
      </c>
      <c r="AJ601" s="9" t="str">
        <f t="shared" si="122"/>
        <v/>
      </c>
      <c r="AK601" s="9" t="str">
        <f t="shared" si="123"/>
        <v/>
      </c>
      <c r="AL601" s="9" t="str">
        <f t="shared" si="124"/>
        <v/>
      </c>
      <c r="AM601" s="9" t="str">
        <f t="shared" si="125"/>
        <v/>
      </c>
      <c r="AN601" s="9" t="str">
        <f t="shared" si="126"/>
        <v/>
      </c>
      <c r="AO601" s="9" t="str">
        <f t="shared" si="127"/>
        <v/>
      </c>
      <c r="AP601" s="9" t="str">
        <f t="shared" si="128"/>
        <v/>
      </c>
      <c r="AQ601" s="10" t="str">
        <f t="shared" si="129"/>
        <v/>
      </c>
    </row>
    <row r="602" spans="1:43">
      <c r="A602">
        <v>601</v>
      </c>
      <c r="B602" t="s">
        <v>26</v>
      </c>
      <c r="C602" t="s">
        <v>957</v>
      </c>
      <c r="D602" t="s">
        <v>958</v>
      </c>
      <c r="E602" t="s">
        <v>97</v>
      </c>
      <c r="G602" t="s">
        <v>18</v>
      </c>
      <c r="H602" s="4">
        <v>32913000</v>
      </c>
      <c r="I602" s="5">
        <v>256</v>
      </c>
      <c r="J602" s="5">
        <v>0</v>
      </c>
      <c r="K602" s="5">
        <v>8</v>
      </c>
      <c r="L602">
        <v>9.4</v>
      </c>
      <c r="M602">
        <v>3.5</v>
      </c>
      <c r="N602">
        <v>5.92</v>
      </c>
      <c r="O602" s="6">
        <v>15.6</v>
      </c>
      <c r="P602" s="7">
        <v>1.84</v>
      </c>
      <c r="U602" t="s">
        <v>84</v>
      </c>
      <c r="V602" t="s">
        <v>140</v>
      </c>
      <c r="W602">
        <v>2.7</v>
      </c>
      <c r="X602" t="s">
        <v>84</v>
      </c>
      <c r="Y602" t="s">
        <v>99</v>
      </c>
      <c r="Z602" t="s">
        <v>100</v>
      </c>
      <c r="AA602" t="s">
        <v>101</v>
      </c>
      <c r="AB602" t="s">
        <v>115</v>
      </c>
      <c r="AC602">
        <v>1219</v>
      </c>
      <c r="AD602" s="8" t="b">
        <f>AND(
 H602&gt;=Filters!$B$3,
 H602&lt;=Filters!$B$4,
 I602&gt;=Filters!$B$5,
 OR(Filters!$B$6="All",B602=Filters!$B$6),
 F602&gt;=Filters!$B$7,
 F602&lt;=Filters!$B$8,
 OR(Filters!$B$9="All",G602=Filters!$B$9)
)</f>
        <v>0</v>
      </c>
      <c r="AE602">
        <f t="shared" si="117"/>
        <v>6</v>
      </c>
      <c r="AF602">
        <f t="shared" si="118"/>
        <v>7</v>
      </c>
      <c r="AG602">
        <f t="shared" si="119"/>
        <v>7</v>
      </c>
      <c r="AH602" s="9" t="str">
        <f t="shared" si="120"/>
        <v/>
      </c>
      <c r="AI602" s="9" t="str">
        <f t="shared" si="121"/>
        <v/>
      </c>
      <c r="AJ602" s="9" t="str">
        <f t="shared" si="122"/>
        <v/>
      </c>
      <c r="AK602" s="9" t="str">
        <f t="shared" si="123"/>
        <v/>
      </c>
      <c r="AL602" s="9" t="str">
        <f t="shared" si="124"/>
        <v/>
      </c>
      <c r="AM602" s="9" t="str">
        <f t="shared" si="125"/>
        <v/>
      </c>
      <c r="AN602" s="9" t="str">
        <f t="shared" si="126"/>
        <v/>
      </c>
      <c r="AO602" s="9" t="str">
        <f t="shared" si="127"/>
        <v/>
      </c>
      <c r="AP602" s="9" t="str">
        <f t="shared" si="128"/>
        <v/>
      </c>
      <c r="AQ602" s="10" t="str">
        <f t="shared" si="129"/>
        <v/>
      </c>
    </row>
    <row r="603" spans="1:43">
      <c r="A603">
        <v>602</v>
      </c>
      <c r="B603" t="s">
        <v>26</v>
      </c>
      <c r="C603" t="s">
        <v>204</v>
      </c>
      <c r="D603" t="s">
        <v>205</v>
      </c>
      <c r="E603" t="s">
        <v>97</v>
      </c>
      <c r="G603" t="s">
        <v>18</v>
      </c>
      <c r="H603" s="4">
        <v>18048960</v>
      </c>
      <c r="I603" s="5">
        <v>0</v>
      </c>
      <c r="J603" s="5">
        <v>500</v>
      </c>
      <c r="K603" s="5">
        <v>4</v>
      </c>
      <c r="L603">
        <v>4.8</v>
      </c>
      <c r="M603">
        <v>3.5</v>
      </c>
      <c r="N603">
        <v>3.92</v>
      </c>
      <c r="O603" s="6">
        <v>15.6</v>
      </c>
      <c r="P603" s="7">
        <v>2.1</v>
      </c>
      <c r="U603" t="s">
        <v>84</v>
      </c>
      <c r="V603" t="s">
        <v>144</v>
      </c>
      <c r="W603">
        <v>2.4</v>
      </c>
      <c r="X603" t="s">
        <v>84</v>
      </c>
      <c r="Y603" t="s">
        <v>99</v>
      </c>
      <c r="Z603" t="s">
        <v>113</v>
      </c>
      <c r="AA603" t="s">
        <v>114</v>
      </c>
      <c r="AB603" t="s">
        <v>115</v>
      </c>
      <c r="AC603">
        <v>668.48</v>
      </c>
      <c r="AD603" s="8" t="b">
        <f>AND(
 H603&gt;=Filters!$B$3,
 H603&lt;=Filters!$B$4,
 I603&gt;=Filters!$B$5,
 OR(Filters!$B$6="All",B603=Filters!$B$6),
 F603&gt;=Filters!$B$7,
 F603&lt;=Filters!$B$8,
 OR(Filters!$B$9="All",G603=Filters!$B$9)
)</f>
        <v>0</v>
      </c>
      <c r="AE603">
        <f t="shared" si="117"/>
        <v>6</v>
      </c>
      <c r="AF603">
        <f t="shared" si="118"/>
        <v>7</v>
      </c>
      <c r="AG603">
        <f t="shared" si="119"/>
        <v>7</v>
      </c>
      <c r="AH603" s="9" t="str">
        <f t="shared" si="120"/>
        <v/>
      </c>
      <c r="AI603" s="9" t="str">
        <f t="shared" si="121"/>
        <v/>
      </c>
      <c r="AJ603" s="9" t="str">
        <f t="shared" si="122"/>
        <v/>
      </c>
      <c r="AK603" s="9" t="str">
        <f t="shared" si="123"/>
        <v/>
      </c>
      <c r="AL603" s="9" t="str">
        <f t="shared" si="124"/>
        <v/>
      </c>
      <c r="AM603" s="9" t="str">
        <f t="shared" si="125"/>
        <v/>
      </c>
      <c r="AN603" s="9" t="str">
        <f t="shared" si="126"/>
        <v/>
      </c>
      <c r="AO603" s="9" t="str">
        <f t="shared" si="127"/>
        <v/>
      </c>
      <c r="AP603" s="9" t="str">
        <f t="shared" si="128"/>
        <v/>
      </c>
      <c r="AQ603" s="10" t="str">
        <f t="shared" si="129"/>
        <v/>
      </c>
    </row>
    <row r="604" spans="1:43">
      <c r="A604">
        <v>603</v>
      </c>
      <c r="B604" t="s">
        <v>17</v>
      </c>
      <c r="C604" t="s">
        <v>959</v>
      </c>
      <c r="D604" t="s">
        <v>960</v>
      </c>
      <c r="E604" t="s">
        <v>97</v>
      </c>
      <c r="G604" t="s">
        <v>18</v>
      </c>
      <c r="H604" s="4">
        <v>8883000</v>
      </c>
      <c r="I604" s="5">
        <v>32</v>
      </c>
      <c r="J604" s="5">
        <v>0</v>
      </c>
      <c r="K604" s="5">
        <v>4</v>
      </c>
      <c r="L604">
        <v>1</v>
      </c>
      <c r="M604">
        <v>3.5</v>
      </c>
      <c r="N604">
        <v>6</v>
      </c>
      <c r="O604" s="6">
        <v>14</v>
      </c>
      <c r="P604" s="7">
        <v>1.6</v>
      </c>
      <c r="U604" t="s">
        <v>84</v>
      </c>
      <c r="V604" t="s">
        <v>669</v>
      </c>
      <c r="W604">
        <v>1.1000000000000001</v>
      </c>
      <c r="X604" t="s">
        <v>84</v>
      </c>
      <c r="Y604" t="s">
        <v>199</v>
      </c>
      <c r="Z604" t="s">
        <v>155</v>
      </c>
      <c r="AA604" t="s">
        <v>101</v>
      </c>
      <c r="AB604" t="s">
        <v>115</v>
      </c>
      <c r="AC604">
        <v>329</v>
      </c>
      <c r="AD604" s="8" t="b">
        <f>AND(
 H604&gt;=Filters!$B$3,
 H604&lt;=Filters!$B$4,
 I604&gt;=Filters!$B$5,
 OR(Filters!$B$6="All",B604=Filters!$B$6),
 F604&gt;=Filters!$B$7,
 F604&lt;=Filters!$B$8,
 OR(Filters!$B$9="All",G604=Filters!$B$9)
)</f>
        <v>0</v>
      </c>
      <c r="AE604">
        <f t="shared" si="117"/>
        <v>6</v>
      </c>
      <c r="AF604">
        <f t="shared" si="118"/>
        <v>7</v>
      </c>
      <c r="AG604">
        <f t="shared" si="119"/>
        <v>7</v>
      </c>
      <c r="AH604" s="9" t="str">
        <f t="shared" si="120"/>
        <v/>
      </c>
      <c r="AI604" s="9" t="str">
        <f t="shared" si="121"/>
        <v/>
      </c>
      <c r="AJ604" s="9" t="str">
        <f t="shared" si="122"/>
        <v/>
      </c>
      <c r="AK604" s="9" t="str">
        <f t="shared" si="123"/>
        <v/>
      </c>
      <c r="AL604" s="9" t="str">
        <f t="shared" si="124"/>
        <v/>
      </c>
      <c r="AM604" s="9" t="str">
        <f t="shared" si="125"/>
        <v/>
      </c>
      <c r="AN604" s="9" t="str">
        <f t="shared" si="126"/>
        <v/>
      </c>
      <c r="AO604" s="9" t="str">
        <f t="shared" si="127"/>
        <v/>
      </c>
      <c r="AP604" s="9" t="str">
        <f t="shared" si="128"/>
        <v/>
      </c>
      <c r="AQ604" s="10" t="str">
        <f t="shared" si="129"/>
        <v/>
      </c>
    </row>
    <row r="605" spans="1:43">
      <c r="A605">
        <v>604</v>
      </c>
      <c r="B605" t="s">
        <v>30</v>
      </c>
      <c r="C605" t="s">
        <v>961</v>
      </c>
      <c r="D605" t="s">
        <v>962</v>
      </c>
      <c r="E605" t="s">
        <v>158</v>
      </c>
      <c r="G605" t="s">
        <v>18</v>
      </c>
      <c r="H605" s="4">
        <v>59373000</v>
      </c>
      <c r="I605" s="5">
        <v>128</v>
      </c>
      <c r="J605" s="5">
        <v>1024</v>
      </c>
      <c r="K605" s="5">
        <v>16</v>
      </c>
      <c r="L605">
        <v>9.4</v>
      </c>
      <c r="M605">
        <v>9.1999999999999993</v>
      </c>
      <c r="N605">
        <v>5.83</v>
      </c>
      <c r="O605" s="6">
        <v>17.3</v>
      </c>
      <c r="P605" s="7">
        <v>4.1399999999999997</v>
      </c>
      <c r="U605" t="s">
        <v>84</v>
      </c>
      <c r="V605" t="s">
        <v>932</v>
      </c>
      <c r="W605">
        <v>2.7</v>
      </c>
      <c r="X605" t="s">
        <v>122</v>
      </c>
      <c r="Y605" t="s">
        <v>963</v>
      </c>
      <c r="Z605" t="s">
        <v>161</v>
      </c>
      <c r="AA605" t="s">
        <v>101</v>
      </c>
      <c r="AB605" t="s">
        <v>115</v>
      </c>
      <c r="AC605">
        <v>2199</v>
      </c>
      <c r="AD605" s="8" t="b">
        <f>AND(
 H605&gt;=Filters!$B$3,
 H605&lt;=Filters!$B$4,
 I605&gt;=Filters!$B$5,
 OR(Filters!$B$6="All",B605=Filters!$B$6),
 F605&gt;=Filters!$B$7,
 F605&lt;=Filters!$B$8,
 OR(Filters!$B$9="All",G605=Filters!$B$9)
)</f>
        <v>0</v>
      </c>
      <c r="AE605">
        <f t="shared" si="117"/>
        <v>6</v>
      </c>
      <c r="AF605">
        <f t="shared" si="118"/>
        <v>7</v>
      </c>
      <c r="AG605">
        <f t="shared" si="119"/>
        <v>7</v>
      </c>
      <c r="AH605" s="9" t="str">
        <f t="shared" si="120"/>
        <v/>
      </c>
      <c r="AI605" s="9" t="str">
        <f t="shared" si="121"/>
        <v/>
      </c>
      <c r="AJ605" s="9" t="str">
        <f t="shared" si="122"/>
        <v/>
      </c>
      <c r="AK605" s="9" t="str">
        <f t="shared" si="123"/>
        <v/>
      </c>
      <c r="AL605" s="9" t="str">
        <f t="shared" si="124"/>
        <v/>
      </c>
      <c r="AM605" s="9" t="str">
        <f t="shared" si="125"/>
        <v/>
      </c>
      <c r="AN605" s="9" t="str">
        <f t="shared" si="126"/>
        <v/>
      </c>
      <c r="AO605" s="9" t="str">
        <f t="shared" si="127"/>
        <v/>
      </c>
      <c r="AP605" s="9" t="str">
        <f t="shared" si="128"/>
        <v/>
      </c>
      <c r="AQ605" s="10" t="str">
        <f t="shared" si="129"/>
        <v/>
      </c>
    </row>
    <row r="606" spans="1:43">
      <c r="A606">
        <v>605</v>
      </c>
      <c r="B606" t="s">
        <v>23</v>
      </c>
      <c r="C606" t="s">
        <v>540</v>
      </c>
      <c r="D606" t="s">
        <v>541</v>
      </c>
      <c r="E606" t="s">
        <v>97</v>
      </c>
      <c r="G606" t="s">
        <v>18</v>
      </c>
      <c r="H606" s="4">
        <v>12555000</v>
      </c>
      <c r="I606" s="5">
        <v>0</v>
      </c>
      <c r="J606" s="5">
        <v>1024</v>
      </c>
      <c r="K606" s="5">
        <v>4</v>
      </c>
      <c r="L606">
        <v>4</v>
      </c>
      <c r="M606">
        <v>6.5</v>
      </c>
      <c r="N606">
        <v>3.92</v>
      </c>
      <c r="O606" s="6">
        <v>15.6</v>
      </c>
      <c r="P606" s="7">
        <v>2.1800000000000002</v>
      </c>
      <c r="U606" t="s">
        <v>84</v>
      </c>
      <c r="V606" t="s">
        <v>129</v>
      </c>
      <c r="W606">
        <v>2</v>
      </c>
      <c r="X606" t="s">
        <v>104</v>
      </c>
      <c r="Y606" t="s">
        <v>411</v>
      </c>
      <c r="Z606" t="s">
        <v>146</v>
      </c>
      <c r="AA606" t="s">
        <v>114</v>
      </c>
      <c r="AB606" t="s">
        <v>201</v>
      </c>
      <c r="AC606">
        <v>465</v>
      </c>
      <c r="AD606" s="8" t="b">
        <f>AND(
 H606&gt;=Filters!$B$3,
 H606&lt;=Filters!$B$4,
 I606&gt;=Filters!$B$5,
 OR(Filters!$B$6="All",B606=Filters!$B$6),
 F606&gt;=Filters!$B$7,
 F606&lt;=Filters!$B$8,
 OR(Filters!$B$9="All",G606=Filters!$B$9)
)</f>
        <v>0</v>
      </c>
      <c r="AE606">
        <f t="shared" si="117"/>
        <v>6</v>
      </c>
      <c r="AF606">
        <f t="shared" si="118"/>
        <v>7</v>
      </c>
      <c r="AG606">
        <f t="shared" si="119"/>
        <v>7</v>
      </c>
      <c r="AH606" s="9" t="str">
        <f t="shared" si="120"/>
        <v/>
      </c>
      <c r="AI606" s="9" t="str">
        <f t="shared" si="121"/>
        <v/>
      </c>
      <c r="AJ606" s="9" t="str">
        <f t="shared" si="122"/>
        <v/>
      </c>
      <c r="AK606" s="9" t="str">
        <f t="shared" si="123"/>
        <v/>
      </c>
      <c r="AL606" s="9" t="str">
        <f t="shared" si="124"/>
        <v/>
      </c>
      <c r="AM606" s="9" t="str">
        <f t="shared" si="125"/>
        <v/>
      </c>
      <c r="AN606" s="9" t="str">
        <f t="shared" si="126"/>
        <v/>
      </c>
      <c r="AO606" s="9" t="str">
        <f t="shared" si="127"/>
        <v/>
      </c>
      <c r="AP606" s="9" t="str">
        <f t="shared" si="128"/>
        <v/>
      </c>
      <c r="AQ606" s="10" t="str">
        <f t="shared" si="129"/>
        <v/>
      </c>
    </row>
    <row r="607" spans="1:43">
      <c r="A607">
        <v>606</v>
      </c>
      <c r="B607" t="s">
        <v>30</v>
      </c>
      <c r="C607" t="s">
        <v>964</v>
      </c>
      <c r="D607" t="s">
        <v>965</v>
      </c>
      <c r="E607" t="s">
        <v>158</v>
      </c>
      <c r="G607" t="s">
        <v>18</v>
      </c>
      <c r="H607" s="4">
        <v>62073000</v>
      </c>
      <c r="I607" s="5">
        <v>256</v>
      </c>
      <c r="J607" s="5">
        <v>2048</v>
      </c>
      <c r="K607" s="5">
        <v>16</v>
      </c>
      <c r="L607">
        <v>9.6</v>
      </c>
      <c r="M607">
        <v>9.1999999999999993</v>
      </c>
      <c r="N607">
        <v>9.42</v>
      </c>
      <c r="O607" s="6">
        <v>15.6</v>
      </c>
      <c r="P607" s="7">
        <v>1.8</v>
      </c>
      <c r="U607" t="s">
        <v>84</v>
      </c>
      <c r="V607" t="s">
        <v>210</v>
      </c>
      <c r="W607">
        <v>2.8</v>
      </c>
      <c r="X607" t="s">
        <v>122</v>
      </c>
      <c r="Y607" t="s">
        <v>211</v>
      </c>
      <c r="Z607" t="s">
        <v>249</v>
      </c>
      <c r="AA607" t="s">
        <v>471</v>
      </c>
      <c r="AB607" t="s">
        <v>115</v>
      </c>
      <c r="AC607">
        <v>2299</v>
      </c>
      <c r="AD607" s="8" t="b">
        <f>AND(
 H607&gt;=Filters!$B$3,
 H607&lt;=Filters!$B$4,
 I607&gt;=Filters!$B$5,
 OR(Filters!$B$6="All",B607=Filters!$B$6),
 F607&gt;=Filters!$B$7,
 F607&lt;=Filters!$B$8,
 OR(Filters!$B$9="All",G607=Filters!$B$9)
)</f>
        <v>0</v>
      </c>
      <c r="AE607">
        <f t="shared" si="117"/>
        <v>6</v>
      </c>
      <c r="AF607">
        <f t="shared" si="118"/>
        <v>7</v>
      </c>
      <c r="AG607">
        <f t="shared" si="119"/>
        <v>7</v>
      </c>
      <c r="AH607" s="9" t="str">
        <f t="shared" si="120"/>
        <v/>
      </c>
      <c r="AI607" s="9" t="str">
        <f t="shared" si="121"/>
        <v/>
      </c>
      <c r="AJ607" s="9" t="str">
        <f t="shared" si="122"/>
        <v/>
      </c>
      <c r="AK607" s="9" t="str">
        <f t="shared" si="123"/>
        <v/>
      </c>
      <c r="AL607" s="9" t="str">
        <f t="shared" si="124"/>
        <v/>
      </c>
      <c r="AM607" s="9" t="str">
        <f t="shared" si="125"/>
        <v/>
      </c>
      <c r="AN607" s="9" t="str">
        <f t="shared" si="126"/>
        <v/>
      </c>
      <c r="AO607" s="9" t="str">
        <f t="shared" si="127"/>
        <v/>
      </c>
      <c r="AP607" s="9" t="str">
        <f t="shared" si="128"/>
        <v/>
      </c>
      <c r="AQ607" s="10" t="str">
        <f t="shared" si="129"/>
        <v/>
      </c>
    </row>
    <row r="608" spans="1:43">
      <c r="A608">
        <v>607</v>
      </c>
      <c r="B608" t="s">
        <v>35</v>
      </c>
      <c r="C608" t="s">
        <v>966</v>
      </c>
      <c r="D608" t="s">
        <v>967</v>
      </c>
      <c r="E608" t="s">
        <v>97</v>
      </c>
      <c r="G608" t="s">
        <v>18</v>
      </c>
      <c r="H608" s="4">
        <v>37773000</v>
      </c>
      <c r="I608" s="5">
        <v>256</v>
      </c>
      <c r="J608" s="5">
        <v>0</v>
      </c>
      <c r="K608" s="5">
        <v>8</v>
      </c>
      <c r="L608">
        <v>9</v>
      </c>
      <c r="M608">
        <v>3.5</v>
      </c>
      <c r="N608">
        <v>6.32</v>
      </c>
      <c r="O608" s="6">
        <v>15.6</v>
      </c>
      <c r="P608" s="7">
        <v>2.2000000000000002</v>
      </c>
      <c r="U608" t="s">
        <v>84</v>
      </c>
      <c r="V608" t="s">
        <v>485</v>
      </c>
      <c r="W608">
        <v>2.5</v>
      </c>
      <c r="X608" t="s">
        <v>84</v>
      </c>
      <c r="Y608" t="s">
        <v>130</v>
      </c>
      <c r="Z608" t="s">
        <v>100</v>
      </c>
      <c r="AA608" t="s">
        <v>128</v>
      </c>
      <c r="AB608" t="s">
        <v>115</v>
      </c>
      <c r="AC608">
        <v>1399</v>
      </c>
      <c r="AD608" s="8" t="b">
        <f>AND(
 H608&gt;=Filters!$B$3,
 H608&lt;=Filters!$B$4,
 I608&gt;=Filters!$B$5,
 OR(Filters!$B$6="All",B608=Filters!$B$6),
 F608&gt;=Filters!$B$7,
 F608&lt;=Filters!$B$8,
 OR(Filters!$B$9="All",G608=Filters!$B$9)
)</f>
        <v>0</v>
      </c>
      <c r="AE608">
        <f t="shared" si="117"/>
        <v>6</v>
      </c>
      <c r="AF608">
        <f t="shared" si="118"/>
        <v>7</v>
      </c>
      <c r="AG608">
        <f t="shared" si="119"/>
        <v>7</v>
      </c>
      <c r="AH608" s="9" t="str">
        <f t="shared" si="120"/>
        <v/>
      </c>
      <c r="AI608" s="9" t="str">
        <f t="shared" si="121"/>
        <v/>
      </c>
      <c r="AJ608" s="9" t="str">
        <f t="shared" si="122"/>
        <v/>
      </c>
      <c r="AK608" s="9" t="str">
        <f t="shared" si="123"/>
        <v/>
      </c>
      <c r="AL608" s="9" t="str">
        <f t="shared" si="124"/>
        <v/>
      </c>
      <c r="AM608" s="9" t="str">
        <f t="shared" si="125"/>
        <v/>
      </c>
      <c r="AN608" s="9" t="str">
        <f t="shared" si="126"/>
        <v/>
      </c>
      <c r="AO608" s="9" t="str">
        <f t="shared" si="127"/>
        <v/>
      </c>
      <c r="AP608" s="9" t="str">
        <f t="shared" si="128"/>
        <v/>
      </c>
      <c r="AQ608" s="10" t="str">
        <f t="shared" si="129"/>
        <v/>
      </c>
    </row>
    <row r="609" spans="1:43">
      <c r="A609">
        <v>608</v>
      </c>
      <c r="B609" t="s">
        <v>29</v>
      </c>
      <c r="C609" t="s">
        <v>968</v>
      </c>
      <c r="D609" t="s">
        <v>969</v>
      </c>
      <c r="E609" t="s">
        <v>97</v>
      </c>
      <c r="G609" t="s">
        <v>18</v>
      </c>
      <c r="H609" s="4">
        <v>15228000</v>
      </c>
      <c r="I609" s="5">
        <v>0</v>
      </c>
      <c r="J609" s="5">
        <v>1024</v>
      </c>
      <c r="K609" s="5">
        <v>6</v>
      </c>
      <c r="L609">
        <v>7</v>
      </c>
      <c r="M609">
        <v>3.5</v>
      </c>
      <c r="N609">
        <v>5.92</v>
      </c>
      <c r="O609" s="6">
        <v>15.6</v>
      </c>
      <c r="P609" s="7">
        <v>2.4</v>
      </c>
      <c r="U609" t="s">
        <v>84</v>
      </c>
      <c r="V609" t="s">
        <v>98</v>
      </c>
      <c r="W609">
        <v>2.5</v>
      </c>
      <c r="X609" t="s">
        <v>84</v>
      </c>
      <c r="Y609" t="s">
        <v>99</v>
      </c>
      <c r="Z609" t="s">
        <v>146</v>
      </c>
      <c r="AA609" t="s">
        <v>101</v>
      </c>
      <c r="AB609" t="s">
        <v>115</v>
      </c>
      <c r="AC609">
        <v>564</v>
      </c>
      <c r="AD609" s="8" t="b">
        <f>AND(
 H609&gt;=Filters!$B$3,
 H609&lt;=Filters!$B$4,
 I609&gt;=Filters!$B$5,
 OR(Filters!$B$6="All",B609=Filters!$B$6),
 F609&gt;=Filters!$B$7,
 F609&lt;=Filters!$B$8,
 OR(Filters!$B$9="All",G609=Filters!$B$9)
)</f>
        <v>0</v>
      </c>
      <c r="AE609">
        <f t="shared" si="117"/>
        <v>6</v>
      </c>
      <c r="AF609">
        <f t="shared" si="118"/>
        <v>7</v>
      </c>
      <c r="AG609">
        <f t="shared" si="119"/>
        <v>7</v>
      </c>
      <c r="AH609" s="9" t="str">
        <f t="shared" si="120"/>
        <v/>
      </c>
      <c r="AI609" s="9" t="str">
        <f t="shared" si="121"/>
        <v/>
      </c>
      <c r="AJ609" s="9" t="str">
        <f t="shared" si="122"/>
        <v/>
      </c>
      <c r="AK609" s="9" t="str">
        <f t="shared" si="123"/>
        <v/>
      </c>
      <c r="AL609" s="9" t="str">
        <f t="shared" si="124"/>
        <v/>
      </c>
      <c r="AM609" s="9" t="str">
        <f t="shared" si="125"/>
        <v/>
      </c>
      <c r="AN609" s="9" t="str">
        <f t="shared" si="126"/>
        <v/>
      </c>
      <c r="AO609" s="9" t="str">
        <f t="shared" si="127"/>
        <v/>
      </c>
      <c r="AP609" s="9" t="str">
        <f t="shared" si="128"/>
        <v/>
      </c>
      <c r="AQ609" s="10" t="str">
        <f t="shared" si="129"/>
        <v/>
      </c>
    </row>
    <row r="610" spans="1:43">
      <c r="A610">
        <v>609</v>
      </c>
      <c r="B610" t="s">
        <v>29</v>
      </c>
      <c r="C610" t="s">
        <v>538</v>
      </c>
      <c r="D610" t="s">
        <v>539</v>
      </c>
      <c r="E610" t="s">
        <v>168</v>
      </c>
      <c r="G610" t="s">
        <v>18</v>
      </c>
      <c r="H610" s="4">
        <v>35073000</v>
      </c>
      <c r="I610" s="5">
        <v>256</v>
      </c>
      <c r="J610" s="5">
        <v>0</v>
      </c>
      <c r="K610" s="5">
        <v>8</v>
      </c>
      <c r="L610">
        <v>9.6</v>
      </c>
      <c r="M610">
        <v>3.5</v>
      </c>
      <c r="N610">
        <v>6.62</v>
      </c>
      <c r="O610" s="6">
        <v>15.6</v>
      </c>
      <c r="P610" s="7">
        <v>2</v>
      </c>
      <c r="U610" t="s">
        <v>84</v>
      </c>
      <c r="V610" t="s">
        <v>210</v>
      </c>
      <c r="W610">
        <v>2.8</v>
      </c>
      <c r="X610" t="s">
        <v>84</v>
      </c>
      <c r="Y610" t="s">
        <v>558</v>
      </c>
      <c r="Z610" t="s">
        <v>100</v>
      </c>
      <c r="AA610" t="s">
        <v>149</v>
      </c>
      <c r="AB610" t="s">
        <v>115</v>
      </c>
      <c r="AC610">
        <v>1299</v>
      </c>
      <c r="AD610" s="8" t="b">
        <f>AND(
 H610&gt;=Filters!$B$3,
 H610&lt;=Filters!$B$4,
 I610&gt;=Filters!$B$5,
 OR(Filters!$B$6="All",B610=Filters!$B$6),
 F610&gt;=Filters!$B$7,
 F610&lt;=Filters!$B$8,
 OR(Filters!$B$9="All",G610=Filters!$B$9)
)</f>
        <v>0</v>
      </c>
      <c r="AE610">
        <f t="shared" si="117"/>
        <v>6</v>
      </c>
      <c r="AF610">
        <f t="shared" si="118"/>
        <v>7</v>
      </c>
      <c r="AG610">
        <f t="shared" si="119"/>
        <v>7</v>
      </c>
      <c r="AH610" s="9" t="str">
        <f t="shared" si="120"/>
        <v/>
      </c>
      <c r="AI610" s="9" t="str">
        <f t="shared" si="121"/>
        <v/>
      </c>
      <c r="AJ610" s="9" t="str">
        <f t="shared" si="122"/>
        <v/>
      </c>
      <c r="AK610" s="9" t="str">
        <f t="shared" si="123"/>
        <v/>
      </c>
      <c r="AL610" s="9" t="str">
        <f t="shared" si="124"/>
        <v/>
      </c>
      <c r="AM610" s="9" t="str">
        <f t="shared" si="125"/>
        <v/>
      </c>
      <c r="AN610" s="9" t="str">
        <f t="shared" si="126"/>
        <v/>
      </c>
      <c r="AO610" s="9" t="str">
        <f t="shared" si="127"/>
        <v/>
      </c>
      <c r="AP610" s="9" t="str">
        <f t="shared" si="128"/>
        <v/>
      </c>
      <c r="AQ610" s="10" t="str">
        <f t="shared" si="129"/>
        <v/>
      </c>
    </row>
    <row r="611" spans="1:43">
      <c r="A611">
        <v>610</v>
      </c>
      <c r="B611" t="s">
        <v>17</v>
      </c>
      <c r="C611" t="s">
        <v>970</v>
      </c>
      <c r="D611" t="s">
        <v>971</v>
      </c>
      <c r="E611" t="s">
        <v>97</v>
      </c>
      <c r="G611" t="s">
        <v>18</v>
      </c>
      <c r="H611" s="4">
        <v>9423000</v>
      </c>
      <c r="I611" s="5">
        <v>128</v>
      </c>
      <c r="J611" s="5">
        <v>0</v>
      </c>
      <c r="K611" s="5">
        <v>4</v>
      </c>
      <c r="L611">
        <v>2.2000000000000002</v>
      </c>
      <c r="M611">
        <v>3.5</v>
      </c>
      <c r="N611">
        <v>4</v>
      </c>
      <c r="O611" s="6">
        <v>14</v>
      </c>
      <c r="P611" s="7">
        <v>1.6</v>
      </c>
      <c r="U611" t="s">
        <v>84</v>
      </c>
      <c r="V611" t="s">
        <v>611</v>
      </c>
      <c r="W611">
        <v>1.6</v>
      </c>
      <c r="X611" t="s">
        <v>84</v>
      </c>
      <c r="Y611" t="s">
        <v>612</v>
      </c>
      <c r="Z611" t="s">
        <v>93</v>
      </c>
      <c r="AA611" t="s">
        <v>114</v>
      </c>
      <c r="AB611" t="s">
        <v>115</v>
      </c>
      <c r="AC611">
        <v>349</v>
      </c>
      <c r="AD611" s="8" t="b">
        <f>AND(
 H611&gt;=Filters!$B$3,
 H611&lt;=Filters!$B$4,
 I611&gt;=Filters!$B$5,
 OR(Filters!$B$6="All",B611=Filters!$B$6),
 F611&gt;=Filters!$B$7,
 F611&lt;=Filters!$B$8,
 OR(Filters!$B$9="All",G611=Filters!$B$9)
)</f>
        <v>0</v>
      </c>
      <c r="AE611">
        <f t="shared" si="117"/>
        <v>6</v>
      </c>
      <c r="AF611">
        <f t="shared" si="118"/>
        <v>7</v>
      </c>
      <c r="AG611">
        <f t="shared" si="119"/>
        <v>7</v>
      </c>
      <c r="AH611" s="9" t="str">
        <f t="shared" si="120"/>
        <v/>
      </c>
      <c r="AI611" s="9" t="str">
        <f t="shared" si="121"/>
        <v/>
      </c>
      <c r="AJ611" s="9" t="str">
        <f t="shared" si="122"/>
        <v/>
      </c>
      <c r="AK611" s="9" t="str">
        <f t="shared" si="123"/>
        <v/>
      </c>
      <c r="AL611" s="9" t="str">
        <f t="shared" si="124"/>
        <v/>
      </c>
      <c r="AM611" s="9" t="str">
        <f t="shared" si="125"/>
        <v/>
      </c>
      <c r="AN611" s="9" t="str">
        <f t="shared" si="126"/>
        <v/>
      </c>
      <c r="AO611" s="9" t="str">
        <f t="shared" si="127"/>
        <v/>
      </c>
      <c r="AP611" s="9" t="str">
        <f t="shared" si="128"/>
        <v/>
      </c>
      <c r="AQ611" s="10" t="str">
        <f t="shared" si="129"/>
        <v/>
      </c>
    </row>
    <row r="612" spans="1:43">
      <c r="A612">
        <v>611</v>
      </c>
      <c r="B612" t="s">
        <v>29</v>
      </c>
      <c r="C612" t="s">
        <v>751</v>
      </c>
      <c r="D612" t="s">
        <v>752</v>
      </c>
      <c r="E612" t="s">
        <v>97</v>
      </c>
      <c r="G612" t="s">
        <v>18</v>
      </c>
      <c r="H612" s="4">
        <v>132273000</v>
      </c>
      <c r="I612" s="5">
        <v>1024</v>
      </c>
      <c r="J612" s="5">
        <v>0</v>
      </c>
      <c r="K612" s="5">
        <v>32</v>
      </c>
      <c r="L612">
        <v>10</v>
      </c>
      <c r="M612">
        <v>8</v>
      </c>
      <c r="N612">
        <v>9.82</v>
      </c>
      <c r="O612" s="6">
        <v>15.6</v>
      </c>
      <c r="P612" s="7">
        <v>2.5</v>
      </c>
      <c r="U612" t="s">
        <v>84</v>
      </c>
      <c r="V612" t="s">
        <v>972</v>
      </c>
      <c r="W612">
        <v>3.1</v>
      </c>
      <c r="X612" t="s">
        <v>122</v>
      </c>
      <c r="Y612" t="s">
        <v>753</v>
      </c>
      <c r="Z612" t="s">
        <v>445</v>
      </c>
      <c r="AA612" t="s">
        <v>459</v>
      </c>
      <c r="AB612" t="s">
        <v>115</v>
      </c>
      <c r="AC612">
        <v>4899</v>
      </c>
      <c r="AD612" s="8" t="b">
        <f>AND(
 H612&gt;=Filters!$B$3,
 H612&lt;=Filters!$B$4,
 I612&gt;=Filters!$B$5,
 OR(Filters!$B$6="All",B612=Filters!$B$6),
 F612&gt;=Filters!$B$7,
 F612&lt;=Filters!$B$8,
 OR(Filters!$B$9="All",G612=Filters!$B$9)
)</f>
        <v>0</v>
      </c>
      <c r="AE612">
        <f t="shared" si="117"/>
        <v>6</v>
      </c>
      <c r="AF612">
        <f t="shared" si="118"/>
        <v>7</v>
      </c>
      <c r="AG612">
        <f t="shared" si="119"/>
        <v>7</v>
      </c>
      <c r="AH612" s="9" t="str">
        <f t="shared" si="120"/>
        <v/>
      </c>
      <c r="AI612" s="9" t="str">
        <f t="shared" si="121"/>
        <v/>
      </c>
      <c r="AJ612" s="9" t="str">
        <f t="shared" si="122"/>
        <v/>
      </c>
      <c r="AK612" s="9" t="str">
        <f t="shared" si="123"/>
        <v/>
      </c>
      <c r="AL612" s="9" t="str">
        <f t="shared" si="124"/>
        <v/>
      </c>
      <c r="AM612" s="9" t="str">
        <f t="shared" si="125"/>
        <v/>
      </c>
      <c r="AN612" s="9" t="str">
        <f t="shared" si="126"/>
        <v/>
      </c>
      <c r="AO612" s="9" t="str">
        <f t="shared" si="127"/>
        <v/>
      </c>
      <c r="AP612" s="9" t="str">
        <f t="shared" si="128"/>
        <v/>
      </c>
      <c r="AQ612" s="10" t="str">
        <f t="shared" si="129"/>
        <v/>
      </c>
    </row>
    <row r="613" spans="1:43">
      <c r="A613">
        <v>612</v>
      </c>
      <c r="B613" t="s">
        <v>23</v>
      </c>
      <c r="C613" t="s">
        <v>973</v>
      </c>
      <c r="D613" t="s">
        <v>974</v>
      </c>
      <c r="E613" t="s">
        <v>158</v>
      </c>
      <c r="G613" t="s">
        <v>18</v>
      </c>
      <c r="H613" s="4">
        <v>23733270</v>
      </c>
      <c r="I613" s="5">
        <v>0</v>
      </c>
      <c r="J613" s="5">
        <v>1024</v>
      </c>
      <c r="K613" s="5">
        <v>16</v>
      </c>
      <c r="L613">
        <v>9.1999999999999993</v>
      </c>
      <c r="M613">
        <v>9.1999999999999993</v>
      </c>
      <c r="N613">
        <v>5.92</v>
      </c>
      <c r="O613" s="6">
        <v>15.6</v>
      </c>
      <c r="P613" s="7">
        <v>2.59</v>
      </c>
      <c r="U613" t="s">
        <v>84</v>
      </c>
      <c r="V613" t="s">
        <v>808</v>
      </c>
      <c r="W613">
        <v>2.6</v>
      </c>
      <c r="X613" t="s">
        <v>122</v>
      </c>
      <c r="Y613" t="s">
        <v>975</v>
      </c>
      <c r="Z613" t="s">
        <v>146</v>
      </c>
      <c r="AA613" t="s">
        <v>101</v>
      </c>
      <c r="AB613" t="s">
        <v>115</v>
      </c>
      <c r="AC613">
        <v>879.01</v>
      </c>
      <c r="AD613" s="8" t="b">
        <f>AND(
 H613&gt;=Filters!$B$3,
 H613&lt;=Filters!$B$4,
 I613&gt;=Filters!$B$5,
 OR(Filters!$B$6="All",B613=Filters!$B$6),
 F613&gt;=Filters!$B$7,
 F613&lt;=Filters!$B$8,
 OR(Filters!$B$9="All",G613=Filters!$B$9)
)</f>
        <v>0</v>
      </c>
      <c r="AE613">
        <f t="shared" si="117"/>
        <v>6</v>
      </c>
      <c r="AF613">
        <f t="shared" si="118"/>
        <v>7</v>
      </c>
      <c r="AG613">
        <f t="shared" si="119"/>
        <v>7</v>
      </c>
      <c r="AH613" s="9" t="str">
        <f t="shared" si="120"/>
        <v/>
      </c>
      <c r="AI613" s="9" t="str">
        <f t="shared" si="121"/>
        <v/>
      </c>
      <c r="AJ613" s="9" t="str">
        <f t="shared" si="122"/>
        <v/>
      </c>
      <c r="AK613" s="9" t="str">
        <f t="shared" si="123"/>
        <v/>
      </c>
      <c r="AL613" s="9" t="str">
        <f t="shared" si="124"/>
        <v/>
      </c>
      <c r="AM613" s="9" t="str">
        <f t="shared" si="125"/>
        <v/>
      </c>
      <c r="AN613" s="9" t="str">
        <f t="shared" si="126"/>
        <v/>
      </c>
      <c r="AO613" s="9" t="str">
        <f t="shared" si="127"/>
        <v/>
      </c>
      <c r="AP613" s="9" t="str">
        <f t="shared" si="128"/>
        <v/>
      </c>
      <c r="AQ613" s="10" t="str">
        <f t="shared" si="129"/>
        <v/>
      </c>
    </row>
    <row r="614" spans="1:43">
      <c r="A614">
        <v>613</v>
      </c>
      <c r="B614" t="s">
        <v>23</v>
      </c>
      <c r="C614" t="s">
        <v>540</v>
      </c>
      <c r="D614" t="s">
        <v>541</v>
      </c>
      <c r="E614" t="s">
        <v>97</v>
      </c>
      <c r="G614" t="s">
        <v>18</v>
      </c>
      <c r="H614" s="4">
        <v>11985300</v>
      </c>
      <c r="I614" s="5">
        <v>0</v>
      </c>
      <c r="J614" s="5">
        <v>1024</v>
      </c>
      <c r="K614" s="5">
        <v>4</v>
      </c>
      <c r="L614">
        <v>4</v>
      </c>
      <c r="M614">
        <v>3.5</v>
      </c>
      <c r="N614">
        <v>3.92</v>
      </c>
      <c r="O614" s="6">
        <v>15.6</v>
      </c>
      <c r="P614" s="7">
        <v>2.1800000000000002</v>
      </c>
      <c r="U614" t="s">
        <v>84</v>
      </c>
      <c r="V614" t="s">
        <v>129</v>
      </c>
      <c r="W614">
        <v>2</v>
      </c>
      <c r="X614" t="s">
        <v>84</v>
      </c>
      <c r="Y614" t="s">
        <v>130</v>
      </c>
      <c r="Z614" t="s">
        <v>146</v>
      </c>
      <c r="AA614" t="s">
        <v>114</v>
      </c>
      <c r="AB614" t="s">
        <v>201</v>
      </c>
      <c r="AC614">
        <v>443.9</v>
      </c>
      <c r="AD614" s="8" t="b">
        <f>AND(
 H614&gt;=Filters!$B$3,
 H614&lt;=Filters!$B$4,
 I614&gt;=Filters!$B$5,
 OR(Filters!$B$6="All",B614=Filters!$B$6),
 F614&gt;=Filters!$B$7,
 F614&lt;=Filters!$B$8,
 OR(Filters!$B$9="All",G614=Filters!$B$9)
)</f>
        <v>0</v>
      </c>
      <c r="AE614">
        <f t="shared" si="117"/>
        <v>6</v>
      </c>
      <c r="AF614">
        <f t="shared" si="118"/>
        <v>7</v>
      </c>
      <c r="AG614">
        <f t="shared" si="119"/>
        <v>7</v>
      </c>
      <c r="AH614" s="9" t="str">
        <f t="shared" si="120"/>
        <v/>
      </c>
      <c r="AI614" s="9" t="str">
        <f t="shared" si="121"/>
        <v/>
      </c>
      <c r="AJ614" s="9" t="str">
        <f t="shared" si="122"/>
        <v/>
      </c>
      <c r="AK614" s="9" t="str">
        <f t="shared" si="123"/>
        <v/>
      </c>
      <c r="AL614" s="9" t="str">
        <f t="shared" si="124"/>
        <v/>
      </c>
      <c r="AM614" s="9" t="str">
        <f t="shared" si="125"/>
        <v/>
      </c>
      <c r="AN614" s="9" t="str">
        <f t="shared" si="126"/>
        <v/>
      </c>
      <c r="AO614" s="9" t="str">
        <f t="shared" si="127"/>
        <v/>
      </c>
      <c r="AP614" s="9" t="str">
        <f t="shared" si="128"/>
        <v/>
      </c>
      <c r="AQ614" s="10" t="str">
        <f t="shared" si="129"/>
        <v/>
      </c>
    </row>
    <row r="615" spans="1:43">
      <c r="A615">
        <v>614</v>
      </c>
      <c r="B615" t="s">
        <v>23</v>
      </c>
      <c r="C615" t="s">
        <v>132</v>
      </c>
      <c r="D615" t="s">
        <v>133</v>
      </c>
      <c r="E615" t="s">
        <v>97</v>
      </c>
      <c r="G615" t="s">
        <v>18</v>
      </c>
      <c r="H615" s="4">
        <v>9693000</v>
      </c>
      <c r="I615" s="5">
        <v>0</v>
      </c>
      <c r="J615" s="5">
        <v>1024</v>
      </c>
      <c r="K615" s="5">
        <v>4</v>
      </c>
      <c r="L615">
        <v>4</v>
      </c>
      <c r="M615">
        <v>3.5</v>
      </c>
      <c r="N615">
        <v>3.92</v>
      </c>
      <c r="O615" s="6">
        <v>15.6</v>
      </c>
      <c r="P615" s="7">
        <v>2.25</v>
      </c>
      <c r="U615" t="s">
        <v>84</v>
      </c>
      <c r="V615" t="s">
        <v>129</v>
      </c>
      <c r="W615">
        <v>2</v>
      </c>
      <c r="X615" t="s">
        <v>84</v>
      </c>
      <c r="Y615" t="s">
        <v>130</v>
      </c>
      <c r="Z615" t="s">
        <v>146</v>
      </c>
      <c r="AA615" t="s">
        <v>114</v>
      </c>
      <c r="AB615" t="s">
        <v>201</v>
      </c>
      <c r="AC615">
        <v>359</v>
      </c>
      <c r="AD615" s="8" t="b">
        <f>AND(
 H615&gt;=Filters!$B$3,
 H615&lt;=Filters!$B$4,
 I615&gt;=Filters!$B$5,
 OR(Filters!$B$6="All",B615=Filters!$B$6),
 F615&gt;=Filters!$B$7,
 F615&lt;=Filters!$B$8,
 OR(Filters!$B$9="All",G615=Filters!$B$9)
)</f>
        <v>0</v>
      </c>
      <c r="AE615">
        <f t="shared" si="117"/>
        <v>6</v>
      </c>
      <c r="AF615">
        <f t="shared" si="118"/>
        <v>7</v>
      </c>
      <c r="AG615">
        <f t="shared" si="119"/>
        <v>7</v>
      </c>
      <c r="AH615" s="9" t="str">
        <f t="shared" si="120"/>
        <v/>
      </c>
      <c r="AI615" s="9" t="str">
        <f t="shared" si="121"/>
        <v/>
      </c>
      <c r="AJ615" s="9" t="str">
        <f t="shared" si="122"/>
        <v/>
      </c>
      <c r="AK615" s="9" t="str">
        <f t="shared" si="123"/>
        <v/>
      </c>
      <c r="AL615" s="9" t="str">
        <f t="shared" si="124"/>
        <v/>
      </c>
      <c r="AM615" s="9" t="str">
        <f t="shared" si="125"/>
        <v/>
      </c>
      <c r="AN615" s="9" t="str">
        <f t="shared" si="126"/>
        <v/>
      </c>
      <c r="AO615" s="9" t="str">
        <f t="shared" si="127"/>
        <v/>
      </c>
      <c r="AP615" s="9" t="str">
        <f t="shared" si="128"/>
        <v/>
      </c>
      <c r="AQ615" s="10" t="str">
        <f t="shared" si="129"/>
        <v/>
      </c>
    </row>
    <row r="616" spans="1:43">
      <c r="A616">
        <v>615</v>
      </c>
      <c r="B616" t="s">
        <v>23</v>
      </c>
      <c r="C616" t="s">
        <v>870</v>
      </c>
      <c r="D616" t="s">
        <v>871</v>
      </c>
      <c r="E616" t="s">
        <v>97</v>
      </c>
      <c r="G616" t="s">
        <v>18</v>
      </c>
      <c r="H616" s="4">
        <v>23463000</v>
      </c>
      <c r="I616" s="5">
        <v>0</v>
      </c>
      <c r="J616" s="5">
        <v>500</v>
      </c>
      <c r="K616" s="5">
        <v>4</v>
      </c>
      <c r="L616">
        <v>7.2</v>
      </c>
      <c r="M616">
        <v>3.5</v>
      </c>
      <c r="N616">
        <v>3.92</v>
      </c>
      <c r="O616" s="6">
        <v>15.6</v>
      </c>
      <c r="P616" s="7">
        <v>1.93</v>
      </c>
      <c r="U616" t="s">
        <v>84</v>
      </c>
      <c r="V616" t="s">
        <v>633</v>
      </c>
      <c r="W616">
        <v>2.6</v>
      </c>
      <c r="X616" t="s">
        <v>84</v>
      </c>
      <c r="Y616" t="s">
        <v>99</v>
      </c>
      <c r="Z616" t="s">
        <v>113</v>
      </c>
      <c r="AA616" t="s">
        <v>114</v>
      </c>
      <c r="AB616" t="s">
        <v>201</v>
      </c>
      <c r="AC616">
        <v>869</v>
      </c>
      <c r="AD616" s="8" t="b">
        <f>AND(
 H616&gt;=Filters!$B$3,
 H616&lt;=Filters!$B$4,
 I616&gt;=Filters!$B$5,
 OR(Filters!$B$6="All",B616=Filters!$B$6),
 F616&gt;=Filters!$B$7,
 F616&lt;=Filters!$B$8,
 OR(Filters!$B$9="All",G616=Filters!$B$9)
)</f>
        <v>0</v>
      </c>
      <c r="AE616">
        <f t="shared" si="117"/>
        <v>6</v>
      </c>
      <c r="AF616">
        <f t="shared" si="118"/>
        <v>7</v>
      </c>
      <c r="AG616">
        <f t="shared" si="119"/>
        <v>7</v>
      </c>
      <c r="AH616" s="9" t="str">
        <f t="shared" si="120"/>
        <v/>
      </c>
      <c r="AI616" s="9" t="str">
        <f t="shared" si="121"/>
        <v/>
      </c>
      <c r="AJ616" s="9" t="str">
        <f t="shared" si="122"/>
        <v/>
      </c>
      <c r="AK616" s="9" t="str">
        <f t="shared" si="123"/>
        <v/>
      </c>
      <c r="AL616" s="9" t="str">
        <f t="shared" si="124"/>
        <v/>
      </c>
      <c r="AM616" s="9" t="str">
        <f t="shared" si="125"/>
        <v/>
      </c>
      <c r="AN616" s="9" t="str">
        <f t="shared" si="126"/>
        <v/>
      </c>
      <c r="AO616" s="9" t="str">
        <f t="shared" si="127"/>
        <v/>
      </c>
      <c r="AP616" s="9" t="str">
        <f t="shared" si="128"/>
        <v/>
      </c>
      <c r="AQ616" s="10" t="str">
        <f t="shared" si="129"/>
        <v/>
      </c>
    </row>
    <row r="617" spans="1:43">
      <c r="A617">
        <v>616</v>
      </c>
      <c r="B617" t="s">
        <v>21</v>
      </c>
      <c r="C617" t="s">
        <v>976</v>
      </c>
      <c r="D617" t="s">
        <v>977</v>
      </c>
      <c r="E617" t="s">
        <v>158</v>
      </c>
      <c r="G617" t="s">
        <v>18</v>
      </c>
      <c r="H617" s="4">
        <v>31536000</v>
      </c>
      <c r="I617" s="5">
        <v>128</v>
      </c>
      <c r="J617" s="5">
        <v>1024</v>
      </c>
      <c r="K617" s="5">
        <v>8</v>
      </c>
      <c r="L617">
        <v>9.6</v>
      </c>
      <c r="M617">
        <v>9.1999999999999993</v>
      </c>
      <c r="N617">
        <v>5.83</v>
      </c>
      <c r="O617" s="6">
        <v>17.3</v>
      </c>
      <c r="P617" s="7">
        <v>3</v>
      </c>
      <c r="U617" t="s">
        <v>84</v>
      </c>
      <c r="V617" t="s">
        <v>210</v>
      </c>
      <c r="W617">
        <v>2.8</v>
      </c>
      <c r="X617" t="s">
        <v>122</v>
      </c>
      <c r="Y617" t="s">
        <v>160</v>
      </c>
      <c r="Z617" t="s">
        <v>161</v>
      </c>
      <c r="AA617" t="s">
        <v>101</v>
      </c>
      <c r="AB617" t="s">
        <v>115</v>
      </c>
      <c r="AC617">
        <v>1168</v>
      </c>
      <c r="AD617" s="8" t="b">
        <f>AND(
 H617&gt;=Filters!$B$3,
 H617&lt;=Filters!$B$4,
 I617&gt;=Filters!$B$5,
 OR(Filters!$B$6="All",B617=Filters!$B$6),
 F617&gt;=Filters!$B$7,
 F617&lt;=Filters!$B$8,
 OR(Filters!$B$9="All",G617=Filters!$B$9)
)</f>
        <v>0</v>
      </c>
      <c r="AE617">
        <f t="shared" si="117"/>
        <v>6</v>
      </c>
      <c r="AF617">
        <f t="shared" si="118"/>
        <v>7</v>
      </c>
      <c r="AG617">
        <f t="shared" si="119"/>
        <v>7</v>
      </c>
      <c r="AH617" s="9" t="str">
        <f t="shared" si="120"/>
        <v/>
      </c>
      <c r="AI617" s="9" t="str">
        <f t="shared" si="121"/>
        <v/>
      </c>
      <c r="AJ617" s="9" t="str">
        <f t="shared" si="122"/>
        <v/>
      </c>
      <c r="AK617" s="9" t="str">
        <f t="shared" si="123"/>
        <v/>
      </c>
      <c r="AL617" s="9" t="str">
        <f t="shared" si="124"/>
        <v/>
      </c>
      <c r="AM617" s="9" t="str">
        <f t="shared" si="125"/>
        <v/>
      </c>
      <c r="AN617" s="9" t="str">
        <f t="shared" si="126"/>
        <v/>
      </c>
      <c r="AO617" s="9" t="str">
        <f t="shared" si="127"/>
        <v/>
      </c>
      <c r="AP617" s="9" t="str">
        <f t="shared" si="128"/>
        <v/>
      </c>
      <c r="AQ617" s="10" t="str">
        <f t="shared" si="129"/>
        <v/>
      </c>
    </row>
    <row r="618" spans="1:43">
      <c r="A618">
        <v>617</v>
      </c>
      <c r="B618" t="s">
        <v>23</v>
      </c>
      <c r="C618" t="s">
        <v>540</v>
      </c>
      <c r="D618" t="s">
        <v>541</v>
      </c>
      <c r="E618" t="s">
        <v>97</v>
      </c>
      <c r="G618" t="s">
        <v>18</v>
      </c>
      <c r="H618" s="4">
        <v>15363000</v>
      </c>
      <c r="I618" s="5">
        <v>128</v>
      </c>
      <c r="J618" s="5">
        <v>0</v>
      </c>
      <c r="K618" s="5">
        <v>4</v>
      </c>
      <c r="L618">
        <v>7</v>
      </c>
      <c r="M618">
        <v>6.5</v>
      </c>
      <c r="N618">
        <v>5.92</v>
      </c>
      <c r="O618" s="6">
        <v>15.6</v>
      </c>
      <c r="P618" s="7">
        <v>2.1800000000000002</v>
      </c>
      <c r="U618" t="s">
        <v>84</v>
      </c>
      <c r="V618" t="s">
        <v>98</v>
      </c>
      <c r="W618">
        <v>2.5</v>
      </c>
      <c r="X618" t="s">
        <v>104</v>
      </c>
      <c r="Y618" t="s">
        <v>411</v>
      </c>
      <c r="Z618" t="s">
        <v>87</v>
      </c>
      <c r="AA618" t="s">
        <v>101</v>
      </c>
      <c r="AB618" t="s">
        <v>201</v>
      </c>
      <c r="AC618">
        <v>569</v>
      </c>
      <c r="AD618" s="8" t="b">
        <f>AND(
 H618&gt;=Filters!$B$3,
 H618&lt;=Filters!$B$4,
 I618&gt;=Filters!$B$5,
 OR(Filters!$B$6="All",B618=Filters!$B$6),
 F618&gt;=Filters!$B$7,
 F618&lt;=Filters!$B$8,
 OR(Filters!$B$9="All",G618=Filters!$B$9)
)</f>
        <v>0</v>
      </c>
      <c r="AE618">
        <f t="shared" si="117"/>
        <v>6</v>
      </c>
      <c r="AF618">
        <f t="shared" si="118"/>
        <v>7</v>
      </c>
      <c r="AG618">
        <f t="shared" si="119"/>
        <v>7</v>
      </c>
      <c r="AH618" s="9" t="str">
        <f t="shared" si="120"/>
        <v/>
      </c>
      <c r="AI618" s="9" t="str">
        <f t="shared" si="121"/>
        <v/>
      </c>
      <c r="AJ618" s="9" t="str">
        <f t="shared" si="122"/>
        <v/>
      </c>
      <c r="AK618" s="9" t="str">
        <f t="shared" si="123"/>
        <v/>
      </c>
      <c r="AL618" s="9" t="str">
        <f t="shared" si="124"/>
        <v/>
      </c>
      <c r="AM618" s="9" t="str">
        <f t="shared" si="125"/>
        <v/>
      </c>
      <c r="AN618" s="9" t="str">
        <f t="shared" si="126"/>
        <v/>
      </c>
      <c r="AO618" s="9" t="str">
        <f t="shared" si="127"/>
        <v/>
      </c>
      <c r="AP618" s="9" t="str">
        <f t="shared" si="128"/>
        <v/>
      </c>
      <c r="AQ618" s="10" t="str">
        <f t="shared" si="129"/>
        <v/>
      </c>
    </row>
    <row r="619" spans="1:43">
      <c r="A619">
        <v>618</v>
      </c>
      <c r="B619" t="s">
        <v>26</v>
      </c>
      <c r="C619" t="s">
        <v>978</v>
      </c>
      <c r="D619" t="s">
        <v>958</v>
      </c>
      <c r="E619" t="s">
        <v>83</v>
      </c>
      <c r="G619" t="s">
        <v>18</v>
      </c>
      <c r="H619" s="4">
        <v>37503000</v>
      </c>
      <c r="I619" s="5">
        <v>512</v>
      </c>
      <c r="J619" s="5">
        <v>0</v>
      </c>
      <c r="K619" s="5">
        <v>8</v>
      </c>
      <c r="L619">
        <v>9.4</v>
      </c>
      <c r="M619">
        <v>3.5</v>
      </c>
      <c r="N619">
        <v>5.92</v>
      </c>
      <c r="O619" s="6">
        <v>15.6</v>
      </c>
      <c r="P619" s="7">
        <v>1.84</v>
      </c>
      <c r="U619" t="s">
        <v>84</v>
      </c>
      <c r="V619" t="s">
        <v>140</v>
      </c>
      <c r="W619">
        <v>2.7</v>
      </c>
      <c r="X619" t="s">
        <v>84</v>
      </c>
      <c r="Y619" t="s">
        <v>99</v>
      </c>
      <c r="Z619" t="s">
        <v>106</v>
      </c>
      <c r="AA619" t="s">
        <v>101</v>
      </c>
      <c r="AB619" t="s">
        <v>115</v>
      </c>
      <c r="AC619">
        <v>1389</v>
      </c>
      <c r="AD619" s="8" t="b">
        <f>AND(
 H619&gt;=Filters!$B$3,
 H619&lt;=Filters!$B$4,
 I619&gt;=Filters!$B$5,
 OR(Filters!$B$6="All",B619=Filters!$B$6),
 F619&gt;=Filters!$B$7,
 F619&lt;=Filters!$B$8,
 OR(Filters!$B$9="All",G619=Filters!$B$9)
)</f>
        <v>0</v>
      </c>
      <c r="AE619">
        <f t="shared" si="117"/>
        <v>6</v>
      </c>
      <c r="AF619">
        <f t="shared" si="118"/>
        <v>7</v>
      </c>
      <c r="AG619">
        <f t="shared" si="119"/>
        <v>7</v>
      </c>
      <c r="AH619" s="9" t="str">
        <f t="shared" si="120"/>
        <v/>
      </c>
      <c r="AI619" s="9" t="str">
        <f t="shared" si="121"/>
        <v/>
      </c>
      <c r="AJ619" s="9" t="str">
        <f t="shared" si="122"/>
        <v/>
      </c>
      <c r="AK619" s="9" t="str">
        <f t="shared" si="123"/>
        <v/>
      </c>
      <c r="AL619" s="9" t="str">
        <f t="shared" si="124"/>
        <v/>
      </c>
      <c r="AM619" s="9" t="str">
        <f t="shared" si="125"/>
        <v/>
      </c>
      <c r="AN619" s="9" t="str">
        <f t="shared" si="126"/>
        <v/>
      </c>
      <c r="AO619" s="9" t="str">
        <f t="shared" si="127"/>
        <v/>
      </c>
      <c r="AP619" s="9" t="str">
        <f t="shared" si="128"/>
        <v/>
      </c>
      <c r="AQ619" s="10" t="str">
        <f t="shared" si="129"/>
        <v/>
      </c>
    </row>
    <row r="620" spans="1:43">
      <c r="A620">
        <v>619</v>
      </c>
      <c r="B620" t="s">
        <v>30</v>
      </c>
      <c r="C620" t="s">
        <v>979</v>
      </c>
      <c r="D620" t="s">
        <v>980</v>
      </c>
      <c r="E620" t="s">
        <v>158</v>
      </c>
      <c r="G620" t="s">
        <v>18</v>
      </c>
      <c r="H620" s="4">
        <v>61232220</v>
      </c>
      <c r="I620" s="5">
        <v>256</v>
      </c>
      <c r="J620" s="5">
        <v>1024</v>
      </c>
      <c r="K620" s="5">
        <v>16</v>
      </c>
      <c r="L620">
        <v>9.6</v>
      </c>
      <c r="M620">
        <v>9.1999999999999993</v>
      </c>
      <c r="N620">
        <v>5.92</v>
      </c>
      <c r="O620" s="6">
        <v>15.6</v>
      </c>
      <c r="P620" s="7">
        <v>2.94</v>
      </c>
      <c r="U620" t="s">
        <v>84</v>
      </c>
      <c r="V620" t="s">
        <v>210</v>
      </c>
      <c r="W620">
        <v>2.8</v>
      </c>
      <c r="X620" t="s">
        <v>122</v>
      </c>
      <c r="Y620" t="s">
        <v>248</v>
      </c>
      <c r="Z620" t="s">
        <v>212</v>
      </c>
      <c r="AA620" t="s">
        <v>101</v>
      </c>
      <c r="AB620" t="s">
        <v>115</v>
      </c>
      <c r="AC620">
        <v>2267.86</v>
      </c>
      <c r="AD620" s="8" t="b">
        <f>AND(
 H620&gt;=Filters!$B$3,
 H620&lt;=Filters!$B$4,
 I620&gt;=Filters!$B$5,
 OR(Filters!$B$6="All",B620=Filters!$B$6),
 F620&gt;=Filters!$B$7,
 F620&lt;=Filters!$B$8,
 OR(Filters!$B$9="All",G620=Filters!$B$9)
)</f>
        <v>0</v>
      </c>
      <c r="AE620">
        <f t="shared" si="117"/>
        <v>6</v>
      </c>
      <c r="AF620">
        <f t="shared" si="118"/>
        <v>7</v>
      </c>
      <c r="AG620">
        <f t="shared" si="119"/>
        <v>7</v>
      </c>
      <c r="AH620" s="9" t="str">
        <f t="shared" si="120"/>
        <v/>
      </c>
      <c r="AI620" s="9" t="str">
        <f t="shared" si="121"/>
        <v/>
      </c>
      <c r="AJ620" s="9" t="str">
        <f t="shared" si="122"/>
        <v/>
      </c>
      <c r="AK620" s="9" t="str">
        <f t="shared" si="123"/>
        <v/>
      </c>
      <c r="AL620" s="9" t="str">
        <f t="shared" si="124"/>
        <v/>
      </c>
      <c r="AM620" s="9" t="str">
        <f t="shared" si="125"/>
        <v/>
      </c>
      <c r="AN620" s="9" t="str">
        <f t="shared" si="126"/>
        <v/>
      </c>
      <c r="AO620" s="9" t="str">
        <f t="shared" si="127"/>
        <v/>
      </c>
      <c r="AP620" s="9" t="str">
        <f t="shared" si="128"/>
        <v/>
      </c>
      <c r="AQ620" s="10" t="str">
        <f t="shared" si="129"/>
        <v/>
      </c>
    </row>
    <row r="621" spans="1:43">
      <c r="A621">
        <v>620</v>
      </c>
      <c r="B621" t="s">
        <v>17</v>
      </c>
      <c r="C621" t="s">
        <v>981</v>
      </c>
      <c r="D621" t="s">
        <v>982</v>
      </c>
      <c r="E621" t="s">
        <v>168</v>
      </c>
      <c r="G621" t="s">
        <v>18</v>
      </c>
      <c r="H621" s="4">
        <v>10233000</v>
      </c>
      <c r="I621" s="5">
        <v>32</v>
      </c>
      <c r="J621" s="5">
        <v>0</v>
      </c>
      <c r="K621" s="5">
        <v>4</v>
      </c>
      <c r="L621">
        <v>1.2</v>
      </c>
      <c r="M621">
        <v>3.5</v>
      </c>
      <c r="N621">
        <v>4.58</v>
      </c>
      <c r="O621" s="6">
        <v>11.6</v>
      </c>
      <c r="P621" s="7">
        <v>1.25</v>
      </c>
      <c r="U621" t="s">
        <v>84</v>
      </c>
      <c r="V621" t="s">
        <v>983</v>
      </c>
      <c r="W621">
        <v>1.6</v>
      </c>
      <c r="X621" t="s">
        <v>84</v>
      </c>
      <c r="Y621" t="s">
        <v>154</v>
      </c>
      <c r="Z621" t="s">
        <v>155</v>
      </c>
      <c r="AA621" t="s">
        <v>984</v>
      </c>
      <c r="AB621" t="s">
        <v>563</v>
      </c>
      <c r="AC621">
        <v>379</v>
      </c>
      <c r="AD621" s="8" t="b">
        <f>AND(
 H621&gt;=Filters!$B$3,
 H621&lt;=Filters!$B$4,
 I621&gt;=Filters!$B$5,
 OR(Filters!$B$6="All",B621=Filters!$B$6),
 F621&gt;=Filters!$B$7,
 F621&lt;=Filters!$B$8,
 OR(Filters!$B$9="All",G621=Filters!$B$9)
)</f>
        <v>0</v>
      </c>
      <c r="AE621">
        <f t="shared" si="117"/>
        <v>6</v>
      </c>
      <c r="AF621">
        <f t="shared" si="118"/>
        <v>7</v>
      </c>
      <c r="AG621">
        <f t="shared" si="119"/>
        <v>7</v>
      </c>
      <c r="AH621" s="9" t="str">
        <f t="shared" si="120"/>
        <v/>
      </c>
      <c r="AI621" s="9" t="str">
        <f t="shared" si="121"/>
        <v/>
      </c>
      <c r="AJ621" s="9" t="str">
        <f t="shared" si="122"/>
        <v/>
      </c>
      <c r="AK621" s="9" t="str">
        <f t="shared" si="123"/>
        <v/>
      </c>
      <c r="AL621" s="9" t="str">
        <f t="shared" si="124"/>
        <v/>
      </c>
      <c r="AM621" s="9" t="str">
        <f t="shared" si="125"/>
        <v/>
      </c>
      <c r="AN621" s="9" t="str">
        <f t="shared" si="126"/>
        <v/>
      </c>
      <c r="AO621" s="9" t="str">
        <f t="shared" si="127"/>
        <v/>
      </c>
      <c r="AP621" s="9" t="str">
        <f t="shared" si="128"/>
        <v/>
      </c>
      <c r="AQ621" s="10" t="str">
        <f t="shared" si="129"/>
        <v/>
      </c>
    </row>
    <row r="622" spans="1:43">
      <c r="A622">
        <v>621</v>
      </c>
      <c r="B622" t="s">
        <v>26</v>
      </c>
      <c r="C622" t="s">
        <v>734</v>
      </c>
      <c r="D622" t="s">
        <v>735</v>
      </c>
      <c r="E622" t="s">
        <v>97</v>
      </c>
      <c r="G622" t="s">
        <v>18</v>
      </c>
      <c r="H622" s="4">
        <v>30348000</v>
      </c>
      <c r="I622" s="5">
        <v>256</v>
      </c>
      <c r="J622" s="5">
        <v>0</v>
      </c>
      <c r="K622" s="5">
        <v>8</v>
      </c>
      <c r="L622">
        <v>7.2</v>
      </c>
      <c r="M622">
        <v>3.5</v>
      </c>
      <c r="N622">
        <v>4</v>
      </c>
      <c r="O622" s="6">
        <v>14</v>
      </c>
      <c r="P622" s="7">
        <v>2.31</v>
      </c>
      <c r="U622" t="s">
        <v>84</v>
      </c>
      <c r="V622" t="s">
        <v>633</v>
      </c>
      <c r="W622">
        <v>2.6</v>
      </c>
      <c r="X622" t="s">
        <v>84</v>
      </c>
      <c r="Y622" t="s">
        <v>99</v>
      </c>
      <c r="Z622" t="s">
        <v>100</v>
      </c>
      <c r="AA622" t="s">
        <v>114</v>
      </c>
      <c r="AB622" t="s">
        <v>115</v>
      </c>
      <c r="AC622">
        <v>1124</v>
      </c>
      <c r="AD622" s="8" t="b">
        <f>AND(
 H622&gt;=Filters!$B$3,
 H622&lt;=Filters!$B$4,
 I622&gt;=Filters!$B$5,
 OR(Filters!$B$6="All",B622=Filters!$B$6),
 F622&gt;=Filters!$B$7,
 F622&lt;=Filters!$B$8,
 OR(Filters!$B$9="All",G622=Filters!$B$9)
)</f>
        <v>0</v>
      </c>
      <c r="AE622">
        <f t="shared" si="117"/>
        <v>6</v>
      </c>
      <c r="AF622">
        <f t="shared" si="118"/>
        <v>7</v>
      </c>
      <c r="AG622">
        <f t="shared" si="119"/>
        <v>7</v>
      </c>
      <c r="AH622" s="9" t="str">
        <f t="shared" si="120"/>
        <v/>
      </c>
      <c r="AI622" s="9" t="str">
        <f t="shared" si="121"/>
        <v/>
      </c>
      <c r="AJ622" s="9" t="str">
        <f t="shared" si="122"/>
        <v/>
      </c>
      <c r="AK622" s="9" t="str">
        <f t="shared" si="123"/>
        <v/>
      </c>
      <c r="AL622" s="9" t="str">
        <f t="shared" si="124"/>
        <v/>
      </c>
      <c r="AM622" s="9" t="str">
        <f t="shared" si="125"/>
        <v/>
      </c>
      <c r="AN622" s="9" t="str">
        <f t="shared" si="126"/>
        <v/>
      </c>
      <c r="AO622" s="9" t="str">
        <f t="shared" si="127"/>
        <v/>
      </c>
      <c r="AP622" s="9" t="str">
        <f t="shared" si="128"/>
        <v/>
      </c>
      <c r="AQ622" s="10" t="str">
        <f t="shared" si="129"/>
        <v/>
      </c>
    </row>
    <row r="623" spans="1:43">
      <c r="A623">
        <v>622</v>
      </c>
      <c r="B623" t="s">
        <v>29</v>
      </c>
      <c r="C623" t="s">
        <v>783</v>
      </c>
      <c r="D623" t="s">
        <v>784</v>
      </c>
      <c r="E623" t="s">
        <v>97</v>
      </c>
      <c r="G623" t="s">
        <v>18</v>
      </c>
      <c r="H623" s="4">
        <v>39555000</v>
      </c>
      <c r="I623" s="5">
        <v>256</v>
      </c>
      <c r="J623" s="5">
        <v>0</v>
      </c>
      <c r="K623" s="5">
        <v>8</v>
      </c>
      <c r="L623">
        <v>6.6</v>
      </c>
      <c r="M623">
        <v>3.5</v>
      </c>
      <c r="N623">
        <v>6</v>
      </c>
      <c r="O623" s="6">
        <v>14</v>
      </c>
      <c r="P623" s="7">
        <v>1.65</v>
      </c>
      <c r="U623" t="s">
        <v>84</v>
      </c>
      <c r="V623" t="s">
        <v>375</v>
      </c>
      <c r="W623">
        <v>2.2999999999999998</v>
      </c>
      <c r="X623" t="s">
        <v>84</v>
      </c>
      <c r="Y623" t="s">
        <v>130</v>
      </c>
      <c r="Z623" t="s">
        <v>100</v>
      </c>
      <c r="AA623" t="s">
        <v>101</v>
      </c>
      <c r="AB623" t="s">
        <v>869</v>
      </c>
      <c r="AC623">
        <v>1465</v>
      </c>
      <c r="AD623" s="8" t="b">
        <f>AND(
 H623&gt;=Filters!$B$3,
 H623&lt;=Filters!$B$4,
 I623&gt;=Filters!$B$5,
 OR(Filters!$B$6="All",B623=Filters!$B$6),
 F623&gt;=Filters!$B$7,
 F623&lt;=Filters!$B$8,
 OR(Filters!$B$9="All",G623=Filters!$B$9)
)</f>
        <v>0</v>
      </c>
      <c r="AE623">
        <f t="shared" si="117"/>
        <v>6</v>
      </c>
      <c r="AF623">
        <f t="shared" si="118"/>
        <v>7</v>
      </c>
      <c r="AG623">
        <f t="shared" si="119"/>
        <v>7</v>
      </c>
      <c r="AH623" s="9" t="str">
        <f t="shared" si="120"/>
        <v/>
      </c>
      <c r="AI623" s="9" t="str">
        <f t="shared" si="121"/>
        <v/>
      </c>
      <c r="AJ623" s="9" t="str">
        <f t="shared" si="122"/>
        <v/>
      </c>
      <c r="AK623" s="9" t="str">
        <f t="shared" si="123"/>
        <v/>
      </c>
      <c r="AL623" s="9" t="str">
        <f t="shared" si="124"/>
        <v/>
      </c>
      <c r="AM623" s="9" t="str">
        <f t="shared" si="125"/>
        <v/>
      </c>
      <c r="AN623" s="9" t="str">
        <f t="shared" si="126"/>
        <v/>
      </c>
      <c r="AO623" s="9" t="str">
        <f t="shared" si="127"/>
        <v/>
      </c>
      <c r="AP623" s="9" t="str">
        <f t="shared" si="128"/>
        <v/>
      </c>
      <c r="AQ623" s="10" t="str">
        <f t="shared" si="129"/>
        <v/>
      </c>
    </row>
    <row r="624" spans="1:43">
      <c r="A624">
        <v>623</v>
      </c>
      <c r="B624" t="s">
        <v>23</v>
      </c>
      <c r="C624" t="s">
        <v>174</v>
      </c>
      <c r="D624" t="s">
        <v>175</v>
      </c>
      <c r="E624" t="s">
        <v>97</v>
      </c>
      <c r="G624" t="s">
        <v>18</v>
      </c>
      <c r="H624" s="4">
        <v>20952000</v>
      </c>
      <c r="I624" s="5">
        <v>0</v>
      </c>
      <c r="J624" s="5">
        <v>1024</v>
      </c>
      <c r="K624" s="5">
        <v>4</v>
      </c>
      <c r="L624">
        <v>5.2</v>
      </c>
      <c r="M624">
        <v>6.5</v>
      </c>
      <c r="N624">
        <v>5.92</v>
      </c>
      <c r="O624" s="6">
        <v>15.6</v>
      </c>
      <c r="P624" s="7">
        <v>2.2000000000000002</v>
      </c>
      <c r="U624" t="s">
        <v>84</v>
      </c>
      <c r="V624" t="s">
        <v>126</v>
      </c>
      <c r="W624">
        <v>1.6</v>
      </c>
      <c r="X624" t="s">
        <v>104</v>
      </c>
      <c r="Y624" t="s">
        <v>176</v>
      </c>
      <c r="Z624" t="s">
        <v>146</v>
      </c>
      <c r="AA624" t="s">
        <v>101</v>
      </c>
      <c r="AB624" t="s">
        <v>115</v>
      </c>
      <c r="AC624">
        <v>776</v>
      </c>
      <c r="AD624" s="8" t="b">
        <f>AND(
 H624&gt;=Filters!$B$3,
 H624&lt;=Filters!$B$4,
 I624&gt;=Filters!$B$5,
 OR(Filters!$B$6="All",B624=Filters!$B$6),
 F624&gt;=Filters!$B$7,
 F624&lt;=Filters!$B$8,
 OR(Filters!$B$9="All",G624=Filters!$B$9)
)</f>
        <v>0</v>
      </c>
      <c r="AE624">
        <f t="shared" si="117"/>
        <v>6</v>
      </c>
      <c r="AF624">
        <f t="shared" si="118"/>
        <v>7</v>
      </c>
      <c r="AG624">
        <f t="shared" si="119"/>
        <v>7</v>
      </c>
      <c r="AH624" s="9" t="str">
        <f t="shared" si="120"/>
        <v/>
      </c>
      <c r="AI624" s="9" t="str">
        <f t="shared" si="121"/>
        <v/>
      </c>
      <c r="AJ624" s="9" t="str">
        <f t="shared" si="122"/>
        <v/>
      </c>
      <c r="AK624" s="9" t="str">
        <f t="shared" si="123"/>
        <v/>
      </c>
      <c r="AL624" s="9" t="str">
        <f t="shared" si="124"/>
        <v/>
      </c>
      <c r="AM624" s="9" t="str">
        <f t="shared" si="125"/>
        <v/>
      </c>
      <c r="AN624" s="9" t="str">
        <f t="shared" si="126"/>
        <v/>
      </c>
      <c r="AO624" s="9" t="str">
        <f t="shared" si="127"/>
        <v/>
      </c>
      <c r="AP624" s="9" t="str">
        <f t="shared" si="128"/>
        <v/>
      </c>
      <c r="AQ624" s="10" t="str">
        <f t="shared" si="129"/>
        <v/>
      </c>
    </row>
    <row r="625" spans="1:43">
      <c r="A625">
        <v>624</v>
      </c>
      <c r="B625" t="s">
        <v>24</v>
      </c>
      <c r="C625" t="s">
        <v>985</v>
      </c>
      <c r="D625" t="s">
        <v>986</v>
      </c>
      <c r="E625" t="s">
        <v>97</v>
      </c>
      <c r="G625" t="s">
        <v>18</v>
      </c>
      <c r="H625" s="4">
        <v>21573000</v>
      </c>
      <c r="I625" s="5">
        <v>256</v>
      </c>
      <c r="J625" s="5">
        <v>0</v>
      </c>
      <c r="K625" s="5">
        <v>8</v>
      </c>
      <c r="L625">
        <v>7</v>
      </c>
      <c r="M625">
        <v>3.5</v>
      </c>
      <c r="N625">
        <v>3.92</v>
      </c>
      <c r="O625" s="6">
        <v>15.6</v>
      </c>
      <c r="P625" s="7">
        <v>2.2000000000000002</v>
      </c>
      <c r="U625" t="s">
        <v>84</v>
      </c>
      <c r="V625" t="s">
        <v>98</v>
      </c>
      <c r="W625">
        <v>2.5</v>
      </c>
      <c r="X625" t="s">
        <v>84</v>
      </c>
      <c r="Y625" t="s">
        <v>99</v>
      </c>
      <c r="Z625" t="s">
        <v>100</v>
      </c>
      <c r="AA625" t="s">
        <v>114</v>
      </c>
      <c r="AB625" t="s">
        <v>115</v>
      </c>
      <c r="AC625">
        <v>799</v>
      </c>
      <c r="AD625" s="8" t="b">
        <f>AND(
 H625&gt;=Filters!$B$3,
 H625&lt;=Filters!$B$4,
 I625&gt;=Filters!$B$5,
 OR(Filters!$B$6="All",B625=Filters!$B$6),
 F625&gt;=Filters!$B$7,
 F625&lt;=Filters!$B$8,
 OR(Filters!$B$9="All",G625=Filters!$B$9)
)</f>
        <v>1</v>
      </c>
      <c r="AE625">
        <f t="shared" si="117"/>
        <v>6</v>
      </c>
      <c r="AF625">
        <f t="shared" si="118"/>
        <v>7</v>
      </c>
      <c r="AG625">
        <f t="shared" si="119"/>
        <v>7</v>
      </c>
      <c r="AH625" s="9">
        <f t="shared" si="120"/>
        <v>0.69047619047619047</v>
      </c>
      <c r="AI625" s="9">
        <f t="shared" si="121"/>
        <v>0.80952380952380942</v>
      </c>
      <c r="AJ625" s="9">
        <f t="shared" si="122"/>
        <v>0.27380952380952378</v>
      </c>
      <c r="AK625" s="9">
        <f t="shared" si="123"/>
        <v>0.32380952380952377</v>
      </c>
      <c r="AL625" s="9">
        <f t="shared" si="124"/>
        <v>0.88095238095238082</v>
      </c>
      <c r="AM625" s="9">
        <f t="shared" si="125"/>
        <v>0.5714285714285714</v>
      </c>
      <c r="AN625" s="9">
        <f t="shared" si="126"/>
        <v>0.69047619047619047</v>
      </c>
      <c r="AO625" s="9">
        <f t="shared" si="127"/>
        <v>0.69047619047619047</v>
      </c>
      <c r="AP625" s="9">
        <f t="shared" si="128"/>
        <v>0.64753274085971191</v>
      </c>
      <c r="AQ625" s="10">
        <f t="shared" si="129"/>
        <v>0.64753336585971188</v>
      </c>
    </row>
    <row r="626" spans="1:43">
      <c r="A626">
        <v>625</v>
      </c>
      <c r="B626" t="s">
        <v>26</v>
      </c>
      <c r="C626" t="s">
        <v>957</v>
      </c>
      <c r="D626" t="s">
        <v>958</v>
      </c>
      <c r="E626" t="s">
        <v>97</v>
      </c>
      <c r="G626" t="s">
        <v>18</v>
      </c>
      <c r="H626" s="4">
        <v>25164000</v>
      </c>
      <c r="I626" s="5">
        <v>0</v>
      </c>
      <c r="J626" s="5">
        <v>500</v>
      </c>
      <c r="K626" s="5">
        <v>4</v>
      </c>
      <c r="L626">
        <v>6.6</v>
      </c>
      <c r="M626">
        <v>3.5</v>
      </c>
      <c r="N626">
        <v>3.92</v>
      </c>
      <c r="O626" s="6">
        <v>15.6</v>
      </c>
      <c r="P626" s="7">
        <v>1.88</v>
      </c>
      <c r="U626" t="s">
        <v>84</v>
      </c>
      <c r="V626" t="s">
        <v>375</v>
      </c>
      <c r="W626">
        <v>2.2999999999999998</v>
      </c>
      <c r="X626" t="s">
        <v>84</v>
      </c>
      <c r="Y626" t="s">
        <v>130</v>
      </c>
      <c r="Z626" t="s">
        <v>113</v>
      </c>
      <c r="AA626" t="s">
        <v>114</v>
      </c>
      <c r="AB626" t="s">
        <v>869</v>
      </c>
      <c r="AC626">
        <v>932</v>
      </c>
      <c r="AD626" s="8" t="b">
        <f>AND(
 H626&gt;=Filters!$B$3,
 H626&lt;=Filters!$B$4,
 I626&gt;=Filters!$B$5,
 OR(Filters!$B$6="All",B626=Filters!$B$6),
 F626&gt;=Filters!$B$7,
 F626&lt;=Filters!$B$8,
 OR(Filters!$B$9="All",G626=Filters!$B$9)
)</f>
        <v>0</v>
      </c>
      <c r="AE626">
        <f t="shared" si="117"/>
        <v>6</v>
      </c>
      <c r="AF626">
        <f t="shared" si="118"/>
        <v>7</v>
      </c>
      <c r="AG626">
        <f t="shared" si="119"/>
        <v>7</v>
      </c>
      <c r="AH626" s="9" t="str">
        <f t="shared" si="120"/>
        <v/>
      </c>
      <c r="AI626" s="9" t="str">
        <f t="shared" si="121"/>
        <v/>
      </c>
      <c r="AJ626" s="9" t="str">
        <f t="shared" si="122"/>
        <v/>
      </c>
      <c r="AK626" s="9" t="str">
        <f t="shared" si="123"/>
        <v/>
      </c>
      <c r="AL626" s="9" t="str">
        <f t="shared" si="124"/>
        <v/>
      </c>
      <c r="AM626" s="9" t="str">
        <f t="shared" si="125"/>
        <v/>
      </c>
      <c r="AN626" s="9" t="str">
        <f t="shared" si="126"/>
        <v/>
      </c>
      <c r="AO626" s="9" t="str">
        <f t="shared" si="127"/>
        <v/>
      </c>
      <c r="AP626" s="9" t="str">
        <f t="shared" si="128"/>
        <v/>
      </c>
      <c r="AQ626" s="10" t="str">
        <f t="shared" si="129"/>
        <v/>
      </c>
    </row>
    <row r="627" spans="1:43">
      <c r="A627">
        <v>626</v>
      </c>
      <c r="B627" t="s">
        <v>29</v>
      </c>
      <c r="C627" t="s">
        <v>142</v>
      </c>
      <c r="D627" t="s">
        <v>143</v>
      </c>
      <c r="E627" t="s">
        <v>97</v>
      </c>
      <c r="G627" t="s">
        <v>18</v>
      </c>
      <c r="H627" s="4">
        <v>24273000</v>
      </c>
      <c r="I627" s="5">
        <v>0</v>
      </c>
      <c r="J627" s="5">
        <v>1024</v>
      </c>
      <c r="K627" s="5">
        <v>8</v>
      </c>
      <c r="L627">
        <v>9.4</v>
      </c>
      <c r="M627">
        <v>6.5</v>
      </c>
      <c r="N627">
        <v>5.92</v>
      </c>
      <c r="O627" s="6">
        <v>15.6</v>
      </c>
      <c r="P627" s="7">
        <v>2.2000000000000002</v>
      </c>
      <c r="U627" t="s">
        <v>84</v>
      </c>
      <c r="V627" t="s">
        <v>140</v>
      </c>
      <c r="W627">
        <v>2.7</v>
      </c>
      <c r="X627" t="s">
        <v>122</v>
      </c>
      <c r="Y627" t="s">
        <v>230</v>
      </c>
      <c r="Z627" t="s">
        <v>146</v>
      </c>
      <c r="AA627" t="s">
        <v>101</v>
      </c>
      <c r="AB627" t="s">
        <v>115</v>
      </c>
      <c r="AC627">
        <v>899</v>
      </c>
      <c r="AD627" s="8" t="b">
        <f>AND(
 H627&gt;=Filters!$B$3,
 H627&lt;=Filters!$B$4,
 I627&gt;=Filters!$B$5,
 OR(Filters!$B$6="All",B627=Filters!$B$6),
 F627&gt;=Filters!$B$7,
 F627&lt;=Filters!$B$8,
 OR(Filters!$B$9="All",G627=Filters!$B$9)
)</f>
        <v>0</v>
      </c>
      <c r="AE627">
        <f t="shared" si="117"/>
        <v>6</v>
      </c>
      <c r="AF627">
        <f t="shared" si="118"/>
        <v>7</v>
      </c>
      <c r="AG627">
        <f t="shared" si="119"/>
        <v>7</v>
      </c>
      <c r="AH627" s="9" t="str">
        <f t="shared" si="120"/>
        <v/>
      </c>
      <c r="AI627" s="9" t="str">
        <f t="shared" si="121"/>
        <v/>
      </c>
      <c r="AJ627" s="9" t="str">
        <f t="shared" si="122"/>
        <v/>
      </c>
      <c r="AK627" s="9" t="str">
        <f t="shared" si="123"/>
        <v/>
      </c>
      <c r="AL627" s="9" t="str">
        <f t="shared" si="124"/>
        <v/>
      </c>
      <c r="AM627" s="9" t="str">
        <f t="shared" si="125"/>
        <v/>
      </c>
      <c r="AN627" s="9" t="str">
        <f t="shared" si="126"/>
        <v/>
      </c>
      <c r="AO627" s="9" t="str">
        <f t="shared" si="127"/>
        <v/>
      </c>
      <c r="AP627" s="9" t="str">
        <f t="shared" si="128"/>
        <v/>
      </c>
      <c r="AQ627" s="10" t="str">
        <f t="shared" si="129"/>
        <v/>
      </c>
    </row>
    <row r="628" spans="1:43">
      <c r="A628">
        <v>627</v>
      </c>
      <c r="B628" t="s">
        <v>31</v>
      </c>
      <c r="C628" t="s">
        <v>987</v>
      </c>
      <c r="D628" t="s">
        <v>988</v>
      </c>
      <c r="E628" t="s">
        <v>97</v>
      </c>
      <c r="G628" t="s">
        <v>18</v>
      </c>
      <c r="H628" s="4">
        <v>6453000</v>
      </c>
      <c r="I628" s="5">
        <v>32</v>
      </c>
      <c r="J628" s="5">
        <v>0</v>
      </c>
      <c r="K628" s="5">
        <v>2</v>
      </c>
      <c r="L628">
        <v>1</v>
      </c>
      <c r="M628">
        <v>3.5</v>
      </c>
      <c r="N628">
        <v>6</v>
      </c>
      <c r="O628" s="6">
        <v>14</v>
      </c>
      <c r="P628" s="7">
        <v>1.4</v>
      </c>
      <c r="U628" t="s">
        <v>84</v>
      </c>
      <c r="V628" t="s">
        <v>153</v>
      </c>
      <c r="W628">
        <v>1.44</v>
      </c>
      <c r="X628" t="s">
        <v>84</v>
      </c>
      <c r="Y628" t="s">
        <v>187</v>
      </c>
      <c r="Z628" t="s">
        <v>155</v>
      </c>
      <c r="AA628" t="s">
        <v>101</v>
      </c>
      <c r="AB628" t="s">
        <v>115</v>
      </c>
      <c r="AC628">
        <v>239</v>
      </c>
      <c r="AD628" s="8" t="b">
        <f>AND(
 H628&gt;=Filters!$B$3,
 H628&lt;=Filters!$B$4,
 I628&gt;=Filters!$B$5,
 OR(Filters!$B$6="All",B628=Filters!$B$6),
 F628&gt;=Filters!$B$7,
 F628&lt;=Filters!$B$8,
 OR(Filters!$B$9="All",G628=Filters!$B$9)
)</f>
        <v>0</v>
      </c>
      <c r="AE628">
        <f t="shared" si="117"/>
        <v>6</v>
      </c>
      <c r="AF628">
        <f t="shared" si="118"/>
        <v>7</v>
      </c>
      <c r="AG628">
        <f t="shared" si="119"/>
        <v>7</v>
      </c>
      <c r="AH628" s="9" t="str">
        <f t="shared" si="120"/>
        <v/>
      </c>
      <c r="AI628" s="9" t="str">
        <f t="shared" si="121"/>
        <v/>
      </c>
      <c r="AJ628" s="9" t="str">
        <f t="shared" si="122"/>
        <v/>
      </c>
      <c r="AK628" s="9" t="str">
        <f t="shared" si="123"/>
        <v/>
      </c>
      <c r="AL628" s="9" t="str">
        <f t="shared" si="124"/>
        <v/>
      </c>
      <c r="AM628" s="9" t="str">
        <f t="shared" si="125"/>
        <v/>
      </c>
      <c r="AN628" s="9" t="str">
        <f t="shared" si="126"/>
        <v/>
      </c>
      <c r="AO628" s="9" t="str">
        <f t="shared" si="127"/>
        <v/>
      </c>
      <c r="AP628" s="9" t="str">
        <f t="shared" si="128"/>
        <v/>
      </c>
      <c r="AQ628" s="10" t="str">
        <f t="shared" si="129"/>
        <v/>
      </c>
    </row>
    <row r="629" spans="1:43">
      <c r="A629">
        <v>628</v>
      </c>
      <c r="B629" t="s">
        <v>29</v>
      </c>
      <c r="C629" t="s">
        <v>281</v>
      </c>
      <c r="D629" t="s">
        <v>282</v>
      </c>
      <c r="E629" t="s">
        <v>97</v>
      </c>
      <c r="G629" t="s">
        <v>18</v>
      </c>
      <c r="H629" s="4">
        <v>12636000</v>
      </c>
      <c r="I629" s="5">
        <v>128</v>
      </c>
      <c r="J629" s="5">
        <v>0</v>
      </c>
      <c r="K629" s="5">
        <v>4</v>
      </c>
      <c r="L629">
        <v>7</v>
      </c>
      <c r="M629">
        <v>3.5</v>
      </c>
      <c r="N629">
        <v>5.92</v>
      </c>
      <c r="O629" s="6">
        <v>15.6</v>
      </c>
      <c r="P629" s="7">
        <v>2.2000000000000002</v>
      </c>
      <c r="U629" t="s">
        <v>84</v>
      </c>
      <c r="V629" t="s">
        <v>98</v>
      </c>
      <c r="W629">
        <v>2.5</v>
      </c>
      <c r="X629" t="s">
        <v>84</v>
      </c>
      <c r="Y629" t="s">
        <v>99</v>
      </c>
      <c r="Z629" t="s">
        <v>87</v>
      </c>
      <c r="AA629" t="s">
        <v>101</v>
      </c>
      <c r="AB629" t="s">
        <v>102</v>
      </c>
      <c r="AC629">
        <v>468</v>
      </c>
      <c r="AD629" s="8" t="b">
        <f>AND(
 H629&gt;=Filters!$B$3,
 H629&lt;=Filters!$B$4,
 I629&gt;=Filters!$B$5,
 OR(Filters!$B$6="All",B629=Filters!$B$6),
 F629&gt;=Filters!$B$7,
 F629&lt;=Filters!$B$8,
 OR(Filters!$B$9="All",G629=Filters!$B$9)
)</f>
        <v>0</v>
      </c>
      <c r="AE629">
        <f t="shared" si="117"/>
        <v>6</v>
      </c>
      <c r="AF629">
        <f t="shared" si="118"/>
        <v>7</v>
      </c>
      <c r="AG629">
        <f t="shared" si="119"/>
        <v>7</v>
      </c>
      <c r="AH629" s="9" t="str">
        <f t="shared" si="120"/>
        <v/>
      </c>
      <c r="AI629" s="9" t="str">
        <f t="shared" si="121"/>
        <v/>
      </c>
      <c r="AJ629" s="9" t="str">
        <f t="shared" si="122"/>
        <v/>
      </c>
      <c r="AK629" s="9" t="str">
        <f t="shared" si="123"/>
        <v/>
      </c>
      <c r="AL629" s="9" t="str">
        <f t="shared" si="124"/>
        <v/>
      </c>
      <c r="AM629" s="9" t="str">
        <f t="shared" si="125"/>
        <v/>
      </c>
      <c r="AN629" s="9" t="str">
        <f t="shared" si="126"/>
        <v/>
      </c>
      <c r="AO629" s="9" t="str">
        <f t="shared" si="127"/>
        <v/>
      </c>
      <c r="AP629" s="9" t="str">
        <f t="shared" si="128"/>
        <v/>
      </c>
      <c r="AQ629" s="10" t="str">
        <f t="shared" si="129"/>
        <v/>
      </c>
    </row>
    <row r="630" spans="1:43">
      <c r="A630">
        <v>629</v>
      </c>
      <c r="B630" t="s">
        <v>21</v>
      </c>
      <c r="C630" t="s">
        <v>989</v>
      </c>
      <c r="D630" t="s">
        <v>990</v>
      </c>
      <c r="E630" t="s">
        <v>168</v>
      </c>
      <c r="G630" t="s">
        <v>18</v>
      </c>
      <c r="H630" s="4">
        <v>17253270</v>
      </c>
      <c r="I630" s="5">
        <v>0</v>
      </c>
      <c r="J630" s="5">
        <v>1024</v>
      </c>
      <c r="K630" s="5">
        <v>6</v>
      </c>
      <c r="L630">
        <v>7</v>
      </c>
      <c r="M630">
        <v>3.5</v>
      </c>
      <c r="N630">
        <v>6.26</v>
      </c>
      <c r="O630" s="6">
        <v>13.3</v>
      </c>
      <c r="P630" s="7">
        <v>1.5</v>
      </c>
      <c r="U630" t="s">
        <v>84</v>
      </c>
      <c r="V630" t="s">
        <v>98</v>
      </c>
      <c r="W630">
        <v>2.5</v>
      </c>
      <c r="X630" t="s">
        <v>84</v>
      </c>
      <c r="Y630" t="s">
        <v>99</v>
      </c>
      <c r="Z630" t="s">
        <v>146</v>
      </c>
      <c r="AA630" t="s">
        <v>169</v>
      </c>
      <c r="AB630" t="s">
        <v>115</v>
      </c>
      <c r="AC630">
        <v>639.01</v>
      </c>
      <c r="AD630" s="8" t="b">
        <f>AND(
 H630&gt;=Filters!$B$3,
 H630&lt;=Filters!$B$4,
 I630&gt;=Filters!$B$5,
 OR(Filters!$B$6="All",B630=Filters!$B$6),
 F630&gt;=Filters!$B$7,
 F630&lt;=Filters!$B$8,
 OR(Filters!$B$9="All",G630=Filters!$B$9)
)</f>
        <v>0</v>
      </c>
      <c r="AE630">
        <f t="shared" si="117"/>
        <v>6</v>
      </c>
      <c r="AF630">
        <f t="shared" si="118"/>
        <v>7</v>
      </c>
      <c r="AG630">
        <f t="shared" si="119"/>
        <v>7</v>
      </c>
      <c r="AH630" s="9" t="str">
        <f t="shared" si="120"/>
        <v/>
      </c>
      <c r="AI630" s="9" t="str">
        <f t="shared" si="121"/>
        <v/>
      </c>
      <c r="AJ630" s="9" t="str">
        <f t="shared" si="122"/>
        <v/>
      </c>
      <c r="AK630" s="9" t="str">
        <f t="shared" si="123"/>
        <v/>
      </c>
      <c r="AL630" s="9" t="str">
        <f t="shared" si="124"/>
        <v/>
      </c>
      <c r="AM630" s="9" t="str">
        <f t="shared" si="125"/>
        <v/>
      </c>
      <c r="AN630" s="9" t="str">
        <f t="shared" si="126"/>
        <v/>
      </c>
      <c r="AO630" s="9" t="str">
        <f t="shared" si="127"/>
        <v/>
      </c>
      <c r="AP630" s="9" t="str">
        <f t="shared" si="128"/>
        <v/>
      </c>
      <c r="AQ630" s="10" t="str">
        <f t="shared" si="129"/>
        <v/>
      </c>
    </row>
    <row r="631" spans="1:43">
      <c r="A631">
        <v>630</v>
      </c>
      <c r="B631" t="s">
        <v>23</v>
      </c>
      <c r="C631" t="s">
        <v>437</v>
      </c>
      <c r="D631" t="s">
        <v>438</v>
      </c>
      <c r="E631" t="s">
        <v>97</v>
      </c>
      <c r="G631" t="s">
        <v>18</v>
      </c>
      <c r="H631" s="4">
        <v>49140000</v>
      </c>
      <c r="I631" s="5">
        <v>256</v>
      </c>
      <c r="J631" s="5">
        <v>0</v>
      </c>
      <c r="K631" s="5">
        <v>8</v>
      </c>
      <c r="L631">
        <v>9.6</v>
      </c>
      <c r="M631">
        <v>9.1999999999999993</v>
      </c>
      <c r="N631">
        <v>5.92</v>
      </c>
      <c r="O631" s="6">
        <v>15.6</v>
      </c>
      <c r="P631" s="7">
        <v>2</v>
      </c>
      <c r="U631" t="s">
        <v>84</v>
      </c>
      <c r="V631" t="s">
        <v>210</v>
      </c>
      <c r="W631">
        <v>2.8</v>
      </c>
      <c r="X631" t="s">
        <v>122</v>
      </c>
      <c r="Y631" t="s">
        <v>160</v>
      </c>
      <c r="Z631" t="s">
        <v>100</v>
      </c>
      <c r="AA631" t="s">
        <v>101</v>
      </c>
      <c r="AB631" t="s">
        <v>115</v>
      </c>
      <c r="AC631">
        <v>1820</v>
      </c>
      <c r="AD631" s="8" t="b">
        <f>AND(
 H631&gt;=Filters!$B$3,
 H631&lt;=Filters!$B$4,
 I631&gt;=Filters!$B$5,
 OR(Filters!$B$6="All",B631=Filters!$B$6),
 F631&gt;=Filters!$B$7,
 F631&lt;=Filters!$B$8,
 OR(Filters!$B$9="All",G631=Filters!$B$9)
)</f>
        <v>0</v>
      </c>
      <c r="AE631">
        <f t="shared" si="117"/>
        <v>6</v>
      </c>
      <c r="AF631">
        <f t="shared" si="118"/>
        <v>7</v>
      </c>
      <c r="AG631">
        <f t="shared" si="119"/>
        <v>7</v>
      </c>
      <c r="AH631" s="9" t="str">
        <f t="shared" si="120"/>
        <v/>
      </c>
      <c r="AI631" s="9" t="str">
        <f t="shared" si="121"/>
        <v/>
      </c>
      <c r="AJ631" s="9" t="str">
        <f t="shared" si="122"/>
        <v/>
      </c>
      <c r="AK631" s="9" t="str">
        <f t="shared" si="123"/>
        <v/>
      </c>
      <c r="AL631" s="9" t="str">
        <f t="shared" si="124"/>
        <v/>
      </c>
      <c r="AM631" s="9" t="str">
        <f t="shared" si="125"/>
        <v/>
      </c>
      <c r="AN631" s="9" t="str">
        <f t="shared" si="126"/>
        <v/>
      </c>
      <c r="AO631" s="9" t="str">
        <f t="shared" si="127"/>
        <v/>
      </c>
      <c r="AP631" s="9" t="str">
        <f t="shared" si="128"/>
        <v/>
      </c>
      <c r="AQ631" s="10" t="str">
        <f t="shared" si="129"/>
        <v/>
      </c>
    </row>
    <row r="632" spans="1:43">
      <c r="A632">
        <v>631</v>
      </c>
      <c r="B632" t="s">
        <v>21</v>
      </c>
      <c r="C632" t="s">
        <v>991</v>
      </c>
      <c r="D632" t="s">
        <v>992</v>
      </c>
      <c r="E632" t="s">
        <v>83</v>
      </c>
      <c r="G632" t="s">
        <v>18</v>
      </c>
      <c r="H632" s="4">
        <v>51300000</v>
      </c>
      <c r="I632" s="5">
        <v>512</v>
      </c>
      <c r="J632" s="5">
        <v>0</v>
      </c>
      <c r="K632" s="5">
        <v>16</v>
      </c>
      <c r="L632">
        <v>9.4</v>
      </c>
      <c r="M632">
        <v>3.5</v>
      </c>
      <c r="N632">
        <v>6</v>
      </c>
      <c r="O632" s="6">
        <v>14</v>
      </c>
      <c r="P632" s="7">
        <v>1.1000000000000001</v>
      </c>
      <c r="U632" t="s">
        <v>84</v>
      </c>
      <c r="V632" t="s">
        <v>140</v>
      </c>
      <c r="W632">
        <v>2.7</v>
      </c>
      <c r="X632" t="s">
        <v>84</v>
      </c>
      <c r="Y632" t="s">
        <v>99</v>
      </c>
      <c r="Z632" t="s">
        <v>106</v>
      </c>
      <c r="AA632" t="s">
        <v>101</v>
      </c>
      <c r="AB632" t="s">
        <v>115</v>
      </c>
      <c r="AC632">
        <v>1900</v>
      </c>
      <c r="AD632" s="8" t="b">
        <f>AND(
 H632&gt;=Filters!$B$3,
 H632&lt;=Filters!$B$4,
 I632&gt;=Filters!$B$5,
 OR(Filters!$B$6="All",B632=Filters!$B$6),
 F632&gt;=Filters!$B$7,
 F632&lt;=Filters!$B$8,
 OR(Filters!$B$9="All",G632=Filters!$B$9)
)</f>
        <v>0</v>
      </c>
      <c r="AE632">
        <f t="shared" si="117"/>
        <v>6</v>
      </c>
      <c r="AF632">
        <f t="shared" si="118"/>
        <v>7</v>
      </c>
      <c r="AG632">
        <f t="shared" si="119"/>
        <v>7</v>
      </c>
      <c r="AH632" s="9" t="str">
        <f t="shared" si="120"/>
        <v/>
      </c>
      <c r="AI632" s="9" t="str">
        <f t="shared" si="121"/>
        <v/>
      </c>
      <c r="AJ632" s="9" t="str">
        <f t="shared" si="122"/>
        <v/>
      </c>
      <c r="AK632" s="9" t="str">
        <f t="shared" si="123"/>
        <v/>
      </c>
      <c r="AL632" s="9" t="str">
        <f t="shared" si="124"/>
        <v/>
      </c>
      <c r="AM632" s="9" t="str">
        <f t="shared" si="125"/>
        <v/>
      </c>
      <c r="AN632" s="9" t="str">
        <f t="shared" si="126"/>
        <v/>
      </c>
      <c r="AO632" s="9" t="str">
        <f t="shared" si="127"/>
        <v/>
      </c>
      <c r="AP632" s="9" t="str">
        <f t="shared" si="128"/>
        <v/>
      </c>
      <c r="AQ632" s="10" t="str">
        <f t="shared" si="129"/>
        <v/>
      </c>
    </row>
    <row r="633" spans="1:43">
      <c r="A633">
        <v>632</v>
      </c>
      <c r="B633" t="s">
        <v>23</v>
      </c>
      <c r="C633" t="s">
        <v>391</v>
      </c>
      <c r="D633" t="s">
        <v>392</v>
      </c>
      <c r="E633" t="s">
        <v>158</v>
      </c>
      <c r="G633" t="s">
        <v>18</v>
      </c>
      <c r="H633" s="4">
        <v>39933000</v>
      </c>
      <c r="I633" s="5">
        <v>256</v>
      </c>
      <c r="J633" s="5">
        <v>1024</v>
      </c>
      <c r="K633" s="5">
        <v>16</v>
      </c>
      <c r="L633">
        <v>9.6</v>
      </c>
      <c r="M633">
        <v>9.1999999999999993</v>
      </c>
      <c r="N633">
        <v>5.92</v>
      </c>
      <c r="O633" s="6">
        <v>15.6</v>
      </c>
      <c r="P633" s="7">
        <v>2.62</v>
      </c>
      <c r="U633" t="s">
        <v>84</v>
      </c>
      <c r="V633" t="s">
        <v>210</v>
      </c>
      <c r="W633">
        <v>2.8</v>
      </c>
      <c r="X633" t="s">
        <v>122</v>
      </c>
      <c r="Y633" t="s">
        <v>260</v>
      </c>
      <c r="Z633" t="s">
        <v>212</v>
      </c>
      <c r="AA633" t="s">
        <v>101</v>
      </c>
      <c r="AB633" t="s">
        <v>115</v>
      </c>
      <c r="AC633">
        <v>1479</v>
      </c>
      <c r="AD633" s="8" t="b">
        <f>AND(
 H633&gt;=Filters!$B$3,
 H633&lt;=Filters!$B$4,
 I633&gt;=Filters!$B$5,
 OR(Filters!$B$6="All",B633=Filters!$B$6),
 F633&gt;=Filters!$B$7,
 F633&lt;=Filters!$B$8,
 OR(Filters!$B$9="All",G633=Filters!$B$9)
)</f>
        <v>0</v>
      </c>
      <c r="AE633">
        <f t="shared" si="117"/>
        <v>6</v>
      </c>
      <c r="AF633">
        <f t="shared" si="118"/>
        <v>7</v>
      </c>
      <c r="AG633">
        <f t="shared" si="119"/>
        <v>7</v>
      </c>
      <c r="AH633" s="9" t="str">
        <f t="shared" si="120"/>
        <v/>
      </c>
      <c r="AI633" s="9" t="str">
        <f t="shared" si="121"/>
        <v/>
      </c>
      <c r="AJ633" s="9" t="str">
        <f t="shared" si="122"/>
        <v/>
      </c>
      <c r="AK633" s="9" t="str">
        <f t="shared" si="123"/>
        <v/>
      </c>
      <c r="AL633" s="9" t="str">
        <f t="shared" si="124"/>
        <v/>
      </c>
      <c r="AM633" s="9" t="str">
        <f t="shared" si="125"/>
        <v/>
      </c>
      <c r="AN633" s="9" t="str">
        <f t="shared" si="126"/>
        <v/>
      </c>
      <c r="AO633" s="9" t="str">
        <f t="shared" si="127"/>
        <v/>
      </c>
      <c r="AP633" s="9" t="str">
        <f t="shared" si="128"/>
        <v/>
      </c>
      <c r="AQ633" s="10" t="str">
        <f t="shared" si="129"/>
        <v/>
      </c>
    </row>
    <row r="634" spans="1:43">
      <c r="A634">
        <v>633</v>
      </c>
      <c r="B634" t="s">
        <v>29</v>
      </c>
      <c r="C634" t="s">
        <v>993</v>
      </c>
      <c r="D634" t="s">
        <v>994</v>
      </c>
      <c r="E634" t="s">
        <v>97</v>
      </c>
      <c r="G634" t="s">
        <v>18</v>
      </c>
      <c r="H634" s="4">
        <v>22383000</v>
      </c>
      <c r="I634" s="5">
        <v>256</v>
      </c>
      <c r="J634" s="5">
        <v>0</v>
      </c>
      <c r="K634" s="5">
        <v>4</v>
      </c>
      <c r="L634">
        <v>5.2</v>
      </c>
      <c r="M634">
        <v>3.8</v>
      </c>
      <c r="N634">
        <v>5.92</v>
      </c>
      <c r="O634" s="6">
        <v>15.6</v>
      </c>
      <c r="P634" s="7">
        <v>1.8</v>
      </c>
      <c r="U634" t="s">
        <v>84</v>
      </c>
      <c r="V634" t="s">
        <v>126</v>
      </c>
      <c r="W634">
        <v>1.6</v>
      </c>
      <c r="X634" t="s">
        <v>84</v>
      </c>
      <c r="Y634" t="s">
        <v>127</v>
      </c>
      <c r="Z634" t="s">
        <v>100</v>
      </c>
      <c r="AA634" t="s">
        <v>101</v>
      </c>
      <c r="AB634" t="s">
        <v>115</v>
      </c>
      <c r="AC634">
        <v>829</v>
      </c>
      <c r="AD634" s="8" t="b">
        <f>AND(
 H634&gt;=Filters!$B$3,
 H634&lt;=Filters!$B$4,
 I634&gt;=Filters!$B$5,
 OR(Filters!$B$6="All",B634=Filters!$B$6),
 F634&gt;=Filters!$B$7,
 F634&lt;=Filters!$B$8,
 OR(Filters!$B$9="All",G634=Filters!$B$9)
)</f>
        <v>1</v>
      </c>
      <c r="AE634">
        <f t="shared" si="117"/>
        <v>6</v>
      </c>
      <c r="AF634">
        <f t="shared" si="118"/>
        <v>7</v>
      </c>
      <c r="AG634">
        <f t="shared" si="119"/>
        <v>7</v>
      </c>
      <c r="AH634" s="9">
        <f t="shared" si="120"/>
        <v>0.47619047619047616</v>
      </c>
      <c r="AI634" s="9">
        <f t="shared" si="121"/>
        <v>0.33333333333333331</v>
      </c>
      <c r="AJ634" s="9">
        <f t="shared" si="122"/>
        <v>0.30952380952380948</v>
      </c>
      <c r="AK634" s="9">
        <f t="shared" si="123"/>
        <v>0.56190476190476191</v>
      </c>
      <c r="AL634" s="9">
        <f t="shared" si="124"/>
        <v>0.92857142857142849</v>
      </c>
      <c r="AM634" s="9">
        <f t="shared" si="125"/>
        <v>0.5714285714285714</v>
      </c>
      <c r="AN634" s="9">
        <f t="shared" si="126"/>
        <v>0.69047619047619047</v>
      </c>
      <c r="AO634" s="9">
        <f t="shared" si="127"/>
        <v>0.69047619047619047</v>
      </c>
      <c r="AP634" s="9">
        <f t="shared" si="128"/>
        <v>0.54041434293446755</v>
      </c>
      <c r="AQ634" s="10">
        <f t="shared" si="129"/>
        <v>0.54041497693446761</v>
      </c>
    </row>
    <row r="635" spans="1:43">
      <c r="A635">
        <v>634</v>
      </c>
      <c r="B635" t="s">
        <v>29</v>
      </c>
      <c r="C635" t="s">
        <v>995</v>
      </c>
      <c r="D635" t="s">
        <v>996</v>
      </c>
      <c r="E635" t="s">
        <v>97</v>
      </c>
      <c r="G635" t="s">
        <v>18</v>
      </c>
      <c r="H635" s="4">
        <v>15633000</v>
      </c>
      <c r="I635" s="5">
        <v>0</v>
      </c>
      <c r="J635" s="5">
        <v>1024</v>
      </c>
      <c r="K635" s="5">
        <v>4</v>
      </c>
      <c r="L635">
        <v>4</v>
      </c>
      <c r="M635">
        <v>6.5</v>
      </c>
      <c r="N635">
        <v>5.92</v>
      </c>
      <c r="O635" s="6">
        <v>15.6</v>
      </c>
      <c r="P635" s="7">
        <v>2.2000000000000002</v>
      </c>
      <c r="U635" t="s">
        <v>84</v>
      </c>
      <c r="V635" t="s">
        <v>129</v>
      </c>
      <c r="W635">
        <v>2</v>
      </c>
      <c r="X635" t="s">
        <v>122</v>
      </c>
      <c r="Y635" t="s">
        <v>230</v>
      </c>
      <c r="Z635" t="s">
        <v>146</v>
      </c>
      <c r="AA635" t="s">
        <v>101</v>
      </c>
      <c r="AB635" t="s">
        <v>115</v>
      </c>
      <c r="AC635">
        <v>579</v>
      </c>
      <c r="AD635" s="8" t="b">
        <f>AND(
 H635&gt;=Filters!$B$3,
 H635&lt;=Filters!$B$4,
 I635&gt;=Filters!$B$5,
 OR(Filters!$B$6="All",B635=Filters!$B$6),
 F635&gt;=Filters!$B$7,
 F635&lt;=Filters!$B$8,
 OR(Filters!$B$9="All",G635=Filters!$B$9)
)</f>
        <v>0</v>
      </c>
      <c r="AE635">
        <f t="shared" si="117"/>
        <v>6</v>
      </c>
      <c r="AF635">
        <f t="shared" si="118"/>
        <v>7</v>
      </c>
      <c r="AG635">
        <f t="shared" si="119"/>
        <v>7</v>
      </c>
      <c r="AH635" s="9" t="str">
        <f t="shared" si="120"/>
        <v/>
      </c>
      <c r="AI635" s="9" t="str">
        <f t="shared" si="121"/>
        <v/>
      </c>
      <c r="AJ635" s="9" t="str">
        <f t="shared" si="122"/>
        <v/>
      </c>
      <c r="AK635" s="9" t="str">
        <f t="shared" si="123"/>
        <v/>
      </c>
      <c r="AL635" s="9" t="str">
        <f t="shared" si="124"/>
        <v/>
      </c>
      <c r="AM635" s="9" t="str">
        <f t="shared" si="125"/>
        <v/>
      </c>
      <c r="AN635" s="9" t="str">
        <f t="shared" si="126"/>
        <v/>
      </c>
      <c r="AO635" s="9" t="str">
        <f t="shared" si="127"/>
        <v/>
      </c>
      <c r="AP635" s="9" t="str">
        <f t="shared" si="128"/>
        <v/>
      </c>
      <c r="AQ635" s="10" t="str">
        <f t="shared" si="129"/>
        <v/>
      </c>
    </row>
    <row r="636" spans="1:43">
      <c r="A636">
        <v>635</v>
      </c>
      <c r="B636" t="s">
        <v>21</v>
      </c>
      <c r="C636" t="s">
        <v>997</v>
      </c>
      <c r="D636" t="s">
        <v>998</v>
      </c>
      <c r="E636" t="s">
        <v>97</v>
      </c>
      <c r="G636" t="s">
        <v>18</v>
      </c>
      <c r="H636" s="4">
        <v>10773000</v>
      </c>
      <c r="I636" s="5">
        <v>0</v>
      </c>
      <c r="J636" s="5">
        <v>1024</v>
      </c>
      <c r="K636" s="5">
        <v>8</v>
      </c>
      <c r="L636">
        <v>1</v>
      </c>
      <c r="M636">
        <v>3.5</v>
      </c>
      <c r="N636">
        <v>3.92</v>
      </c>
      <c r="O636" s="6">
        <v>15.6</v>
      </c>
      <c r="P636" s="7">
        <v>2</v>
      </c>
      <c r="U636" t="s">
        <v>84</v>
      </c>
      <c r="V636" t="s">
        <v>198</v>
      </c>
      <c r="W636">
        <v>1.1000000000000001</v>
      </c>
      <c r="X636" t="s">
        <v>84</v>
      </c>
      <c r="Y636" t="s">
        <v>199</v>
      </c>
      <c r="Z636" t="s">
        <v>146</v>
      </c>
      <c r="AA636" t="s">
        <v>114</v>
      </c>
      <c r="AB636" t="s">
        <v>115</v>
      </c>
      <c r="AC636">
        <v>399</v>
      </c>
      <c r="AD636" s="8" t="b">
        <f>AND(
 H636&gt;=Filters!$B$3,
 H636&lt;=Filters!$B$4,
 I636&gt;=Filters!$B$5,
 OR(Filters!$B$6="All",B636=Filters!$B$6),
 F636&gt;=Filters!$B$7,
 F636&lt;=Filters!$B$8,
 OR(Filters!$B$9="All",G636=Filters!$B$9)
)</f>
        <v>0</v>
      </c>
      <c r="AE636">
        <f t="shared" si="117"/>
        <v>6</v>
      </c>
      <c r="AF636">
        <f t="shared" si="118"/>
        <v>7</v>
      </c>
      <c r="AG636">
        <f t="shared" si="119"/>
        <v>7</v>
      </c>
      <c r="AH636" s="9" t="str">
        <f t="shared" si="120"/>
        <v/>
      </c>
      <c r="AI636" s="9" t="str">
        <f t="shared" si="121"/>
        <v/>
      </c>
      <c r="AJ636" s="9" t="str">
        <f t="shared" si="122"/>
        <v/>
      </c>
      <c r="AK636" s="9" t="str">
        <f t="shared" si="123"/>
        <v/>
      </c>
      <c r="AL636" s="9" t="str">
        <f t="shared" si="124"/>
        <v/>
      </c>
      <c r="AM636" s="9" t="str">
        <f t="shared" si="125"/>
        <v/>
      </c>
      <c r="AN636" s="9" t="str">
        <f t="shared" si="126"/>
        <v/>
      </c>
      <c r="AO636" s="9" t="str">
        <f t="shared" si="127"/>
        <v/>
      </c>
      <c r="AP636" s="9" t="str">
        <f t="shared" si="128"/>
        <v/>
      </c>
      <c r="AQ636" s="10" t="str">
        <f t="shared" si="129"/>
        <v/>
      </c>
    </row>
    <row r="637" spans="1:43">
      <c r="A637">
        <v>636</v>
      </c>
      <c r="B637" t="s">
        <v>21</v>
      </c>
      <c r="C637" t="s">
        <v>513</v>
      </c>
      <c r="D637" t="s">
        <v>514</v>
      </c>
      <c r="E637" t="s">
        <v>97</v>
      </c>
      <c r="G637" t="s">
        <v>18</v>
      </c>
      <c r="H637" s="4">
        <v>24478740</v>
      </c>
      <c r="I637" s="5">
        <v>0</v>
      </c>
      <c r="J637" s="5">
        <v>1024</v>
      </c>
      <c r="K637" s="5">
        <v>8</v>
      </c>
      <c r="L637">
        <v>7</v>
      </c>
      <c r="M637">
        <v>9.1999999999999993</v>
      </c>
      <c r="N637">
        <v>5.92</v>
      </c>
      <c r="O637" s="6">
        <v>15.6</v>
      </c>
      <c r="P637" s="7">
        <v>1.99</v>
      </c>
      <c r="U637" t="s">
        <v>84</v>
      </c>
      <c r="V637" t="s">
        <v>159</v>
      </c>
      <c r="W637">
        <v>2.5</v>
      </c>
      <c r="X637" t="s">
        <v>122</v>
      </c>
      <c r="Y637" t="s">
        <v>160</v>
      </c>
      <c r="Z637" t="s">
        <v>146</v>
      </c>
      <c r="AA637" t="s">
        <v>101</v>
      </c>
      <c r="AB637" t="s">
        <v>115</v>
      </c>
      <c r="AC637">
        <v>906.62</v>
      </c>
      <c r="AD637" s="8" t="b">
        <f>AND(
 H637&gt;=Filters!$B$3,
 H637&lt;=Filters!$B$4,
 I637&gt;=Filters!$B$5,
 OR(Filters!$B$6="All",B637=Filters!$B$6),
 F637&gt;=Filters!$B$7,
 F637&lt;=Filters!$B$8,
 OR(Filters!$B$9="All",G637=Filters!$B$9)
)</f>
        <v>0</v>
      </c>
      <c r="AE637">
        <f t="shared" si="117"/>
        <v>6</v>
      </c>
      <c r="AF637">
        <f t="shared" si="118"/>
        <v>7</v>
      </c>
      <c r="AG637">
        <f t="shared" si="119"/>
        <v>7</v>
      </c>
      <c r="AH637" s="9" t="str">
        <f t="shared" si="120"/>
        <v/>
      </c>
      <c r="AI637" s="9" t="str">
        <f t="shared" si="121"/>
        <v/>
      </c>
      <c r="AJ637" s="9" t="str">
        <f t="shared" si="122"/>
        <v/>
      </c>
      <c r="AK637" s="9" t="str">
        <f t="shared" si="123"/>
        <v/>
      </c>
      <c r="AL637" s="9" t="str">
        <f t="shared" si="124"/>
        <v/>
      </c>
      <c r="AM637" s="9" t="str">
        <f t="shared" si="125"/>
        <v/>
      </c>
      <c r="AN637" s="9" t="str">
        <f t="shared" si="126"/>
        <v/>
      </c>
      <c r="AO637" s="9" t="str">
        <f t="shared" si="127"/>
        <v/>
      </c>
      <c r="AP637" s="9" t="str">
        <f t="shared" si="128"/>
        <v/>
      </c>
      <c r="AQ637" s="10" t="str">
        <f t="shared" si="129"/>
        <v/>
      </c>
    </row>
    <row r="638" spans="1:43">
      <c r="A638">
        <v>637</v>
      </c>
      <c r="B638" t="s">
        <v>23</v>
      </c>
      <c r="C638" t="s">
        <v>147</v>
      </c>
      <c r="D638" t="s">
        <v>148</v>
      </c>
      <c r="E638" t="s">
        <v>83</v>
      </c>
      <c r="G638" t="s">
        <v>18</v>
      </c>
      <c r="H638" s="4">
        <v>50463000</v>
      </c>
      <c r="I638" s="5">
        <v>256</v>
      </c>
      <c r="J638" s="5">
        <v>0</v>
      </c>
      <c r="K638" s="5">
        <v>8</v>
      </c>
      <c r="L638">
        <v>5.2</v>
      </c>
      <c r="M638">
        <v>3.8</v>
      </c>
      <c r="N638">
        <v>8.4600000000000009</v>
      </c>
      <c r="O638" s="6">
        <v>13.3</v>
      </c>
      <c r="P638" s="7">
        <v>1.23</v>
      </c>
      <c r="U638" t="s">
        <v>84</v>
      </c>
      <c r="V638" t="s">
        <v>126</v>
      </c>
      <c r="W638">
        <v>1.6</v>
      </c>
      <c r="X638" t="s">
        <v>84</v>
      </c>
      <c r="Y638" t="s">
        <v>127</v>
      </c>
      <c r="Z638" t="s">
        <v>100</v>
      </c>
      <c r="AA638" t="s">
        <v>333</v>
      </c>
      <c r="AB638" t="s">
        <v>115</v>
      </c>
      <c r="AC638">
        <v>1869</v>
      </c>
      <c r="AD638" s="8" t="b">
        <f>AND(
 H638&gt;=Filters!$B$3,
 H638&lt;=Filters!$B$4,
 I638&gt;=Filters!$B$5,
 OR(Filters!$B$6="All",B638=Filters!$B$6),
 F638&gt;=Filters!$B$7,
 F638&lt;=Filters!$B$8,
 OR(Filters!$B$9="All",G638=Filters!$B$9)
)</f>
        <v>0</v>
      </c>
      <c r="AE638">
        <f t="shared" si="117"/>
        <v>6</v>
      </c>
      <c r="AF638">
        <f t="shared" si="118"/>
        <v>7</v>
      </c>
      <c r="AG638">
        <f t="shared" si="119"/>
        <v>7</v>
      </c>
      <c r="AH638" s="9" t="str">
        <f t="shared" si="120"/>
        <v/>
      </c>
      <c r="AI638" s="9" t="str">
        <f t="shared" si="121"/>
        <v/>
      </c>
      <c r="AJ638" s="9" t="str">
        <f t="shared" si="122"/>
        <v/>
      </c>
      <c r="AK638" s="9" t="str">
        <f t="shared" si="123"/>
        <v/>
      </c>
      <c r="AL638" s="9" t="str">
        <f t="shared" si="124"/>
        <v/>
      </c>
      <c r="AM638" s="9" t="str">
        <f t="shared" si="125"/>
        <v/>
      </c>
      <c r="AN638" s="9" t="str">
        <f t="shared" si="126"/>
        <v/>
      </c>
      <c r="AO638" s="9" t="str">
        <f t="shared" si="127"/>
        <v/>
      </c>
      <c r="AP638" s="9" t="str">
        <f t="shared" si="128"/>
        <v/>
      </c>
      <c r="AQ638" s="10" t="str">
        <f t="shared" si="129"/>
        <v/>
      </c>
    </row>
    <row r="639" spans="1:43">
      <c r="A639">
        <v>638</v>
      </c>
      <c r="B639" t="s">
        <v>29</v>
      </c>
      <c r="C639" t="s">
        <v>999</v>
      </c>
      <c r="D639" t="s">
        <v>1000</v>
      </c>
      <c r="E639" t="s">
        <v>97</v>
      </c>
      <c r="G639" t="s">
        <v>18</v>
      </c>
      <c r="H639" s="4">
        <v>6723000</v>
      </c>
      <c r="I639" s="5">
        <v>32</v>
      </c>
      <c r="J639" s="5">
        <v>0</v>
      </c>
      <c r="K639" s="5">
        <v>2</v>
      </c>
      <c r="L639">
        <v>1.2</v>
      </c>
      <c r="M639">
        <v>3.5</v>
      </c>
      <c r="N639">
        <v>4</v>
      </c>
      <c r="O639" s="6">
        <v>14</v>
      </c>
      <c r="P639" s="7">
        <v>1.42</v>
      </c>
      <c r="U639" t="s">
        <v>84</v>
      </c>
      <c r="V639" t="s">
        <v>263</v>
      </c>
      <c r="W639">
        <v>1.6</v>
      </c>
      <c r="X639" t="s">
        <v>84</v>
      </c>
      <c r="Y639" t="s">
        <v>154</v>
      </c>
      <c r="Z639" t="s">
        <v>155</v>
      </c>
      <c r="AA639" t="s">
        <v>114</v>
      </c>
      <c r="AB639" t="s">
        <v>115</v>
      </c>
      <c r="AC639">
        <v>249</v>
      </c>
      <c r="AD639" s="8" t="b">
        <f>AND(
 H639&gt;=Filters!$B$3,
 H639&lt;=Filters!$B$4,
 I639&gt;=Filters!$B$5,
 OR(Filters!$B$6="All",B639=Filters!$B$6),
 F639&gt;=Filters!$B$7,
 F639&lt;=Filters!$B$8,
 OR(Filters!$B$9="All",G639=Filters!$B$9)
)</f>
        <v>0</v>
      </c>
      <c r="AE639">
        <f t="shared" si="117"/>
        <v>6</v>
      </c>
      <c r="AF639">
        <f t="shared" si="118"/>
        <v>7</v>
      </c>
      <c r="AG639">
        <f t="shared" si="119"/>
        <v>7</v>
      </c>
      <c r="AH639" s="9" t="str">
        <f t="shared" si="120"/>
        <v/>
      </c>
      <c r="AI639" s="9" t="str">
        <f t="shared" si="121"/>
        <v/>
      </c>
      <c r="AJ639" s="9" t="str">
        <f t="shared" si="122"/>
        <v/>
      </c>
      <c r="AK639" s="9" t="str">
        <f t="shared" si="123"/>
        <v/>
      </c>
      <c r="AL639" s="9" t="str">
        <f t="shared" si="124"/>
        <v/>
      </c>
      <c r="AM639" s="9" t="str">
        <f t="shared" si="125"/>
        <v/>
      </c>
      <c r="AN639" s="9" t="str">
        <f t="shared" si="126"/>
        <v/>
      </c>
      <c r="AO639" s="9" t="str">
        <f t="shared" si="127"/>
        <v/>
      </c>
      <c r="AP639" s="9" t="str">
        <f t="shared" si="128"/>
        <v/>
      </c>
      <c r="AQ639" s="10" t="str">
        <f t="shared" si="129"/>
        <v/>
      </c>
    </row>
    <row r="640" spans="1:43">
      <c r="A640">
        <v>639</v>
      </c>
      <c r="B640" t="s">
        <v>29</v>
      </c>
      <c r="C640" t="s">
        <v>443</v>
      </c>
      <c r="D640" t="s">
        <v>444</v>
      </c>
      <c r="E640" t="s">
        <v>168</v>
      </c>
      <c r="G640" t="s">
        <v>18</v>
      </c>
      <c r="H640" s="4">
        <v>47450340</v>
      </c>
      <c r="I640" s="5">
        <v>256</v>
      </c>
      <c r="J640" s="5">
        <v>0</v>
      </c>
      <c r="K640" s="5">
        <v>8</v>
      </c>
      <c r="L640">
        <v>9.4</v>
      </c>
      <c r="M640">
        <v>3.5</v>
      </c>
      <c r="N640">
        <v>6.67</v>
      </c>
      <c r="O640" s="6">
        <v>13.3</v>
      </c>
      <c r="P640" s="7">
        <v>1.37</v>
      </c>
      <c r="U640" t="s">
        <v>84</v>
      </c>
      <c r="V640" t="s">
        <v>140</v>
      </c>
      <c r="W640">
        <v>2.7</v>
      </c>
      <c r="X640" t="s">
        <v>84</v>
      </c>
      <c r="Y640" t="s">
        <v>99</v>
      </c>
      <c r="Z640" t="s">
        <v>100</v>
      </c>
      <c r="AA640" t="s">
        <v>149</v>
      </c>
      <c r="AB640" t="s">
        <v>115</v>
      </c>
      <c r="AC640">
        <v>1757.42</v>
      </c>
      <c r="AD640" s="8" t="b">
        <f>AND(
 H640&gt;=Filters!$B$3,
 H640&lt;=Filters!$B$4,
 I640&gt;=Filters!$B$5,
 OR(Filters!$B$6="All",B640=Filters!$B$6),
 F640&gt;=Filters!$B$7,
 F640&lt;=Filters!$B$8,
 OR(Filters!$B$9="All",G640=Filters!$B$9)
)</f>
        <v>0</v>
      </c>
      <c r="AE640">
        <f t="shared" si="117"/>
        <v>6</v>
      </c>
      <c r="AF640">
        <f t="shared" si="118"/>
        <v>7</v>
      </c>
      <c r="AG640">
        <f t="shared" si="119"/>
        <v>7</v>
      </c>
      <c r="AH640" s="9" t="str">
        <f t="shared" si="120"/>
        <v/>
      </c>
      <c r="AI640" s="9" t="str">
        <f t="shared" si="121"/>
        <v/>
      </c>
      <c r="AJ640" s="9" t="str">
        <f t="shared" si="122"/>
        <v/>
      </c>
      <c r="AK640" s="9" t="str">
        <f t="shared" si="123"/>
        <v/>
      </c>
      <c r="AL640" s="9" t="str">
        <f t="shared" si="124"/>
        <v/>
      </c>
      <c r="AM640" s="9" t="str">
        <f t="shared" si="125"/>
        <v/>
      </c>
      <c r="AN640" s="9" t="str">
        <f t="shared" si="126"/>
        <v/>
      </c>
      <c r="AO640" s="9" t="str">
        <f t="shared" si="127"/>
        <v/>
      </c>
      <c r="AP640" s="9" t="str">
        <f t="shared" si="128"/>
        <v/>
      </c>
      <c r="AQ640" s="10" t="str">
        <f t="shared" si="129"/>
        <v/>
      </c>
    </row>
    <row r="641" spans="1:43">
      <c r="A641">
        <v>640</v>
      </c>
      <c r="B641" t="s">
        <v>23</v>
      </c>
      <c r="C641" t="s">
        <v>437</v>
      </c>
      <c r="D641" t="s">
        <v>438</v>
      </c>
      <c r="E641" t="s">
        <v>97</v>
      </c>
      <c r="G641" t="s">
        <v>18</v>
      </c>
      <c r="H641" s="4">
        <v>64773000</v>
      </c>
      <c r="I641" s="5">
        <v>1024</v>
      </c>
      <c r="J641" s="5">
        <v>0</v>
      </c>
      <c r="K641" s="5">
        <v>16</v>
      </c>
      <c r="L641">
        <v>9.6</v>
      </c>
      <c r="M641">
        <v>9.1999999999999993</v>
      </c>
      <c r="N641">
        <v>9.7200000000000006</v>
      </c>
      <c r="O641" s="6">
        <v>15.6</v>
      </c>
      <c r="P641" s="7">
        <v>2.06</v>
      </c>
      <c r="U641" t="s">
        <v>84</v>
      </c>
      <c r="V641" t="s">
        <v>210</v>
      </c>
      <c r="W641">
        <v>2.8</v>
      </c>
      <c r="X641" t="s">
        <v>122</v>
      </c>
      <c r="Y641" t="s">
        <v>160</v>
      </c>
      <c r="Z641" t="s">
        <v>445</v>
      </c>
      <c r="AA641" t="s">
        <v>439</v>
      </c>
      <c r="AB641" t="s">
        <v>115</v>
      </c>
      <c r="AC641">
        <v>2399</v>
      </c>
      <c r="AD641" s="8" t="b">
        <f>AND(
 H641&gt;=Filters!$B$3,
 H641&lt;=Filters!$B$4,
 I641&gt;=Filters!$B$5,
 OR(Filters!$B$6="All",B641=Filters!$B$6),
 F641&gt;=Filters!$B$7,
 F641&lt;=Filters!$B$8,
 OR(Filters!$B$9="All",G641=Filters!$B$9)
)</f>
        <v>0</v>
      </c>
      <c r="AE641">
        <f t="shared" si="117"/>
        <v>6</v>
      </c>
      <c r="AF641">
        <f t="shared" si="118"/>
        <v>7</v>
      </c>
      <c r="AG641">
        <f t="shared" si="119"/>
        <v>7</v>
      </c>
      <c r="AH641" s="9" t="str">
        <f t="shared" si="120"/>
        <v/>
      </c>
      <c r="AI641" s="9" t="str">
        <f t="shared" si="121"/>
        <v/>
      </c>
      <c r="AJ641" s="9" t="str">
        <f t="shared" si="122"/>
        <v/>
      </c>
      <c r="AK641" s="9" t="str">
        <f t="shared" si="123"/>
        <v/>
      </c>
      <c r="AL641" s="9" t="str">
        <f t="shared" si="124"/>
        <v/>
      </c>
      <c r="AM641" s="9" t="str">
        <f t="shared" si="125"/>
        <v/>
      </c>
      <c r="AN641" s="9" t="str">
        <f t="shared" si="126"/>
        <v/>
      </c>
      <c r="AO641" s="9" t="str">
        <f t="shared" si="127"/>
        <v/>
      </c>
      <c r="AP641" s="9" t="str">
        <f t="shared" si="128"/>
        <v/>
      </c>
      <c r="AQ641" s="10" t="str">
        <f t="shared" si="129"/>
        <v/>
      </c>
    </row>
    <row r="642" spans="1:43">
      <c r="A642">
        <v>641</v>
      </c>
      <c r="B642" t="s">
        <v>29</v>
      </c>
      <c r="C642" t="s">
        <v>156</v>
      </c>
      <c r="D642" t="s">
        <v>157</v>
      </c>
      <c r="E642" t="s">
        <v>158</v>
      </c>
      <c r="G642" t="s">
        <v>18</v>
      </c>
      <c r="H642" s="4">
        <v>29943000</v>
      </c>
      <c r="I642" s="5">
        <v>128</v>
      </c>
      <c r="J642" s="5">
        <v>1024</v>
      </c>
      <c r="K642" s="5">
        <v>8</v>
      </c>
      <c r="L642">
        <v>9.6</v>
      </c>
      <c r="M642">
        <v>9.1999999999999993</v>
      </c>
      <c r="N642">
        <v>6.32</v>
      </c>
      <c r="O642" s="6">
        <v>15.6</v>
      </c>
      <c r="P642" s="7">
        <v>2.5</v>
      </c>
      <c r="U642" t="s">
        <v>84</v>
      </c>
      <c r="V642" t="s">
        <v>210</v>
      </c>
      <c r="W642">
        <v>2.8</v>
      </c>
      <c r="X642" t="s">
        <v>122</v>
      </c>
      <c r="Y642" t="s">
        <v>372</v>
      </c>
      <c r="Z642" t="s">
        <v>161</v>
      </c>
      <c r="AA642" t="s">
        <v>128</v>
      </c>
      <c r="AB642" t="s">
        <v>115</v>
      </c>
      <c r="AC642">
        <v>1109</v>
      </c>
      <c r="AD642" s="8" t="b">
        <f>AND(
 H642&gt;=Filters!$B$3,
 H642&lt;=Filters!$B$4,
 I642&gt;=Filters!$B$5,
 OR(Filters!$B$6="All",B642=Filters!$B$6),
 F642&gt;=Filters!$B$7,
 F642&lt;=Filters!$B$8,
 OR(Filters!$B$9="All",G642=Filters!$B$9)
)</f>
        <v>0</v>
      </c>
      <c r="AE642">
        <f t="shared" ref="AE642:AE705" si="130">IF(Q642="",6,Q642)</f>
        <v>6</v>
      </c>
      <c r="AF642">
        <f t="shared" ref="AF642:AF705" si="131">IF(R642="",7,R642)</f>
        <v>7</v>
      </c>
      <c r="AG642">
        <f t="shared" ref="AG642:AG705" si="132">IF(S642="",7,S642)</f>
        <v>7</v>
      </c>
      <c r="AH642" s="9" t="str">
        <f t="shared" ref="AH642:AH705" si="133">IF(AD642,IF(CPU_MAX=CPU_MIN,1,(L642-CPU_MIN)/(CPU_MAX-CPU_MIN)),"")</f>
        <v/>
      </c>
      <c r="AI642" s="9" t="str">
        <f t="shared" ref="AI642:AI705" si="134">IF(AD642,IF(RAM_MAX=RAM_MIN,1,(K642-RAM_MIN)/(RAM_MAX-RAM_MIN)),"")</f>
        <v/>
      </c>
      <c r="AJ642" s="9" t="str">
        <f t="shared" ref="AJ642:AJ705" si="135">IF(AD642,IF(GPU_MAX=GPU_MIN,1,(M642-GPU_MIN)/(GPU_MAX-GPU_MIN)),"")</f>
        <v/>
      </c>
      <c r="AK642" s="9" t="str">
        <f t="shared" ref="AK642:AK705" si="136">IF(AD642,IF(SCREEN_MAX=SCREEN_MIN,1,(N642-SCREEN_MIN)/(SCREEN_MAX-SCREEN_MIN)),"")</f>
        <v/>
      </c>
      <c r="AL642" s="9" t="str">
        <f t="shared" ref="AL642:AL705" si="137">IF(AD642,IF(WEIGHT_MAX=WEIGHT_MIN,1,(WEIGHT_MAX-P642)/(WEIGHT_MAX-WEIGHT_MIN)),"")</f>
        <v/>
      </c>
      <c r="AM642" s="9" t="str">
        <f t="shared" ref="AM642:AM705" si="138">IF(AD642,IF(BATTERY_MAX=BATTERY_MIN,1,(AE642-BATTERY_MIN)/(BATTERY_MAX-BATTERY_MIN)),"")</f>
        <v/>
      </c>
      <c r="AN642" s="9" t="str">
        <f t="shared" ref="AN642:AN705" si="139">IF(AD642,IF(DURABILITY_MAX=DURABILITY_MIN,1,(AF642-DURABILITY_MIN)/(DURABILITY_MAX-DURABILITY_MIN)),"")</f>
        <v/>
      </c>
      <c r="AO642" s="9" t="str">
        <f t="shared" ref="AO642:AO705" si="140">IF(AD642,IF(UPGRADE_MAX=UPGRADE_MIN,1,(AG642-UPGRADE_MIN)/(UPGRADE_MAX-UPGRADE_MIN)),"")</f>
        <v/>
      </c>
      <c r="AP642" s="9" t="str">
        <f t="shared" ref="AP642:AP705" si="141">IF(AD642,W_CPU*AH642+W_RAM*AI642+W_GPU*AJ642+W_SCREEN*AK642+W_WEIGHT*AL642+W_BATTERY*AM642+W_DURABILITY*AN642+W_UPGRADE*AO642,"" )</f>
        <v/>
      </c>
      <c r="AQ642" s="10" t="str">
        <f t="shared" ref="AQ642:AQ705" si="142">IF(AP642="","",AP642+ROW()*0.000000001)</f>
        <v/>
      </c>
    </row>
    <row r="643" spans="1:43">
      <c r="A643">
        <v>642</v>
      </c>
      <c r="B643" t="s">
        <v>26</v>
      </c>
      <c r="C643" t="s">
        <v>1001</v>
      </c>
      <c r="D643" t="s">
        <v>1002</v>
      </c>
      <c r="E643" t="s">
        <v>97</v>
      </c>
      <c r="G643" t="s">
        <v>18</v>
      </c>
      <c r="H643" s="4">
        <v>14064300</v>
      </c>
      <c r="I643" s="5">
        <v>0</v>
      </c>
      <c r="J643" s="5">
        <v>1024</v>
      </c>
      <c r="K643" s="5">
        <v>8</v>
      </c>
      <c r="L643">
        <v>7</v>
      </c>
      <c r="M643">
        <v>6.5</v>
      </c>
      <c r="N643">
        <v>5.85</v>
      </c>
      <c r="O643" s="6">
        <v>17</v>
      </c>
      <c r="P643" s="7">
        <v>2.6</v>
      </c>
      <c r="U643" t="s">
        <v>104</v>
      </c>
      <c r="V643" t="s">
        <v>111</v>
      </c>
      <c r="W643">
        <v>3</v>
      </c>
      <c r="X643" t="s">
        <v>104</v>
      </c>
      <c r="Y643" t="s">
        <v>112</v>
      </c>
      <c r="Z643" t="s">
        <v>146</v>
      </c>
      <c r="AA643" t="s">
        <v>452</v>
      </c>
      <c r="AB643" t="s">
        <v>115</v>
      </c>
      <c r="AC643">
        <v>520.9</v>
      </c>
      <c r="AD643" s="8" t="b">
        <f>AND(
 H643&gt;=Filters!$B$3,
 H643&lt;=Filters!$B$4,
 I643&gt;=Filters!$B$5,
 OR(Filters!$B$6="All",B643=Filters!$B$6),
 F643&gt;=Filters!$B$7,
 F643&lt;=Filters!$B$8,
 OR(Filters!$B$9="All",G643=Filters!$B$9)
)</f>
        <v>0</v>
      </c>
      <c r="AE643">
        <f t="shared" si="130"/>
        <v>6</v>
      </c>
      <c r="AF643">
        <f t="shared" si="131"/>
        <v>7</v>
      </c>
      <c r="AG643">
        <f t="shared" si="132"/>
        <v>7</v>
      </c>
      <c r="AH643" s="9" t="str">
        <f t="shared" si="133"/>
        <v/>
      </c>
      <c r="AI643" s="9" t="str">
        <f t="shared" si="134"/>
        <v/>
      </c>
      <c r="AJ643" s="9" t="str">
        <f t="shared" si="135"/>
        <v/>
      </c>
      <c r="AK643" s="9" t="str">
        <f t="shared" si="136"/>
        <v/>
      </c>
      <c r="AL643" s="9" t="str">
        <f t="shared" si="137"/>
        <v/>
      </c>
      <c r="AM643" s="9" t="str">
        <f t="shared" si="138"/>
        <v/>
      </c>
      <c r="AN643" s="9" t="str">
        <f t="shared" si="139"/>
        <v/>
      </c>
      <c r="AO643" s="9" t="str">
        <f t="shared" si="140"/>
        <v/>
      </c>
      <c r="AP643" s="9" t="str">
        <f t="shared" si="141"/>
        <v/>
      </c>
      <c r="AQ643" s="10" t="str">
        <f t="shared" si="142"/>
        <v/>
      </c>
    </row>
    <row r="644" spans="1:43">
      <c r="A644">
        <v>643</v>
      </c>
      <c r="B644" t="s">
        <v>29</v>
      </c>
      <c r="C644" t="s">
        <v>1003</v>
      </c>
      <c r="D644" t="s">
        <v>547</v>
      </c>
      <c r="E644" t="s">
        <v>83</v>
      </c>
      <c r="G644" t="s">
        <v>18</v>
      </c>
      <c r="H644" s="4">
        <v>66150000</v>
      </c>
      <c r="I644" s="5">
        <v>512</v>
      </c>
      <c r="J644" s="5">
        <v>0</v>
      </c>
      <c r="K644" s="5">
        <v>16</v>
      </c>
      <c r="L644">
        <v>9.4</v>
      </c>
      <c r="M644">
        <v>3.5</v>
      </c>
      <c r="N644">
        <v>6.4</v>
      </c>
      <c r="O644" s="6">
        <v>14</v>
      </c>
      <c r="P644" s="7">
        <v>1.1399999999999999</v>
      </c>
      <c r="U644" t="s">
        <v>84</v>
      </c>
      <c r="V644" t="s">
        <v>140</v>
      </c>
      <c r="W644">
        <v>2.7</v>
      </c>
      <c r="X644" t="s">
        <v>84</v>
      </c>
      <c r="Y644" t="s">
        <v>99</v>
      </c>
      <c r="Z644" t="s">
        <v>106</v>
      </c>
      <c r="AA644" t="s">
        <v>128</v>
      </c>
      <c r="AB644" t="s">
        <v>115</v>
      </c>
      <c r="AC644">
        <v>2450</v>
      </c>
      <c r="AD644" s="8" t="b">
        <f>AND(
 H644&gt;=Filters!$B$3,
 H644&lt;=Filters!$B$4,
 I644&gt;=Filters!$B$5,
 OR(Filters!$B$6="All",B644=Filters!$B$6),
 F644&gt;=Filters!$B$7,
 F644&lt;=Filters!$B$8,
 OR(Filters!$B$9="All",G644=Filters!$B$9)
)</f>
        <v>0</v>
      </c>
      <c r="AE644">
        <f t="shared" si="130"/>
        <v>6</v>
      </c>
      <c r="AF644">
        <f t="shared" si="131"/>
        <v>7</v>
      </c>
      <c r="AG644">
        <f t="shared" si="132"/>
        <v>7</v>
      </c>
      <c r="AH644" s="9" t="str">
        <f t="shared" si="133"/>
        <v/>
      </c>
      <c r="AI644" s="9" t="str">
        <f t="shared" si="134"/>
        <v/>
      </c>
      <c r="AJ644" s="9" t="str">
        <f t="shared" si="135"/>
        <v/>
      </c>
      <c r="AK644" s="9" t="str">
        <f t="shared" si="136"/>
        <v/>
      </c>
      <c r="AL644" s="9" t="str">
        <f t="shared" si="137"/>
        <v/>
      </c>
      <c r="AM644" s="9" t="str">
        <f t="shared" si="138"/>
        <v/>
      </c>
      <c r="AN644" s="9" t="str">
        <f t="shared" si="139"/>
        <v/>
      </c>
      <c r="AO644" s="9" t="str">
        <f t="shared" si="140"/>
        <v/>
      </c>
      <c r="AP644" s="9" t="str">
        <f t="shared" si="141"/>
        <v/>
      </c>
      <c r="AQ644" s="10" t="str">
        <f t="shared" si="142"/>
        <v/>
      </c>
    </row>
    <row r="645" spans="1:43">
      <c r="A645">
        <v>644</v>
      </c>
      <c r="B645" t="s">
        <v>21</v>
      </c>
      <c r="C645" t="s">
        <v>1004</v>
      </c>
      <c r="D645" t="s">
        <v>1005</v>
      </c>
      <c r="E645" t="s">
        <v>158</v>
      </c>
      <c r="G645" t="s">
        <v>18</v>
      </c>
      <c r="H645" s="4">
        <v>31563000</v>
      </c>
      <c r="I645" s="5">
        <v>0</v>
      </c>
      <c r="J645" s="5">
        <v>1024</v>
      </c>
      <c r="K645" s="5">
        <v>8</v>
      </c>
      <c r="L645">
        <v>9.6</v>
      </c>
      <c r="M645">
        <v>9.1999999999999993</v>
      </c>
      <c r="N645">
        <v>6.32</v>
      </c>
      <c r="O645" s="6">
        <v>15.6</v>
      </c>
      <c r="P645" s="7">
        <v>2.5</v>
      </c>
      <c r="U645" t="s">
        <v>84</v>
      </c>
      <c r="V645" t="s">
        <v>210</v>
      </c>
      <c r="W645">
        <v>2.8</v>
      </c>
      <c r="X645" t="s">
        <v>122</v>
      </c>
      <c r="Y645" t="s">
        <v>260</v>
      </c>
      <c r="Z645" t="s">
        <v>146</v>
      </c>
      <c r="AA645" t="s">
        <v>128</v>
      </c>
      <c r="AB645" t="s">
        <v>102</v>
      </c>
      <c r="AC645">
        <v>1169</v>
      </c>
      <c r="AD645" s="8" t="b">
        <f>AND(
 H645&gt;=Filters!$B$3,
 H645&lt;=Filters!$B$4,
 I645&gt;=Filters!$B$5,
 OR(Filters!$B$6="All",B645=Filters!$B$6),
 F645&gt;=Filters!$B$7,
 F645&lt;=Filters!$B$8,
 OR(Filters!$B$9="All",G645=Filters!$B$9)
)</f>
        <v>0</v>
      </c>
      <c r="AE645">
        <f t="shared" si="130"/>
        <v>6</v>
      </c>
      <c r="AF645">
        <f t="shared" si="131"/>
        <v>7</v>
      </c>
      <c r="AG645">
        <f t="shared" si="132"/>
        <v>7</v>
      </c>
      <c r="AH645" s="9" t="str">
        <f t="shared" si="133"/>
        <v/>
      </c>
      <c r="AI645" s="9" t="str">
        <f t="shared" si="134"/>
        <v/>
      </c>
      <c r="AJ645" s="9" t="str">
        <f t="shared" si="135"/>
        <v/>
      </c>
      <c r="AK645" s="9" t="str">
        <f t="shared" si="136"/>
        <v/>
      </c>
      <c r="AL645" s="9" t="str">
        <f t="shared" si="137"/>
        <v/>
      </c>
      <c r="AM645" s="9" t="str">
        <f t="shared" si="138"/>
        <v/>
      </c>
      <c r="AN645" s="9" t="str">
        <f t="shared" si="139"/>
        <v/>
      </c>
      <c r="AO645" s="9" t="str">
        <f t="shared" si="140"/>
        <v/>
      </c>
      <c r="AP645" s="9" t="str">
        <f t="shared" si="141"/>
        <v/>
      </c>
      <c r="AQ645" s="10" t="str">
        <f t="shared" si="142"/>
        <v/>
      </c>
    </row>
    <row r="646" spans="1:43">
      <c r="A646">
        <v>645</v>
      </c>
      <c r="B646" t="s">
        <v>17</v>
      </c>
      <c r="C646" t="s">
        <v>1006</v>
      </c>
      <c r="D646" t="s">
        <v>1007</v>
      </c>
      <c r="E646" t="s">
        <v>97</v>
      </c>
      <c r="G646" t="s">
        <v>18</v>
      </c>
      <c r="H646" s="4">
        <v>12150000</v>
      </c>
      <c r="I646" s="5">
        <v>0</v>
      </c>
      <c r="J646" s="5">
        <v>500</v>
      </c>
      <c r="K646" s="5">
        <v>4</v>
      </c>
      <c r="L646">
        <v>4</v>
      </c>
      <c r="M646">
        <v>3.5</v>
      </c>
      <c r="N646">
        <v>3.92</v>
      </c>
      <c r="O646" s="6">
        <v>15.6</v>
      </c>
      <c r="P646" s="7">
        <v>2.4</v>
      </c>
      <c r="U646" t="s">
        <v>84</v>
      </c>
      <c r="V646" t="s">
        <v>129</v>
      </c>
      <c r="W646">
        <v>2</v>
      </c>
      <c r="X646" t="s">
        <v>84</v>
      </c>
      <c r="Y646" t="s">
        <v>130</v>
      </c>
      <c r="Z646" t="s">
        <v>113</v>
      </c>
      <c r="AA646" t="s">
        <v>114</v>
      </c>
      <c r="AB646" t="s">
        <v>115</v>
      </c>
      <c r="AC646">
        <v>450</v>
      </c>
      <c r="AD646" s="8" t="b">
        <f>AND(
 H646&gt;=Filters!$B$3,
 H646&lt;=Filters!$B$4,
 I646&gt;=Filters!$B$5,
 OR(Filters!$B$6="All",B646=Filters!$B$6),
 F646&gt;=Filters!$B$7,
 F646&lt;=Filters!$B$8,
 OR(Filters!$B$9="All",G646=Filters!$B$9)
)</f>
        <v>0</v>
      </c>
      <c r="AE646">
        <f t="shared" si="130"/>
        <v>6</v>
      </c>
      <c r="AF646">
        <f t="shared" si="131"/>
        <v>7</v>
      </c>
      <c r="AG646">
        <f t="shared" si="132"/>
        <v>7</v>
      </c>
      <c r="AH646" s="9" t="str">
        <f t="shared" si="133"/>
        <v/>
      </c>
      <c r="AI646" s="9" t="str">
        <f t="shared" si="134"/>
        <v/>
      </c>
      <c r="AJ646" s="9" t="str">
        <f t="shared" si="135"/>
        <v/>
      </c>
      <c r="AK646" s="9" t="str">
        <f t="shared" si="136"/>
        <v/>
      </c>
      <c r="AL646" s="9" t="str">
        <f t="shared" si="137"/>
        <v/>
      </c>
      <c r="AM646" s="9" t="str">
        <f t="shared" si="138"/>
        <v/>
      </c>
      <c r="AN646" s="9" t="str">
        <f t="shared" si="139"/>
        <v/>
      </c>
      <c r="AO646" s="9" t="str">
        <f t="shared" si="140"/>
        <v/>
      </c>
      <c r="AP646" s="9" t="str">
        <f t="shared" si="141"/>
        <v/>
      </c>
      <c r="AQ646" s="10" t="str">
        <f t="shared" si="142"/>
        <v/>
      </c>
    </row>
    <row r="647" spans="1:43">
      <c r="A647">
        <v>646</v>
      </c>
      <c r="B647" t="s">
        <v>29</v>
      </c>
      <c r="C647" t="s">
        <v>999</v>
      </c>
      <c r="D647" t="s">
        <v>1000</v>
      </c>
      <c r="E647" t="s">
        <v>97</v>
      </c>
      <c r="G647" t="s">
        <v>18</v>
      </c>
      <c r="H647" s="4">
        <v>7398000</v>
      </c>
      <c r="I647" s="5">
        <v>32</v>
      </c>
      <c r="J647" s="5">
        <v>0</v>
      </c>
      <c r="K647" s="5">
        <v>4</v>
      </c>
      <c r="L647">
        <v>1.2</v>
      </c>
      <c r="M647">
        <v>3.5</v>
      </c>
      <c r="N647">
        <v>4</v>
      </c>
      <c r="O647" s="6">
        <v>14</v>
      </c>
      <c r="P647" s="7">
        <v>1.43</v>
      </c>
      <c r="U647" t="s">
        <v>84</v>
      </c>
      <c r="V647" t="s">
        <v>263</v>
      </c>
      <c r="W647">
        <v>1.6</v>
      </c>
      <c r="X647" t="s">
        <v>84</v>
      </c>
      <c r="Y647" t="s">
        <v>187</v>
      </c>
      <c r="Z647" t="s">
        <v>155</v>
      </c>
      <c r="AA647" t="s">
        <v>114</v>
      </c>
      <c r="AB647" t="s">
        <v>115</v>
      </c>
      <c r="AC647">
        <v>274</v>
      </c>
      <c r="AD647" s="8" t="b">
        <f>AND(
 H647&gt;=Filters!$B$3,
 H647&lt;=Filters!$B$4,
 I647&gt;=Filters!$B$5,
 OR(Filters!$B$6="All",B647=Filters!$B$6),
 F647&gt;=Filters!$B$7,
 F647&lt;=Filters!$B$8,
 OR(Filters!$B$9="All",G647=Filters!$B$9)
)</f>
        <v>0</v>
      </c>
      <c r="AE647">
        <f t="shared" si="130"/>
        <v>6</v>
      </c>
      <c r="AF647">
        <f t="shared" si="131"/>
        <v>7</v>
      </c>
      <c r="AG647">
        <f t="shared" si="132"/>
        <v>7</v>
      </c>
      <c r="AH647" s="9" t="str">
        <f t="shared" si="133"/>
        <v/>
      </c>
      <c r="AI647" s="9" t="str">
        <f t="shared" si="134"/>
        <v/>
      </c>
      <c r="AJ647" s="9" t="str">
        <f t="shared" si="135"/>
        <v/>
      </c>
      <c r="AK647" s="9" t="str">
        <f t="shared" si="136"/>
        <v/>
      </c>
      <c r="AL647" s="9" t="str">
        <f t="shared" si="137"/>
        <v/>
      </c>
      <c r="AM647" s="9" t="str">
        <f t="shared" si="138"/>
        <v/>
      </c>
      <c r="AN647" s="9" t="str">
        <f t="shared" si="139"/>
        <v/>
      </c>
      <c r="AO647" s="9" t="str">
        <f t="shared" si="140"/>
        <v/>
      </c>
      <c r="AP647" s="9" t="str">
        <f t="shared" si="141"/>
        <v/>
      </c>
      <c r="AQ647" s="10" t="str">
        <f t="shared" si="142"/>
        <v/>
      </c>
    </row>
    <row r="648" spans="1:43">
      <c r="A648">
        <v>647</v>
      </c>
      <c r="B648" t="s">
        <v>17</v>
      </c>
      <c r="C648" t="s">
        <v>124</v>
      </c>
      <c r="D648" t="s">
        <v>125</v>
      </c>
      <c r="E648" t="s">
        <v>83</v>
      </c>
      <c r="G648" t="s">
        <v>18</v>
      </c>
      <c r="H648" s="4">
        <v>24813000</v>
      </c>
      <c r="I648" s="5">
        <v>256</v>
      </c>
      <c r="J648" s="5">
        <v>0</v>
      </c>
      <c r="K648" s="5">
        <v>8</v>
      </c>
      <c r="L648">
        <v>7</v>
      </c>
      <c r="M648">
        <v>3.5</v>
      </c>
      <c r="N648">
        <v>6.4</v>
      </c>
      <c r="O648" s="6">
        <v>14</v>
      </c>
      <c r="P648" s="7">
        <v>1.8</v>
      </c>
      <c r="U648" t="s">
        <v>84</v>
      </c>
      <c r="V648" t="s">
        <v>98</v>
      </c>
      <c r="W648">
        <v>2.5</v>
      </c>
      <c r="X648" t="s">
        <v>84</v>
      </c>
      <c r="Y648" t="s">
        <v>1008</v>
      </c>
      <c r="Z648" t="s">
        <v>100</v>
      </c>
      <c r="AA648" t="s">
        <v>128</v>
      </c>
      <c r="AB648" t="s">
        <v>115</v>
      </c>
      <c r="AC648">
        <v>919</v>
      </c>
      <c r="AD648" s="8" t="b">
        <f>AND(
 H648&gt;=Filters!$B$3,
 H648&lt;=Filters!$B$4,
 I648&gt;=Filters!$B$5,
 OR(Filters!$B$6="All",B648=Filters!$B$6),
 F648&gt;=Filters!$B$7,
 F648&lt;=Filters!$B$8,
 OR(Filters!$B$9="All",G648=Filters!$B$9)
)</f>
        <v>1</v>
      </c>
      <c r="AE648">
        <f t="shared" si="130"/>
        <v>6</v>
      </c>
      <c r="AF648">
        <f t="shared" si="131"/>
        <v>7</v>
      </c>
      <c r="AG648">
        <f t="shared" si="132"/>
        <v>7</v>
      </c>
      <c r="AH648" s="9">
        <f t="shared" si="133"/>
        <v>0.69047619047619047</v>
      </c>
      <c r="AI648" s="9">
        <f t="shared" si="134"/>
        <v>0.80952380952380942</v>
      </c>
      <c r="AJ648" s="9">
        <f t="shared" si="135"/>
        <v>0.27380952380952378</v>
      </c>
      <c r="AK648" s="9">
        <f t="shared" si="136"/>
        <v>0.61904761904761907</v>
      </c>
      <c r="AL648" s="9">
        <f t="shared" si="137"/>
        <v>0.92857142857142849</v>
      </c>
      <c r="AM648" s="9">
        <f t="shared" si="138"/>
        <v>0.5714285714285714</v>
      </c>
      <c r="AN648" s="9">
        <f t="shared" si="139"/>
        <v>0.69047619047619047</v>
      </c>
      <c r="AO648" s="9">
        <f t="shared" si="140"/>
        <v>0.69047619047619047</v>
      </c>
      <c r="AP648" s="9">
        <f t="shared" si="141"/>
        <v>0.67423540545397942</v>
      </c>
      <c r="AQ648" s="10">
        <f t="shared" si="142"/>
        <v>0.67423605345397941</v>
      </c>
    </row>
    <row r="649" spans="1:43">
      <c r="A649">
        <v>648</v>
      </c>
      <c r="B649" t="s">
        <v>33</v>
      </c>
      <c r="C649" t="s">
        <v>453</v>
      </c>
      <c r="D649" t="s">
        <v>454</v>
      </c>
      <c r="E649" t="s">
        <v>158</v>
      </c>
      <c r="G649" t="s">
        <v>18</v>
      </c>
      <c r="H649" s="4">
        <v>70173000</v>
      </c>
      <c r="I649" s="5">
        <v>256</v>
      </c>
      <c r="J649" s="5">
        <v>0</v>
      </c>
      <c r="K649" s="5">
        <v>16</v>
      </c>
      <c r="L649">
        <v>9.6</v>
      </c>
      <c r="M649">
        <v>9.1999999999999993</v>
      </c>
      <c r="N649">
        <v>6</v>
      </c>
      <c r="O649" s="6">
        <v>14</v>
      </c>
      <c r="P649" s="7">
        <v>1.95</v>
      </c>
      <c r="U649" t="s">
        <v>84</v>
      </c>
      <c r="V649" t="s">
        <v>210</v>
      </c>
      <c r="W649">
        <v>2.8</v>
      </c>
      <c r="X649" t="s">
        <v>122</v>
      </c>
      <c r="Y649" t="s">
        <v>211</v>
      </c>
      <c r="Z649" t="s">
        <v>100</v>
      </c>
      <c r="AA649" t="s">
        <v>101</v>
      </c>
      <c r="AB649" t="s">
        <v>115</v>
      </c>
      <c r="AC649">
        <v>2599</v>
      </c>
      <c r="AD649" s="8" t="b">
        <f>AND(
 H649&gt;=Filters!$B$3,
 H649&lt;=Filters!$B$4,
 I649&gt;=Filters!$B$5,
 OR(Filters!$B$6="All",B649=Filters!$B$6),
 F649&gt;=Filters!$B$7,
 F649&lt;=Filters!$B$8,
 OR(Filters!$B$9="All",G649=Filters!$B$9)
)</f>
        <v>0</v>
      </c>
      <c r="AE649">
        <f t="shared" si="130"/>
        <v>6</v>
      </c>
      <c r="AF649">
        <f t="shared" si="131"/>
        <v>7</v>
      </c>
      <c r="AG649">
        <f t="shared" si="132"/>
        <v>7</v>
      </c>
      <c r="AH649" s="9" t="str">
        <f t="shared" si="133"/>
        <v/>
      </c>
      <c r="AI649" s="9" t="str">
        <f t="shared" si="134"/>
        <v/>
      </c>
      <c r="AJ649" s="9" t="str">
        <f t="shared" si="135"/>
        <v/>
      </c>
      <c r="AK649" s="9" t="str">
        <f t="shared" si="136"/>
        <v/>
      </c>
      <c r="AL649" s="9" t="str">
        <f t="shared" si="137"/>
        <v/>
      </c>
      <c r="AM649" s="9" t="str">
        <f t="shared" si="138"/>
        <v/>
      </c>
      <c r="AN649" s="9" t="str">
        <f t="shared" si="139"/>
        <v/>
      </c>
      <c r="AO649" s="9" t="str">
        <f t="shared" si="140"/>
        <v/>
      </c>
      <c r="AP649" s="9" t="str">
        <f t="shared" si="141"/>
        <v/>
      </c>
      <c r="AQ649" s="10" t="str">
        <f t="shared" si="142"/>
        <v/>
      </c>
    </row>
    <row r="650" spans="1:43">
      <c r="A650">
        <v>649</v>
      </c>
      <c r="B650" t="s">
        <v>35</v>
      </c>
      <c r="C650" t="s">
        <v>1009</v>
      </c>
      <c r="D650" t="s">
        <v>1010</v>
      </c>
      <c r="E650" t="s">
        <v>97</v>
      </c>
      <c r="G650" t="s">
        <v>18</v>
      </c>
      <c r="H650" s="4">
        <v>32751000</v>
      </c>
      <c r="I650" s="5">
        <v>256</v>
      </c>
      <c r="J650" s="5">
        <v>0</v>
      </c>
      <c r="K650" s="5">
        <v>8</v>
      </c>
      <c r="L650">
        <v>6.6</v>
      </c>
      <c r="M650">
        <v>3.5</v>
      </c>
      <c r="N650">
        <v>5.96</v>
      </c>
      <c r="O650" s="6">
        <v>13.3</v>
      </c>
      <c r="P650" s="7">
        <v>1.2</v>
      </c>
      <c r="U650" t="s">
        <v>84</v>
      </c>
      <c r="V650" t="s">
        <v>375</v>
      </c>
      <c r="W650">
        <v>2.2999999999999998</v>
      </c>
      <c r="X650" t="s">
        <v>84</v>
      </c>
      <c r="Y650" t="s">
        <v>130</v>
      </c>
      <c r="Z650" t="s">
        <v>100</v>
      </c>
      <c r="AA650" t="s">
        <v>101</v>
      </c>
      <c r="AB650" t="s">
        <v>115</v>
      </c>
      <c r="AC650">
        <v>1213</v>
      </c>
      <c r="AD650" s="8" t="b">
        <f>AND(
 H650&gt;=Filters!$B$3,
 H650&lt;=Filters!$B$4,
 I650&gt;=Filters!$B$5,
 OR(Filters!$B$6="All",B650=Filters!$B$6),
 F650&gt;=Filters!$B$7,
 F650&lt;=Filters!$B$8,
 OR(Filters!$B$9="All",G650=Filters!$B$9)
)</f>
        <v>0</v>
      </c>
      <c r="AE650">
        <f t="shared" si="130"/>
        <v>6</v>
      </c>
      <c r="AF650">
        <f t="shared" si="131"/>
        <v>7</v>
      </c>
      <c r="AG650">
        <f t="shared" si="132"/>
        <v>7</v>
      </c>
      <c r="AH650" s="9" t="str">
        <f t="shared" si="133"/>
        <v/>
      </c>
      <c r="AI650" s="9" t="str">
        <f t="shared" si="134"/>
        <v/>
      </c>
      <c r="AJ650" s="9" t="str">
        <f t="shared" si="135"/>
        <v/>
      </c>
      <c r="AK650" s="9" t="str">
        <f t="shared" si="136"/>
        <v/>
      </c>
      <c r="AL650" s="9" t="str">
        <f t="shared" si="137"/>
        <v/>
      </c>
      <c r="AM650" s="9" t="str">
        <f t="shared" si="138"/>
        <v/>
      </c>
      <c r="AN650" s="9" t="str">
        <f t="shared" si="139"/>
        <v/>
      </c>
      <c r="AO650" s="9" t="str">
        <f t="shared" si="140"/>
        <v/>
      </c>
      <c r="AP650" s="9" t="str">
        <f t="shared" si="141"/>
        <v/>
      </c>
      <c r="AQ650" s="10" t="str">
        <f t="shared" si="142"/>
        <v/>
      </c>
    </row>
    <row r="651" spans="1:43">
      <c r="A651">
        <v>650</v>
      </c>
      <c r="B651" t="s">
        <v>29</v>
      </c>
      <c r="C651" t="s">
        <v>820</v>
      </c>
      <c r="D651" t="s">
        <v>821</v>
      </c>
      <c r="E651" t="s">
        <v>83</v>
      </c>
      <c r="G651" t="s">
        <v>18</v>
      </c>
      <c r="H651" s="4">
        <v>42768000</v>
      </c>
      <c r="I651" s="5">
        <v>256</v>
      </c>
      <c r="J651" s="5">
        <v>0</v>
      </c>
      <c r="K651" s="5">
        <v>8</v>
      </c>
      <c r="L651">
        <v>9.4</v>
      </c>
      <c r="M651">
        <v>3.5</v>
      </c>
      <c r="N651">
        <v>6.33</v>
      </c>
      <c r="O651" s="6">
        <v>12.5</v>
      </c>
      <c r="P651" s="7">
        <v>1.36</v>
      </c>
      <c r="U651" t="s">
        <v>84</v>
      </c>
      <c r="V651" t="s">
        <v>140</v>
      </c>
      <c r="W651">
        <v>2.7</v>
      </c>
      <c r="X651" t="s">
        <v>84</v>
      </c>
      <c r="Y651" t="s">
        <v>99</v>
      </c>
      <c r="Z651" t="s">
        <v>100</v>
      </c>
      <c r="AA651" t="s">
        <v>128</v>
      </c>
      <c r="AB651" t="s">
        <v>115</v>
      </c>
      <c r="AC651">
        <v>1584</v>
      </c>
      <c r="AD651" s="8" t="b">
        <f>AND(
 H651&gt;=Filters!$B$3,
 H651&lt;=Filters!$B$4,
 I651&gt;=Filters!$B$5,
 OR(Filters!$B$6="All",B651=Filters!$B$6),
 F651&gt;=Filters!$B$7,
 F651&lt;=Filters!$B$8,
 OR(Filters!$B$9="All",G651=Filters!$B$9)
)</f>
        <v>0</v>
      </c>
      <c r="AE651">
        <f t="shared" si="130"/>
        <v>6</v>
      </c>
      <c r="AF651">
        <f t="shared" si="131"/>
        <v>7</v>
      </c>
      <c r="AG651">
        <f t="shared" si="132"/>
        <v>7</v>
      </c>
      <c r="AH651" s="9" t="str">
        <f t="shared" si="133"/>
        <v/>
      </c>
      <c r="AI651" s="9" t="str">
        <f t="shared" si="134"/>
        <v/>
      </c>
      <c r="AJ651" s="9" t="str">
        <f t="shared" si="135"/>
        <v/>
      </c>
      <c r="AK651" s="9" t="str">
        <f t="shared" si="136"/>
        <v/>
      </c>
      <c r="AL651" s="9" t="str">
        <f t="shared" si="137"/>
        <v/>
      </c>
      <c r="AM651" s="9" t="str">
        <f t="shared" si="138"/>
        <v/>
      </c>
      <c r="AN651" s="9" t="str">
        <f t="shared" si="139"/>
        <v/>
      </c>
      <c r="AO651" s="9" t="str">
        <f t="shared" si="140"/>
        <v/>
      </c>
      <c r="AP651" s="9" t="str">
        <f t="shared" si="141"/>
        <v/>
      </c>
      <c r="AQ651" s="10" t="str">
        <f t="shared" si="142"/>
        <v/>
      </c>
    </row>
    <row r="652" spans="1:43">
      <c r="A652">
        <v>651</v>
      </c>
      <c r="B652" t="s">
        <v>21</v>
      </c>
      <c r="C652" t="s">
        <v>1011</v>
      </c>
      <c r="D652" t="s">
        <v>1012</v>
      </c>
      <c r="E652" t="s">
        <v>158</v>
      </c>
      <c r="G652" t="s">
        <v>18</v>
      </c>
      <c r="H652" s="4">
        <v>75573000</v>
      </c>
      <c r="I652" s="5">
        <v>512</v>
      </c>
      <c r="J652" s="5">
        <v>0</v>
      </c>
      <c r="K652" s="5">
        <v>32</v>
      </c>
      <c r="L652">
        <v>9.4</v>
      </c>
      <c r="M652">
        <v>9.1999999999999993</v>
      </c>
      <c r="N652">
        <v>6.24</v>
      </c>
      <c r="O652" s="6">
        <v>17.3</v>
      </c>
      <c r="P652" s="7">
        <v>3.8</v>
      </c>
      <c r="U652" t="s">
        <v>84</v>
      </c>
      <c r="V652" t="s">
        <v>932</v>
      </c>
      <c r="W652">
        <v>2.7</v>
      </c>
      <c r="X652" t="s">
        <v>122</v>
      </c>
      <c r="Y652" t="s">
        <v>456</v>
      </c>
      <c r="Z652" t="s">
        <v>106</v>
      </c>
      <c r="AA652" t="s">
        <v>128</v>
      </c>
      <c r="AB652" t="s">
        <v>115</v>
      </c>
      <c r="AC652">
        <v>2799</v>
      </c>
      <c r="AD652" s="8" t="b">
        <f>AND(
 H652&gt;=Filters!$B$3,
 H652&lt;=Filters!$B$4,
 I652&gt;=Filters!$B$5,
 OR(Filters!$B$6="All",B652=Filters!$B$6),
 F652&gt;=Filters!$B$7,
 F652&lt;=Filters!$B$8,
 OR(Filters!$B$9="All",G652=Filters!$B$9)
)</f>
        <v>0</v>
      </c>
      <c r="AE652">
        <f t="shared" si="130"/>
        <v>6</v>
      </c>
      <c r="AF652">
        <f t="shared" si="131"/>
        <v>7</v>
      </c>
      <c r="AG652">
        <f t="shared" si="132"/>
        <v>7</v>
      </c>
      <c r="AH652" s="9" t="str">
        <f t="shared" si="133"/>
        <v/>
      </c>
      <c r="AI652" s="9" t="str">
        <f t="shared" si="134"/>
        <v/>
      </c>
      <c r="AJ652" s="9" t="str">
        <f t="shared" si="135"/>
        <v/>
      </c>
      <c r="AK652" s="9" t="str">
        <f t="shared" si="136"/>
        <v/>
      </c>
      <c r="AL652" s="9" t="str">
        <f t="shared" si="137"/>
        <v/>
      </c>
      <c r="AM652" s="9" t="str">
        <f t="shared" si="138"/>
        <v/>
      </c>
      <c r="AN652" s="9" t="str">
        <f t="shared" si="139"/>
        <v/>
      </c>
      <c r="AO652" s="9" t="str">
        <f t="shared" si="140"/>
        <v/>
      </c>
      <c r="AP652" s="9" t="str">
        <f t="shared" si="141"/>
        <v/>
      </c>
      <c r="AQ652" s="10" t="str">
        <f t="shared" si="142"/>
        <v/>
      </c>
    </row>
    <row r="653" spans="1:43">
      <c r="A653">
        <v>652</v>
      </c>
      <c r="B653" t="s">
        <v>17</v>
      </c>
      <c r="C653" t="s">
        <v>1013</v>
      </c>
      <c r="D653" t="s">
        <v>1014</v>
      </c>
      <c r="E653" t="s">
        <v>158</v>
      </c>
      <c r="G653" t="s">
        <v>18</v>
      </c>
      <c r="H653" s="4">
        <v>19143000</v>
      </c>
      <c r="I653" s="5">
        <v>0</v>
      </c>
      <c r="J653" s="5">
        <v>1024</v>
      </c>
      <c r="K653" s="5">
        <v>8</v>
      </c>
      <c r="L653">
        <v>7</v>
      </c>
      <c r="M653">
        <v>9.1999999999999993</v>
      </c>
      <c r="N653">
        <v>5.92</v>
      </c>
      <c r="O653" s="6">
        <v>15.6</v>
      </c>
      <c r="P653" s="7">
        <v>2.4</v>
      </c>
      <c r="U653" t="s">
        <v>84</v>
      </c>
      <c r="V653" t="s">
        <v>159</v>
      </c>
      <c r="W653">
        <v>2.5</v>
      </c>
      <c r="X653" t="s">
        <v>122</v>
      </c>
      <c r="Y653" t="s">
        <v>160</v>
      </c>
      <c r="Z653" t="s">
        <v>146</v>
      </c>
      <c r="AA653" t="s">
        <v>101</v>
      </c>
      <c r="AB653" t="s">
        <v>201</v>
      </c>
      <c r="AC653">
        <v>709</v>
      </c>
      <c r="AD653" s="8" t="b">
        <f>AND(
 H653&gt;=Filters!$B$3,
 H653&lt;=Filters!$B$4,
 I653&gt;=Filters!$B$5,
 OR(Filters!$B$6="All",B653=Filters!$B$6),
 F653&gt;=Filters!$B$7,
 F653&lt;=Filters!$B$8,
 OR(Filters!$B$9="All",G653=Filters!$B$9)
)</f>
        <v>0</v>
      </c>
      <c r="AE653">
        <f t="shared" si="130"/>
        <v>6</v>
      </c>
      <c r="AF653">
        <f t="shared" si="131"/>
        <v>7</v>
      </c>
      <c r="AG653">
        <f t="shared" si="132"/>
        <v>7</v>
      </c>
      <c r="AH653" s="9" t="str">
        <f t="shared" si="133"/>
        <v/>
      </c>
      <c r="AI653" s="9" t="str">
        <f t="shared" si="134"/>
        <v/>
      </c>
      <c r="AJ653" s="9" t="str">
        <f t="shared" si="135"/>
        <v/>
      </c>
      <c r="AK653" s="9" t="str">
        <f t="shared" si="136"/>
        <v/>
      </c>
      <c r="AL653" s="9" t="str">
        <f t="shared" si="137"/>
        <v/>
      </c>
      <c r="AM653" s="9" t="str">
        <f t="shared" si="138"/>
        <v/>
      </c>
      <c r="AN653" s="9" t="str">
        <f t="shared" si="139"/>
        <v/>
      </c>
      <c r="AO653" s="9" t="str">
        <f t="shared" si="140"/>
        <v/>
      </c>
      <c r="AP653" s="9" t="str">
        <f t="shared" si="141"/>
        <v/>
      </c>
      <c r="AQ653" s="10" t="str">
        <f t="shared" si="142"/>
        <v/>
      </c>
    </row>
    <row r="654" spans="1:43">
      <c r="A654">
        <v>653</v>
      </c>
      <c r="B654" t="s">
        <v>23</v>
      </c>
      <c r="C654" t="s">
        <v>147</v>
      </c>
      <c r="D654" t="s">
        <v>148</v>
      </c>
      <c r="E654" t="s">
        <v>83</v>
      </c>
      <c r="G654" t="s">
        <v>18</v>
      </c>
      <c r="H654" s="4">
        <v>39147300</v>
      </c>
      <c r="I654" s="5">
        <v>256</v>
      </c>
      <c r="J654" s="5">
        <v>0</v>
      </c>
      <c r="K654" s="5">
        <v>8</v>
      </c>
      <c r="L654">
        <v>5.2</v>
      </c>
      <c r="M654">
        <v>3.8</v>
      </c>
      <c r="N654">
        <v>5.96</v>
      </c>
      <c r="O654" s="6">
        <v>13.3</v>
      </c>
      <c r="P654" s="7">
        <v>1.2</v>
      </c>
      <c r="U654" t="s">
        <v>84</v>
      </c>
      <c r="V654" t="s">
        <v>126</v>
      </c>
      <c r="W654">
        <v>1.6</v>
      </c>
      <c r="X654" t="s">
        <v>84</v>
      </c>
      <c r="Y654" t="s">
        <v>127</v>
      </c>
      <c r="Z654" t="s">
        <v>100</v>
      </c>
      <c r="AA654" t="s">
        <v>101</v>
      </c>
      <c r="AB654" t="s">
        <v>115</v>
      </c>
      <c r="AC654">
        <v>1449.9</v>
      </c>
      <c r="AD654" s="8" t="b">
        <f>AND(
 H654&gt;=Filters!$B$3,
 H654&lt;=Filters!$B$4,
 I654&gt;=Filters!$B$5,
 OR(Filters!$B$6="All",B654=Filters!$B$6),
 F654&gt;=Filters!$B$7,
 F654&lt;=Filters!$B$8,
 OR(Filters!$B$9="All",G654=Filters!$B$9)
)</f>
        <v>0</v>
      </c>
      <c r="AE654">
        <f t="shared" si="130"/>
        <v>6</v>
      </c>
      <c r="AF654">
        <f t="shared" si="131"/>
        <v>7</v>
      </c>
      <c r="AG654">
        <f t="shared" si="132"/>
        <v>7</v>
      </c>
      <c r="AH654" s="9" t="str">
        <f t="shared" si="133"/>
        <v/>
      </c>
      <c r="AI654" s="9" t="str">
        <f t="shared" si="134"/>
        <v/>
      </c>
      <c r="AJ654" s="9" t="str">
        <f t="shared" si="135"/>
        <v/>
      </c>
      <c r="AK654" s="9" t="str">
        <f t="shared" si="136"/>
        <v/>
      </c>
      <c r="AL654" s="9" t="str">
        <f t="shared" si="137"/>
        <v/>
      </c>
      <c r="AM654" s="9" t="str">
        <f t="shared" si="138"/>
        <v/>
      </c>
      <c r="AN654" s="9" t="str">
        <f t="shared" si="139"/>
        <v/>
      </c>
      <c r="AO654" s="9" t="str">
        <f t="shared" si="140"/>
        <v/>
      </c>
      <c r="AP654" s="9" t="str">
        <f t="shared" si="141"/>
        <v/>
      </c>
      <c r="AQ654" s="10" t="str">
        <f t="shared" si="142"/>
        <v/>
      </c>
    </row>
    <row r="655" spans="1:43">
      <c r="A655">
        <v>654</v>
      </c>
      <c r="B655" t="s">
        <v>30</v>
      </c>
      <c r="C655" t="s">
        <v>1015</v>
      </c>
      <c r="D655" t="s">
        <v>1016</v>
      </c>
      <c r="E655" t="s">
        <v>158</v>
      </c>
      <c r="G655" t="s">
        <v>18</v>
      </c>
      <c r="H655" s="4">
        <v>32178600</v>
      </c>
      <c r="I655" s="5">
        <v>128</v>
      </c>
      <c r="J655" s="5">
        <v>1024</v>
      </c>
      <c r="K655" s="5">
        <v>8</v>
      </c>
      <c r="L655">
        <v>9.6</v>
      </c>
      <c r="M655">
        <v>9.1999999999999993</v>
      </c>
      <c r="N655">
        <v>5.92</v>
      </c>
      <c r="O655" s="6">
        <v>15.6</v>
      </c>
      <c r="P655" s="7">
        <v>2.2000000000000002</v>
      </c>
      <c r="U655" t="s">
        <v>84</v>
      </c>
      <c r="V655" t="s">
        <v>210</v>
      </c>
      <c r="W655">
        <v>2.8</v>
      </c>
      <c r="X655" t="s">
        <v>122</v>
      </c>
      <c r="Y655" t="s">
        <v>260</v>
      </c>
      <c r="Z655" t="s">
        <v>161</v>
      </c>
      <c r="AA655" t="s">
        <v>101</v>
      </c>
      <c r="AB655" t="s">
        <v>115</v>
      </c>
      <c r="AC655">
        <v>1191.8</v>
      </c>
      <c r="AD655" s="8" t="b">
        <f>AND(
 H655&gt;=Filters!$B$3,
 H655&lt;=Filters!$B$4,
 I655&gt;=Filters!$B$5,
 OR(Filters!$B$6="All",B655=Filters!$B$6),
 F655&gt;=Filters!$B$7,
 F655&lt;=Filters!$B$8,
 OR(Filters!$B$9="All",G655=Filters!$B$9)
)</f>
        <v>0</v>
      </c>
      <c r="AE655">
        <f t="shared" si="130"/>
        <v>6</v>
      </c>
      <c r="AF655">
        <f t="shared" si="131"/>
        <v>7</v>
      </c>
      <c r="AG655">
        <f t="shared" si="132"/>
        <v>7</v>
      </c>
      <c r="AH655" s="9" t="str">
        <f t="shared" si="133"/>
        <v/>
      </c>
      <c r="AI655" s="9" t="str">
        <f t="shared" si="134"/>
        <v/>
      </c>
      <c r="AJ655" s="9" t="str">
        <f t="shared" si="135"/>
        <v/>
      </c>
      <c r="AK655" s="9" t="str">
        <f t="shared" si="136"/>
        <v/>
      </c>
      <c r="AL655" s="9" t="str">
        <f t="shared" si="137"/>
        <v/>
      </c>
      <c r="AM655" s="9" t="str">
        <f t="shared" si="138"/>
        <v/>
      </c>
      <c r="AN655" s="9" t="str">
        <f t="shared" si="139"/>
        <v/>
      </c>
      <c r="AO655" s="9" t="str">
        <f t="shared" si="140"/>
        <v/>
      </c>
      <c r="AP655" s="9" t="str">
        <f t="shared" si="141"/>
        <v/>
      </c>
      <c r="AQ655" s="10" t="str">
        <f t="shared" si="142"/>
        <v/>
      </c>
    </row>
    <row r="656" spans="1:43">
      <c r="A656">
        <v>655</v>
      </c>
      <c r="B656" t="s">
        <v>26</v>
      </c>
      <c r="C656" t="s">
        <v>95</v>
      </c>
      <c r="D656" t="s">
        <v>96</v>
      </c>
      <c r="E656" t="s">
        <v>97</v>
      </c>
      <c r="G656" t="s">
        <v>18</v>
      </c>
      <c r="H656" s="4">
        <v>9852300</v>
      </c>
      <c r="I656" s="5">
        <v>0</v>
      </c>
      <c r="J656" s="5">
        <v>500</v>
      </c>
      <c r="K656" s="5">
        <v>4</v>
      </c>
      <c r="L656">
        <v>4</v>
      </c>
      <c r="M656">
        <v>3.5</v>
      </c>
      <c r="N656">
        <v>3.92</v>
      </c>
      <c r="O656" s="6">
        <v>15.6</v>
      </c>
      <c r="P656" s="7">
        <v>1.86</v>
      </c>
      <c r="U656" t="s">
        <v>84</v>
      </c>
      <c r="V656" t="s">
        <v>129</v>
      </c>
      <c r="W656">
        <v>2</v>
      </c>
      <c r="X656" t="s">
        <v>84</v>
      </c>
      <c r="Y656" t="s">
        <v>130</v>
      </c>
      <c r="Z656" t="s">
        <v>113</v>
      </c>
      <c r="AA656" t="s">
        <v>114</v>
      </c>
      <c r="AB656" t="s">
        <v>102</v>
      </c>
      <c r="AC656">
        <v>364.9</v>
      </c>
      <c r="AD656" s="8" t="b">
        <f>AND(
 H656&gt;=Filters!$B$3,
 H656&lt;=Filters!$B$4,
 I656&gt;=Filters!$B$5,
 OR(Filters!$B$6="All",B656=Filters!$B$6),
 F656&gt;=Filters!$B$7,
 F656&lt;=Filters!$B$8,
 OR(Filters!$B$9="All",G656=Filters!$B$9)
)</f>
        <v>0</v>
      </c>
      <c r="AE656">
        <f t="shared" si="130"/>
        <v>6</v>
      </c>
      <c r="AF656">
        <f t="shared" si="131"/>
        <v>7</v>
      </c>
      <c r="AG656">
        <f t="shared" si="132"/>
        <v>7</v>
      </c>
      <c r="AH656" s="9" t="str">
        <f t="shared" si="133"/>
        <v/>
      </c>
      <c r="AI656" s="9" t="str">
        <f t="shared" si="134"/>
        <v/>
      </c>
      <c r="AJ656" s="9" t="str">
        <f t="shared" si="135"/>
        <v/>
      </c>
      <c r="AK656" s="9" t="str">
        <f t="shared" si="136"/>
        <v/>
      </c>
      <c r="AL656" s="9" t="str">
        <f t="shared" si="137"/>
        <v/>
      </c>
      <c r="AM656" s="9" t="str">
        <f t="shared" si="138"/>
        <v/>
      </c>
      <c r="AN656" s="9" t="str">
        <f t="shared" si="139"/>
        <v/>
      </c>
      <c r="AO656" s="9" t="str">
        <f t="shared" si="140"/>
        <v/>
      </c>
      <c r="AP656" s="9" t="str">
        <f t="shared" si="141"/>
        <v/>
      </c>
      <c r="AQ656" s="10" t="str">
        <f t="shared" si="142"/>
        <v/>
      </c>
    </row>
    <row r="657" spans="1:43">
      <c r="A657">
        <v>656</v>
      </c>
      <c r="B657" t="s">
        <v>35</v>
      </c>
      <c r="C657" t="s">
        <v>1017</v>
      </c>
      <c r="D657" t="s">
        <v>1018</v>
      </c>
      <c r="E657" t="s">
        <v>97</v>
      </c>
      <c r="G657" t="s">
        <v>18</v>
      </c>
      <c r="H657" s="4">
        <v>28728000</v>
      </c>
      <c r="I657" s="5">
        <v>0</v>
      </c>
      <c r="J657" s="5">
        <v>500</v>
      </c>
      <c r="K657" s="5">
        <v>8</v>
      </c>
      <c r="L657">
        <v>7</v>
      </c>
      <c r="M657">
        <v>3.5</v>
      </c>
      <c r="N657">
        <v>6.32</v>
      </c>
      <c r="O657" s="6">
        <v>15.6</v>
      </c>
      <c r="P657" s="7">
        <v>2</v>
      </c>
      <c r="U657" t="s">
        <v>84</v>
      </c>
      <c r="V657" t="s">
        <v>98</v>
      </c>
      <c r="W657">
        <v>2.5</v>
      </c>
      <c r="X657" t="s">
        <v>84</v>
      </c>
      <c r="Y657" t="s">
        <v>99</v>
      </c>
      <c r="Z657" t="s">
        <v>113</v>
      </c>
      <c r="AA657" t="s">
        <v>128</v>
      </c>
      <c r="AB657" t="s">
        <v>115</v>
      </c>
      <c r="AC657">
        <v>1064</v>
      </c>
      <c r="AD657" s="8" t="b">
        <f>AND(
 H657&gt;=Filters!$B$3,
 H657&lt;=Filters!$B$4,
 I657&gt;=Filters!$B$5,
 OR(Filters!$B$6="All",B657=Filters!$B$6),
 F657&gt;=Filters!$B$7,
 F657&lt;=Filters!$B$8,
 OR(Filters!$B$9="All",G657=Filters!$B$9)
)</f>
        <v>0</v>
      </c>
      <c r="AE657">
        <f t="shared" si="130"/>
        <v>6</v>
      </c>
      <c r="AF657">
        <f t="shared" si="131"/>
        <v>7</v>
      </c>
      <c r="AG657">
        <f t="shared" si="132"/>
        <v>7</v>
      </c>
      <c r="AH657" s="9" t="str">
        <f t="shared" si="133"/>
        <v/>
      </c>
      <c r="AI657" s="9" t="str">
        <f t="shared" si="134"/>
        <v/>
      </c>
      <c r="AJ657" s="9" t="str">
        <f t="shared" si="135"/>
        <v/>
      </c>
      <c r="AK657" s="9" t="str">
        <f t="shared" si="136"/>
        <v/>
      </c>
      <c r="AL657" s="9" t="str">
        <f t="shared" si="137"/>
        <v/>
      </c>
      <c r="AM657" s="9" t="str">
        <f t="shared" si="138"/>
        <v/>
      </c>
      <c r="AN657" s="9" t="str">
        <f t="shared" si="139"/>
        <v/>
      </c>
      <c r="AO657" s="9" t="str">
        <f t="shared" si="140"/>
        <v/>
      </c>
      <c r="AP657" s="9" t="str">
        <f t="shared" si="141"/>
        <v/>
      </c>
      <c r="AQ657" s="10" t="str">
        <f t="shared" si="142"/>
        <v/>
      </c>
    </row>
    <row r="658" spans="1:43">
      <c r="A658">
        <v>657</v>
      </c>
      <c r="B658" t="s">
        <v>23</v>
      </c>
      <c r="C658" t="s">
        <v>174</v>
      </c>
      <c r="D658" t="s">
        <v>175</v>
      </c>
      <c r="E658" t="s">
        <v>97</v>
      </c>
      <c r="G658" t="s">
        <v>18</v>
      </c>
      <c r="H658" s="4">
        <v>24813000</v>
      </c>
      <c r="I658" s="5">
        <v>256</v>
      </c>
      <c r="J658" s="5">
        <v>0</v>
      </c>
      <c r="K658" s="5">
        <v>8</v>
      </c>
      <c r="L658">
        <v>7.6</v>
      </c>
      <c r="M658">
        <v>6.5</v>
      </c>
      <c r="N658">
        <v>5.92</v>
      </c>
      <c r="O658" s="6">
        <v>15.6</v>
      </c>
      <c r="P658" s="7">
        <v>2.2000000000000002</v>
      </c>
      <c r="U658" t="s">
        <v>84</v>
      </c>
      <c r="V658" t="s">
        <v>121</v>
      </c>
      <c r="W658">
        <v>1.8</v>
      </c>
      <c r="X658" t="s">
        <v>104</v>
      </c>
      <c r="Y658" t="s">
        <v>176</v>
      </c>
      <c r="Z658" t="s">
        <v>100</v>
      </c>
      <c r="AA658" t="s">
        <v>101</v>
      </c>
      <c r="AB658" t="s">
        <v>115</v>
      </c>
      <c r="AC658">
        <v>919</v>
      </c>
      <c r="AD658" s="8" t="b">
        <f>AND(
 H658&gt;=Filters!$B$3,
 H658&lt;=Filters!$B$4,
 I658&gt;=Filters!$B$5,
 OR(Filters!$B$6="All",B658=Filters!$B$6),
 F658&gt;=Filters!$B$7,
 F658&lt;=Filters!$B$8,
 OR(Filters!$B$9="All",G658=Filters!$B$9)
)</f>
        <v>1</v>
      </c>
      <c r="AE658">
        <f t="shared" si="130"/>
        <v>6</v>
      </c>
      <c r="AF658">
        <f t="shared" si="131"/>
        <v>7</v>
      </c>
      <c r="AG658">
        <f t="shared" si="132"/>
        <v>7</v>
      </c>
      <c r="AH658" s="9">
        <f t="shared" si="133"/>
        <v>0.76190476190476186</v>
      </c>
      <c r="AI658" s="9">
        <f t="shared" si="134"/>
        <v>0.80952380952380942</v>
      </c>
      <c r="AJ658" s="9">
        <f t="shared" si="135"/>
        <v>0.63095238095238093</v>
      </c>
      <c r="AK658" s="9">
        <f t="shared" si="136"/>
        <v>0.56190476190476191</v>
      </c>
      <c r="AL658" s="9">
        <f t="shared" si="137"/>
        <v>0.88095238095238082</v>
      </c>
      <c r="AM658" s="9">
        <f t="shared" si="138"/>
        <v>0.5714285714285714</v>
      </c>
      <c r="AN658" s="9">
        <f t="shared" si="139"/>
        <v>0.69047619047619047</v>
      </c>
      <c r="AO658" s="9">
        <f t="shared" si="140"/>
        <v>0.69047619047619047</v>
      </c>
      <c r="AP658" s="9">
        <f t="shared" si="141"/>
        <v>0.70552561321438378</v>
      </c>
      <c r="AQ658" s="10">
        <f t="shared" si="142"/>
        <v>0.70552627121438383</v>
      </c>
    </row>
    <row r="659" spans="1:43">
      <c r="A659">
        <v>658</v>
      </c>
      <c r="B659" t="s">
        <v>23</v>
      </c>
      <c r="C659" t="s">
        <v>174</v>
      </c>
      <c r="D659" t="s">
        <v>175</v>
      </c>
      <c r="E659" t="s">
        <v>97</v>
      </c>
      <c r="G659" t="s">
        <v>18</v>
      </c>
      <c r="H659" s="4">
        <v>30645000</v>
      </c>
      <c r="I659" s="5">
        <v>256</v>
      </c>
      <c r="J659" s="5">
        <v>2048</v>
      </c>
      <c r="K659" s="5">
        <v>16</v>
      </c>
      <c r="L659">
        <v>7.6</v>
      </c>
      <c r="M659">
        <v>6.5</v>
      </c>
      <c r="N659">
        <v>5.92</v>
      </c>
      <c r="O659" s="6">
        <v>15.6</v>
      </c>
      <c r="P659" s="7">
        <v>2.2000000000000002</v>
      </c>
      <c r="U659" t="s">
        <v>84</v>
      </c>
      <c r="V659" t="s">
        <v>121</v>
      </c>
      <c r="W659">
        <v>1.8</v>
      </c>
      <c r="X659" t="s">
        <v>104</v>
      </c>
      <c r="Y659" t="s">
        <v>176</v>
      </c>
      <c r="Z659" t="s">
        <v>249</v>
      </c>
      <c r="AA659" t="s">
        <v>101</v>
      </c>
      <c r="AB659" t="s">
        <v>115</v>
      </c>
      <c r="AC659">
        <v>1135</v>
      </c>
      <c r="AD659" s="8" t="b">
        <f>AND(
 H659&gt;=Filters!$B$3,
 H659&lt;=Filters!$B$4,
 I659&gt;=Filters!$B$5,
 OR(Filters!$B$6="All",B659=Filters!$B$6),
 F659&gt;=Filters!$B$7,
 F659&lt;=Filters!$B$8,
 OR(Filters!$B$9="All",G659=Filters!$B$9)
)</f>
        <v>0</v>
      </c>
      <c r="AE659">
        <f t="shared" si="130"/>
        <v>6</v>
      </c>
      <c r="AF659">
        <f t="shared" si="131"/>
        <v>7</v>
      </c>
      <c r="AG659">
        <f t="shared" si="132"/>
        <v>7</v>
      </c>
      <c r="AH659" s="9" t="str">
        <f t="shared" si="133"/>
        <v/>
      </c>
      <c r="AI659" s="9" t="str">
        <f t="shared" si="134"/>
        <v/>
      </c>
      <c r="AJ659" s="9" t="str">
        <f t="shared" si="135"/>
        <v/>
      </c>
      <c r="AK659" s="9" t="str">
        <f t="shared" si="136"/>
        <v/>
      </c>
      <c r="AL659" s="9" t="str">
        <f t="shared" si="137"/>
        <v/>
      </c>
      <c r="AM659" s="9" t="str">
        <f t="shared" si="138"/>
        <v/>
      </c>
      <c r="AN659" s="9" t="str">
        <f t="shared" si="139"/>
        <v/>
      </c>
      <c r="AO659" s="9" t="str">
        <f t="shared" si="140"/>
        <v/>
      </c>
      <c r="AP659" s="9" t="str">
        <f t="shared" si="141"/>
        <v/>
      </c>
      <c r="AQ659" s="10" t="str">
        <f t="shared" si="142"/>
        <v/>
      </c>
    </row>
    <row r="660" spans="1:43">
      <c r="A660">
        <v>659</v>
      </c>
      <c r="B660" t="s">
        <v>29</v>
      </c>
      <c r="C660" t="s">
        <v>1019</v>
      </c>
      <c r="D660" t="s">
        <v>1020</v>
      </c>
      <c r="E660" t="s">
        <v>158</v>
      </c>
      <c r="G660" t="s">
        <v>18</v>
      </c>
      <c r="H660" s="4">
        <v>32292000</v>
      </c>
      <c r="I660" s="5">
        <v>128</v>
      </c>
      <c r="J660" s="5">
        <v>1024</v>
      </c>
      <c r="K660" s="5">
        <v>8</v>
      </c>
      <c r="L660">
        <v>9.1999999999999993</v>
      </c>
      <c r="M660">
        <v>9.1999999999999993</v>
      </c>
      <c r="N660">
        <v>6.32</v>
      </c>
      <c r="O660" s="6">
        <v>15.6</v>
      </c>
      <c r="P660" s="7">
        <v>3.31</v>
      </c>
      <c r="U660" t="s">
        <v>84</v>
      </c>
      <c r="V660" t="s">
        <v>808</v>
      </c>
      <c r="W660">
        <v>2.6</v>
      </c>
      <c r="X660" t="s">
        <v>122</v>
      </c>
      <c r="Y660" t="s">
        <v>1021</v>
      </c>
      <c r="Z660" t="s">
        <v>161</v>
      </c>
      <c r="AA660" t="s">
        <v>128</v>
      </c>
      <c r="AB660" t="s">
        <v>115</v>
      </c>
      <c r="AC660">
        <v>1196</v>
      </c>
      <c r="AD660" s="8" t="b">
        <f>AND(
 H660&gt;=Filters!$B$3,
 H660&lt;=Filters!$B$4,
 I660&gt;=Filters!$B$5,
 OR(Filters!$B$6="All",B660=Filters!$B$6),
 F660&gt;=Filters!$B$7,
 F660&lt;=Filters!$B$8,
 OR(Filters!$B$9="All",G660=Filters!$B$9)
)</f>
        <v>0</v>
      </c>
      <c r="AE660">
        <f t="shared" si="130"/>
        <v>6</v>
      </c>
      <c r="AF660">
        <f t="shared" si="131"/>
        <v>7</v>
      </c>
      <c r="AG660">
        <f t="shared" si="132"/>
        <v>7</v>
      </c>
      <c r="AH660" s="9" t="str">
        <f t="shared" si="133"/>
        <v/>
      </c>
      <c r="AI660" s="9" t="str">
        <f t="shared" si="134"/>
        <v/>
      </c>
      <c r="AJ660" s="9" t="str">
        <f t="shared" si="135"/>
        <v/>
      </c>
      <c r="AK660" s="9" t="str">
        <f t="shared" si="136"/>
        <v/>
      </c>
      <c r="AL660" s="9" t="str">
        <f t="shared" si="137"/>
        <v/>
      </c>
      <c r="AM660" s="9" t="str">
        <f t="shared" si="138"/>
        <v/>
      </c>
      <c r="AN660" s="9" t="str">
        <f t="shared" si="139"/>
        <v/>
      </c>
      <c r="AO660" s="9" t="str">
        <f t="shared" si="140"/>
        <v/>
      </c>
      <c r="AP660" s="9" t="str">
        <f t="shared" si="141"/>
        <v/>
      </c>
      <c r="AQ660" s="10" t="str">
        <f t="shared" si="142"/>
        <v/>
      </c>
    </row>
    <row r="661" spans="1:43">
      <c r="A661">
        <v>660</v>
      </c>
      <c r="B661" t="s">
        <v>23</v>
      </c>
      <c r="C661" t="s">
        <v>486</v>
      </c>
      <c r="D661" t="s">
        <v>487</v>
      </c>
      <c r="E661" t="s">
        <v>158</v>
      </c>
      <c r="G661" t="s">
        <v>18</v>
      </c>
      <c r="H661" s="4">
        <v>84978990</v>
      </c>
      <c r="I661" s="5">
        <v>512</v>
      </c>
      <c r="J661" s="5">
        <v>1024</v>
      </c>
      <c r="K661" s="5">
        <v>32</v>
      </c>
      <c r="L661">
        <v>9.6</v>
      </c>
      <c r="M661">
        <v>9.1999999999999993</v>
      </c>
      <c r="N661">
        <v>9.73</v>
      </c>
      <c r="O661" s="6">
        <v>17.3</v>
      </c>
      <c r="P661" s="7">
        <v>4.42</v>
      </c>
      <c r="U661" t="s">
        <v>84</v>
      </c>
      <c r="V661" t="s">
        <v>210</v>
      </c>
      <c r="W661">
        <v>2.8</v>
      </c>
      <c r="X661" t="s">
        <v>122</v>
      </c>
      <c r="Y661" t="s">
        <v>248</v>
      </c>
      <c r="Z661" t="s">
        <v>428</v>
      </c>
      <c r="AA661" t="s">
        <v>459</v>
      </c>
      <c r="AB661" t="s">
        <v>115</v>
      </c>
      <c r="AC661">
        <v>3147.37</v>
      </c>
      <c r="AD661" s="8" t="b">
        <f>AND(
 H661&gt;=Filters!$B$3,
 H661&lt;=Filters!$B$4,
 I661&gt;=Filters!$B$5,
 OR(Filters!$B$6="All",B661=Filters!$B$6),
 F661&gt;=Filters!$B$7,
 F661&lt;=Filters!$B$8,
 OR(Filters!$B$9="All",G661=Filters!$B$9)
)</f>
        <v>0</v>
      </c>
      <c r="AE661">
        <f t="shared" si="130"/>
        <v>6</v>
      </c>
      <c r="AF661">
        <f t="shared" si="131"/>
        <v>7</v>
      </c>
      <c r="AG661">
        <f t="shared" si="132"/>
        <v>7</v>
      </c>
      <c r="AH661" s="9" t="str">
        <f t="shared" si="133"/>
        <v/>
      </c>
      <c r="AI661" s="9" t="str">
        <f t="shared" si="134"/>
        <v/>
      </c>
      <c r="AJ661" s="9" t="str">
        <f t="shared" si="135"/>
        <v/>
      </c>
      <c r="AK661" s="9" t="str">
        <f t="shared" si="136"/>
        <v/>
      </c>
      <c r="AL661" s="9" t="str">
        <f t="shared" si="137"/>
        <v/>
      </c>
      <c r="AM661" s="9" t="str">
        <f t="shared" si="138"/>
        <v/>
      </c>
      <c r="AN661" s="9" t="str">
        <f t="shared" si="139"/>
        <v/>
      </c>
      <c r="AO661" s="9" t="str">
        <f t="shared" si="140"/>
        <v/>
      </c>
      <c r="AP661" s="9" t="str">
        <f t="shared" si="141"/>
        <v/>
      </c>
      <c r="AQ661" s="10" t="str">
        <f t="shared" si="142"/>
        <v/>
      </c>
    </row>
    <row r="662" spans="1:43">
      <c r="A662">
        <v>661</v>
      </c>
      <c r="B662" t="s">
        <v>23</v>
      </c>
      <c r="C662" t="s">
        <v>1022</v>
      </c>
      <c r="D662" t="s">
        <v>1023</v>
      </c>
      <c r="E662" t="s">
        <v>97</v>
      </c>
      <c r="G662" t="s">
        <v>18</v>
      </c>
      <c r="H662" s="4">
        <v>33183000</v>
      </c>
      <c r="I662" s="5">
        <v>256</v>
      </c>
      <c r="J662" s="5">
        <v>0</v>
      </c>
      <c r="K662" s="5">
        <v>8</v>
      </c>
      <c r="L662">
        <v>6.8</v>
      </c>
      <c r="M662">
        <v>3.5</v>
      </c>
      <c r="N662">
        <v>6</v>
      </c>
      <c r="O662" s="6">
        <v>14</v>
      </c>
      <c r="P662" s="7">
        <v>1.56</v>
      </c>
      <c r="U662" t="s">
        <v>84</v>
      </c>
      <c r="V662" t="s">
        <v>1024</v>
      </c>
      <c r="W662">
        <v>2.4</v>
      </c>
      <c r="X662" t="s">
        <v>84</v>
      </c>
      <c r="Y662" t="s">
        <v>130</v>
      </c>
      <c r="Z662" t="s">
        <v>100</v>
      </c>
      <c r="AA662" t="s">
        <v>101</v>
      </c>
      <c r="AB662" t="s">
        <v>115</v>
      </c>
      <c r="AC662">
        <v>1229</v>
      </c>
      <c r="AD662" s="8" t="b">
        <f>AND(
 H662&gt;=Filters!$B$3,
 H662&lt;=Filters!$B$4,
 I662&gt;=Filters!$B$5,
 OR(Filters!$B$6="All",B662=Filters!$B$6),
 F662&gt;=Filters!$B$7,
 F662&lt;=Filters!$B$8,
 OR(Filters!$B$9="All",G662=Filters!$B$9)
)</f>
        <v>0</v>
      </c>
      <c r="AE662">
        <f t="shared" si="130"/>
        <v>6</v>
      </c>
      <c r="AF662">
        <f t="shared" si="131"/>
        <v>7</v>
      </c>
      <c r="AG662">
        <f t="shared" si="132"/>
        <v>7</v>
      </c>
      <c r="AH662" s="9" t="str">
        <f t="shared" si="133"/>
        <v/>
      </c>
      <c r="AI662" s="9" t="str">
        <f t="shared" si="134"/>
        <v/>
      </c>
      <c r="AJ662" s="9" t="str">
        <f t="shared" si="135"/>
        <v/>
      </c>
      <c r="AK662" s="9" t="str">
        <f t="shared" si="136"/>
        <v/>
      </c>
      <c r="AL662" s="9" t="str">
        <f t="shared" si="137"/>
        <v/>
      </c>
      <c r="AM662" s="9" t="str">
        <f t="shared" si="138"/>
        <v/>
      </c>
      <c r="AN662" s="9" t="str">
        <f t="shared" si="139"/>
        <v/>
      </c>
      <c r="AO662" s="9" t="str">
        <f t="shared" si="140"/>
        <v/>
      </c>
      <c r="AP662" s="9" t="str">
        <f t="shared" si="141"/>
        <v/>
      </c>
      <c r="AQ662" s="10" t="str">
        <f t="shared" si="142"/>
        <v/>
      </c>
    </row>
    <row r="663" spans="1:43">
      <c r="A663">
        <v>662</v>
      </c>
      <c r="B663" t="s">
        <v>29</v>
      </c>
      <c r="C663" t="s">
        <v>1025</v>
      </c>
      <c r="D663" t="s">
        <v>1026</v>
      </c>
      <c r="E663" t="s">
        <v>97</v>
      </c>
      <c r="G663" t="s">
        <v>18</v>
      </c>
      <c r="H663" s="4">
        <v>11313000</v>
      </c>
      <c r="I663" s="5">
        <v>0</v>
      </c>
      <c r="J663" s="5">
        <v>500</v>
      </c>
      <c r="K663" s="5">
        <v>4</v>
      </c>
      <c r="L663">
        <v>1</v>
      </c>
      <c r="M663">
        <v>3.5</v>
      </c>
      <c r="N663">
        <v>3.92</v>
      </c>
      <c r="O663" s="6">
        <v>15.6</v>
      </c>
      <c r="P663" s="7">
        <v>2.2000000000000002</v>
      </c>
      <c r="U663" t="s">
        <v>84</v>
      </c>
      <c r="V663" t="s">
        <v>198</v>
      </c>
      <c r="W663">
        <v>1.1000000000000001</v>
      </c>
      <c r="X663" t="s">
        <v>84</v>
      </c>
      <c r="Y663" t="s">
        <v>199</v>
      </c>
      <c r="Z663" t="s">
        <v>113</v>
      </c>
      <c r="AA663" t="s">
        <v>114</v>
      </c>
      <c r="AB663" t="s">
        <v>115</v>
      </c>
      <c r="AC663">
        <v>419</v>
      </c>
      <c r="AD663" s="8" t="b">
        <f>AND(
 H663&gt;=Filters!$B$3,
 H663&lt;=Filters!$B$4,
 I663&gt;=Filters!$B$5,
 OR(Filters!$B$6="All",B663=Filters!$B$6),
 F663&gt;=Filters!$B$7,
 F663&lt;=Filters!$B$8,
 OR(Filters!$B$9="All",G663=Filters!$B$9)
)</f>
        <v>0</v>
      </c>
      <c r="AE663">
        <f t="shared" si="130"/>
        <v>6</v>
      </c>
      <c r="AF663">
        <f t="shared" si="131"/>
        <v>7</v>
      </c>
      <c r="AG663">
        <f t="shared" si="132"/>
        <v>7</v>
      </c>
      <c r="AH663" s="9" t="str">
        <f t="shared" si="133"/>
        <v/>
      </c>
      <c r="AI663" s="9" t="str">
        <f t="shared" si="134"/>
        <v/>
      </c>
      <c r="AJ663" s="9" t="str">
        <f t="shared" si="135"/>
        <v/>
      </c>
      <c r="AK663" s="9" t="str">
        <f t="shared" si="136"/>
        <v/>
      </c>
      <c r="AL663" s="9" t="str">
        <f t="shared" si="137"/>
        <v/>
      </c>
      <c r="AM663" s="9" t="str">
        <f t="shared" si="138"/>
        <v/>
      </c>
      <c r="AN663" s="9" t="str">
        <f t="shared" si="139"/>
        <v/>
      </c>
      <c r="AO663" s="9" t="str">
        <f t="shared" si="140"/>
        <v/>
      </c>
      <c r="AP663" s="9" t="str">
        <f t="shared" si="141"/>
        <v/>
      </c>
      <c r="AQ663" s="10" t="str">
        <f t="shared" si="142"/>
        <v/>
      </c>
    </row>
    <row r="664" spans="1:43">
      <c r="A664">
        <v>663</v>
      </c>
      <c r="B664" t="s">
        <v>29</v>
      </c>
      <c r="C664" t="s">
        <v>221</v>
      </c>
      <c r="D664" t="s">
        <v>222</v>
      </c>
      <c r="E664" t="s">
        <v>97</v>
      </c>
      <c r="G664" t="s">
        <v>18</v>
      </c>
      <c r="H664" s="4">
        <v>14445000</v>
      </c>
      <c r="I664" s="5">
        <v>0</v>
      </c>
      <c r="J664" s="5">
        <v>500</v>
      </c>
      <c r="K664" s="5">
        <v>4</v>
      </c>
      <c r="L664">
        <v>6.6</v>
      </c>
      <c r="M664">
        <v>3.5</v>
      </c>
      <c r="N664">
        <v>5.92</v>
      </c>
      <c r="O664" s="6">
        <v>15.6</v>
      </c>
      <c r="P664" s="7">
        <v>2.2000000000000002</v>
      </c>
      <c r="U664" t="s">
        <v>84</v>
      </c>
      <c r="V664" t="s">
        <v>375</v>
      </c>
      <c r="W664">
        <v>2.2999999999999998</v>
      </c>
      <c r="X664" t="s">
        <v>84</v>
      </c>
      <c r="Y664" t="s">
        <v>130</v>
      </c>
      <c r="Z664" t="s">
        <v>113</v>
      </c>
      <c r="AA664" t="s">
        <v>101</v>
      </c>
      <c r="AB664" t="s">
        <v>115</v>
      </c>
      <c r="AC664">
        <v>535</v>
      </c>
      <c r="AD664" s="8" t="b">
        <f>AND(
 H664&gt;=Filters!$B$3,
 H664&lt;=Filters!$B$4,
 I664&gt;=Filters!$B$5,
 OR(Filters!$B$6="All",B664=Filters!$B$6),
 F664&gt;=Filters!$B$7,
 F664&lt;=Filters!$B$8,
 OR(Filters!$B$9="All",G664=Filters!$B$9)
)</f>
        <v>0</v>
      </c>
      <c r="AE664">
        <f t="shared" si="130"/>
        <v>6</v>
      </c>
      <c r="AF664">
        <f t="shared" si="131"/>
        <v>7</v>
      </c>
      <c r="AG664">
        <f t="shared" si="132"/>
        <v>7</v>
      </c>
      <c r="AH664" s="9" t="str">
        <f t="shared" si="133"/>
        <v/>
      </c>
      <c r="AI664" s="9" t="str">
        <f t="shared" si="134"/>
        <v/>
      </c>
      <c r="AJ664" s="9" t="str">
        <f t="shared" si="135"/>
        <v/>
      </c>
      <c r="AK664" s="9" t="str">
        <f t="shared" si="136"/>
        <v/>
      </c>
      <c r="AL664" s="9" t="str">
        <f t="shared" si="137"/>
        <v/>
      </c>
      <c r="AM664" s="9" t="str">
        <f t="shared" si="138"/>
        <v/>
      </c>
      <c r="AN664" s="9" t="str">
        <f t="shared" si="139"/>
        <v/>
      </c>
      <c r="AO664" s="9" t="str">
        <f t="shared" si="140"/>
        <v/>
      </c>
      <c r="AP664" s="9" t="str">
        <f t="shared" si="141"/>
        <v/>
      </c>
      <c r="AQ664" s="10" t="str">
        <f t="shared" si="142"/>
        <v/>
      </c>
    </row>
    <row r="665" spans="1:43">
      <c r="A665">
        <v>664</v>
      </c>
      <c r="B665" t="s">
        <v>26</v>
      </c>
      <c r="C665" t="s">
        <v>1027</v>
      </c>
      <c r="D665" t="s">
        <v>1028</v>
      </c>
      <c r="E665" t="s">
        <v>97</v>
      </c>
      <c r="G665" t="s">
        <v>18</v>
      </c>
      <c r="H665" s="4">
        <v>14553000</v>
      </c>
      <c r="I665" s="5">
        <v>0</v>
      </c>
      <c r="J665" s="5">
        <v>1024</v>
      </c>
      <c r="K665" s="5">
        <v>6</v>
      </c>
      <c r="L665">
        <v>4</v>
      </c>
      <c r="M665">
        <v>6.5</v>
      </c>
      <c r="N665">
        <v>5.92</v>
      </c>
      <c r="O665" s="6">
        <v>15.6</v>
      </c>
      <c r="P665" s="7">
        <v>2.04</v>
      </c>
      <c r="U665" t="s">
        <v>84</v>
      </c>
      <c r="V665" t="s">
        <v>129</v>
      </c>
      <c r="W665">
        <v>2</v>
      </c>
      <c r="X665" t="s">
        <v>104</v>
      </c>
      <c r="Y665" t="s">
        <v>134</v>
      </c>
      <c r="Z665" t="s">
        <v>146</v>
      </c>
      <c r="AA665" t="s">
        <v>1029</v>
      </c>
      <c r="AB665" t="s">
        <v>115</v>
      </c>
      <c r="AC665">
        <v>539</v>
      </c>
      <c r="AD665" s="8" t="b">
        <f>AND(
 H665&gt;=Filters!$B$3,
 H665&lt;=Filters!$B$4,
 I665&gt;=Filters!$B$5,
 OR(Filters!$B$6="All",B665=Filters!$B$6),
 F665&gt;=Filters!$B$7,
 F665&lt;=Filters!$B$8,
 OR(Filters!$B$9="All",G665=Filters!$B$9)
)</f>
        <v>0</v>
      </c>
      <c r="AE665">
        <f t="shared" si="130"/>
        <v>6</v>
      </c>
      <c r="AF665">
        <f t="shared" si="131"/>
        <v>7</v>
      </c>
      <c r="AG665">
        <f t="shared" si="132"/>
        <v>7</v>
      </c>
      <c r="AH665" s="9" t="str">
        <f t="shared" si="133"/>
        <v/>
      </c>
      <c r="AI665" s="9" t="str">
        <f t="shared" si="134"/>
        <v/>
      </c>
      <c r="AJ665" s="9" t="str">
        <f t="shared" si="135"/>
        <v/>
      </c>
      <c r="AK665" s="9" t="str">
        <f t="shared" si="136"/>
        <v/>
      </c>
      <c r="AL665" s="9" t="str">
        <f t="shared" si="137"/>
        <v/>
      </c>
      <c r="AM665" s="9" t="str">
        <f t="shared" si="138"/>
        <v/>
      </c>
      <c r="AN665" s="9" t="str">
        <f t="shared" si="139"/>
        <v/>
      </c>
      <c r="AO665" s="9" t="str">
        <f t="shared" si="140"/>
        <v/>
      </c>
      <c r="AP665" s="9" t="str">
        <f t="shared" si="141"/>
        <v/>
      </c>
      <c r="AQ665" s="10" t="str">
        <f t="shared" si="142"/>
        <v/>
      </c>
    </row>
    <row r="666" spans="1:43">
      <c r="A666">
        <v>665</v>
      </c>
      <c r="B666" t="s">
        <v>30</v>
      </c>
      <c r="C666" t="s">
        <v>1030</v>
      </c>
      <c r="D666" t="s">
        <v>1031</v>
      </c>
      <c r="E666" t="s">
        <v>158</v>
      </c>
      <c r="G666" t="s">
        <v>18</v>
      </c>
      <c r="H666" s="4">
        <v>40142790</v>
      </c>
      <c r="I666" s="5">
        <v>128</v>
      </c>
      <c r="J666" s="5">
        <v>1024</v>
      </c>
      <c r="K666" s="5">
        <v>8</v>
      </c>
      <c r="L666">
        <v>9.6</v>
      </c>
      <c r="M666">
        <v>9.1999999999999993</v>
      </c>
      <c r="N666">
        <v>5.83</v>
      </c>
      <c r="O666" s="6">
        <v>17.3</v>
      </c>
      <c r="P666" s="7">
        <v>2.7</v>
      </c>
      <c r="U666" t="s">
        <v>84</v>
      </c>
      <c r="V666" t="s">
        <v>210</v>
      </c>
      <c r="W666">
        <v>2.8</v>
      </c>
      <c r="X666" t="s">
        <v>122</v>
      </c>
      <c r="Y666" t="s">
        <v>211</v>
      </c>
      <c r="Z666" t="s">
        <v>161</v>
      </c>
      <c r="AA666" t="s">
        <v>101</v>
      </c>
      <c r="AB666" t="s">
        <v>115</v>
      </c>
      <c r="AC666">
        <v>1486.77</v>
      </c>
      <c r="AD666" s="8" t="b">
        <f>AND(
 H666&gt;=Filters!$B$3,
 H666&lt;=Filters!$B$4,
 I666&gt;=Filters!$B$5,
 OR(Filters!$B$6="All",B666=Filters!$B$6),
 F666&gt;=Filters!$B$7,
 F666&lt;=Filters!$B$8,
 OR(Filters!$B$9="All",G666=Filters!$B$9)
)</f>
        <v>0</v>
      </c>
      <c r="AE666">
        <f t="shared" si="130"/>
        <v>6</v>
      </c>
      <c r="AF666">
        <f t="shared" si="131"/>
        <v>7</v>
      </c>
      <c r="AG666">
        <f t="shared" si="132"/>
        <v>7</v>
      </c>
      <c r="AH666" s="9" t="str">
        <f t="shared" si="133"/>
        <v/>
      </c>
      <c r="AI666" s="9" t="str">
        <f t="shared" si="134"/>
        <v/>
      </c>
      <c r="AJ666" s="9" t="str">
        <f t="shared" si="135"/>
        <v/>
      </c>
      <c r="AK666" s="9" t="str">
        <f t="shared" si="136"/>
        <v/>
      </c>
      <c r="AL666" s="9" t="str">
        <f t="shared" si="137"/>
        <v/>
      </c>
      <c r="AM666" s="9" t="str">
        <f t="shared" si="138"/>
        <v/>
      </c>
      <c r="AN666" s="9" t="str">
        <f t="shared" si="139"/>
        <v/>
      </c>
      <c r="AO666" s="9" t="str">
        <f t="shared" si="140"/>
        <v/>
      </c>
      <c r="AP666" s="9" t="str">
        <f t="shared" si="141"/>
        <v/>
      </c>
      <c r="AQ666" s="10" t="str">
        <f t="shared" si="142"/>
        <v/>
      </c>
    </row>
    <row r="667" spans="1:43">
      <c r="A667">
        <v>666</v>
      </c>
      <c r="B667" t="s">
        <v>35</v>
      </c>
      <c r="C667" t="s">
        <v>373</v>
      </c>
      <c r="D667" t="s">
        <v>374</v>
      </c>
      <c r="E667" t="s">
        <v>97</v>
      </c>
      <c r="G667" t="s">
        <v>18</v>
      </c>
      <c r="H667" s="4">
        <v>13446000</v>
      </c>
      <c r="I667" s="5">
        <v>128</v>
      </c>
      <c r="J667" s="5">
        <v>0</v>
      </c>
      <c r="K667" s="5">
        <v>4</v>
      </c>
      <c r="L667">
        <v>4.2</v>
      </c>
      <c r="M667">
        <v>3.5</v>
      </c>
      <c r="N667">
        <v>3.92</v>
      </c>
      <c r="O667" s="6">
        <v>15.6</v>
      </c>
      <c r="P667" s="7">
        <v>2.1</v>
      </c>
      <c r="U667" t="s">
        <v>84</v>
      </c>
      <c r="V667" t="s">
        <v>812</v>
      </c>
      <c r="W667">
        <v>2.1</v>
      </c>
      <c r="X667" t="s">
        <v>84</v>
      </c>
      <c r="Y667" t="s">
        <v>130</v>
      </c>
      <c r="Z667" t="s">
        <v>87</v>
      </c>
      <c r="AA667" t="s">
        <v>114</v>
      </c>
      <c r="AB667" t="s">
        <v>115</v>
      </c>
      <c r="AC667">
        <v>498</v>
      </c>
      <c r="AD667" s="8" t="b">
        <f>AND(
 H667&gt;=Filters!$B$3,
 H667&lt;=Filters!$B$4,
 I667&gt;=Filters!$B$5,
 OR(Filters!$B$6="All",B667=Filters!$B$6),
 F667&gt;=Filters!$B$7,
 F667&lt;=Filters!$B$8,
 OR(Filters!$B$9="All",G667=Filters!$B$9)
)</f>
        <v>0</v>
      </c>
      <c r="AE667">
        <f t="shared" si="130"/>
        <v>6</v>
      </c>
      <c r="AF667">
        <f t="shared" si="131"/>
        <v>7</v>
      </c>
      <c r="AG667">
        <f t="shared" si="132"/>
        <v>7</v>
      </c>
      <c r="AH667" s="9" t="str">
        <f t="shared" si="133"/>
        <v/>
      </c>
      <c r="AI667" s="9" t="str">
        <f t="shared" si="134"/>
        <v/>
      </c>
      <c r="AJ667" s="9" t="str">
        <f t="shared" si="135"/>
        <v/>
      </c>
      <c r="AK667" s="9" t="str">
        <f t="shared" si="136"/>
        <v/>
      </c>
      <c r="AL667" s="9" t="str">
        <f t="shared" si="137"/>
        <v/>
      </c>
      <c r="AM667" s="9" t="str">
        <f t="shared" si="138"/>
        <v/>
      </c>
      <c r="AN667" s="9" t="str">
        <f t="shared" si="139"/>
        <v/>
      </c>
      <c r="AO667" s="9" t="str">
        <f t="shared" si="140"/>
        <v/>
      </c>
      <c r="AP667" s="9" t="str">
        <f t="shared" si="141"/>
        <v/>
      </c>
      <c r="AQ667" s="10" t="str">
        <f t="shared" si="142"/>
        <v/>
      </c>
    </row>
    <row r="668" spans="1:43">
      <c r="A668">
        <v>667</v>
      </c>
      <c r="B668" t="s">
        <v>23</v>
      </c>
      <c r="C668" t="s">
        <v>1032</v>
      </c>
      <c r="D668" t="s">
        <v>1033</v>
      </c>
      <c r="E668" t="s">
        <v>97</v>
      </c>
      <c r="G668" t="s">
        <v>18</v>
      </c>
      <c r="H668" s="4">
        <v>25785000</v>
      </c>
      <c r="I668" s="5">
        <v>0</v>
      </c>
      <c r="J668" s="5">
        <v>1024</v>
      </c>
      <c r="K668" s="5">
        <v>8</v>
      </c>
      <c r="L668">
        <v>7</v>
      </c>
      <c r="M668">
        <v>3.5</v>
      </c>
      <c r="N668">
        <v>5.92</v>
      </c>
      <c r="O668" s="6">
        <v>15.6</v>
      </c>
      <c r="P668" s="7">
        <v>2.06</v>
      </c>
      <c r="U668" t="s">
        <v>84</v>
      </c>
      <c r="V668" t="s">
        <v>98</v>
      </c>
      <c r="W668">
        <v>2.5</v>
      </c>
      <c r="X668" t="s">
        <v>84</v>
      </c>
      <c r="Y668" t="s">
        <v>99</v>
      </c>
      <c r="Z668" t="s">
        <v>146</v>
      </c>
      <c r="AA668" t="s">
        <v>101</v>
      </c>
      <c r="AB668" t="s">
        <v>115</v>
      </c>
      <c r="AC668">
        <v>955</v>
      </c>
      <c r="AD668" s="8" t="b">
        <f>AND(
 H668&gt;=Filters!$B$3,
 H668&lt;=Filters!$B$4,
 I668&gt;=Filters!$B$5,
 OR(Filters!$B$6="All",B668=Filters!$B$6),
 F668&gt;=Filters!$B$7,
 F668&lt;=Filters!$B$8,
 OR(Filters!$B$9="All",G668=Filters!$B$9)
)</f>
        <v>0</v>
      </c>
      <c r="AE668">
        <f t="shared" si="130"/>
        <v>6</v>
      </c>
      <c r="AF668">
        <f t="shared" si="131"/>
        <v>7</v>
      </c>
      <c r="AG668">
        <f t="shared" si="132"/>
        <v>7</v>
      </c>
      <c r="AH668" s="9" t="str">
        <f t="shared" si="133"/>
        <v/>
      </c>
      <c r="AI668" s="9" t="str">
        <f t="shared" si="134"/>
        <v/>
      </c>
      <c r="AJ668" s="9" t="str">
        <f t="shared" si="135"/>
        <v/>
      </c>
      <c r="AK668" s="9" t="str">
        <f t="shared" si="136"/>
        <v/>
      </c>
      <c r="AL668" s="9" t="str">
        <f t="shared" si="137"/>
        <v/>
      </c>
      <c r="AM668" s="9" t="str">
        <f t="shared" si="138"/>
        <v/>
      </c>
      <c r="AN668" s="9" t="str">
        <f t="shared" si="139"/>
        <v/>
      </c>
      <c r="AO668" s="9" t="str">
        <f t="shared" si="140"/>
        <v/>
      </c>
      <c r="AP668" s="9" t="str">
        <f t="shared" si="141"/>
        <v/>
      </c>
      <c r="AQ668" s="10" t="str">
        <f t="shared" si="142"/>
        <v/>
      </c>
    </row>
    <row r="669" spans="1:43">
      <c r="A669">
        <v>668</v>
      </c>
      <c r="B669" t="s">
        <v>26</v>
      </c>
      <c r="C669" t="s">
        <v>1034</v>
      </c>
      <c r="D669" t="s">
        <v>1035</v>
      </c>
      <c r="E669" t="s">
        <v>97</v>
      </c>
      <c r="G669" t="s">
        <v>18</v>
      </c>
      <c r="H669" s="4">
        <v>20115000</v>
      </c>
      <c r="I669" s="5">
        <v>0</v>
      </c>
      <c r="J669" s="5">
        <v>1024</v>
      </c>
      <c r="K669" s="5">
        <v>8</v>
      </c>
      <c r="L669">
        <v>9.4</v>
      </c>
      <c r="M669">
        <v>6.5</v>
      </c>
      <c r="N669">
        <v>5.92</v>
      </c>
      <c r="O669" s="6">
        <v>15.6</v>
      </c>
      <c r="P669" s="7">
        <v>2.1</v>
      </c>
      <c r="U669" t="s">
        <v>84</v>
      </c>
      <c r="V669" t="s">
        <v>140</v>
      </c>
      <c r="W669">
        <v>2.7</v>
      </c>
      <c r="X669" t="s">
        <v>104</v>
      </c>
      <c r="Y669" t="s">
        <v>176</v>
      </c>
      <c r="Z669" t="s">
        <v>146</v>
      </c>
      <c r="AA669" t="s">
        <v>101</v>
      </c>
      <c r="AB669" t="s">
        <v>115</v>
      </c>
      <c r="AC669">
        <v>745</v>
      </c>
      <c r="AD669" s="8" t="b">
        <f>AND(
 H669&gt;=Filters!$B$3,
 H669&lt;=Filters!$B$4,
 I669&gt;=Filters!$B$5,
 OR(Filters!$B$6="All",B669=Filters!$B$6),
 F669&gt;=Filters!$B$7,
 F669&lt;=Filters!$B$8,
 OR(Filters!$B$9="All",G669=Filters!$B$9)
)</f>
        <v>0</v>
      </c>
      <c r="AE669">
        <f t="shared" si="130"/>
        <v>6</v>
      </c>
      <c r="AF669">
        <f t="shared" si="131"/>
        <v>7</v>
      </c>
      <c r="AG669">
        <f t="shared" si="132"/>
        <v>7</v>
      </c>
      <c r="AH669" s="9" t="str">
        <f t="shared" si="133"/>
        <v/>
      </c>
      <c r="AI669" s="9" t="str">
        <f t="shared" si="134"/>
        <v/>
      </c>
      <c r="AJ669" s="9" t="str">
        <f t="shared" si="135"/>
        <v/>
      </c>
      <c r="AK669" s="9" t="str">
        <f t="shared" si="136"/>
        <v/>
      </c>
      <c r="AL669" s="9" t="str">
        <f t="shared" si="137"/>
        <v/>
      </c>
      <c r="AM669" s="9" t="str">
        <f t="shared" si="138"/>
        <v/>
      </c>
      <c r="AN669" s="9" t="str">
        <f t="shared" si="139"/>
        <v/>
      </c>
      <c r="AO669" s="9" t="str">
        <f t="shared" si="140"/>
        <v/>
      </c>
      <c r="AP669" s="9" t="str">
        <f t="shared" si="141"/>
        <v/>
      </c>
      <c r="AQ669" s="10" t="str">
        <f t="shared" si="142"/>
        <v/>
      </c>
    </row>
    <row r="670" spans="1:43">
      <c r="A670">
        <v>669</v>
      </c>
      <c r="B670" t="s">
        <v>35</v>
      </c>
      <c r="C670" t="s">
        <v>1036</v>
      </c>
      <c r="D670" t="s">
        <v>1037</v>
      </c>
      <c r="E670" t="s">
        <v>97</v>
      </c>
      <c r="G670" t="s">
        <v>18</v>
      </c>
      <c r="H670" s="4">
        <v>33966000</v>
      </c>
      <c r="I670" s="5">
        <v>256</v>
      </c>
      <c r="J670" s="5">
        <v>0</v>
      </c>
      <c r="K670" s="5">
        <v>8</v>
      </c>
      <c r="L670">
        <v>7</v>
      </c>
      <c r="M670">
        <v>3.5</v>
      </c>
      <c r="N670">
        <v>6.32</v>
      </c>
      <c r="O670" s="6">
        <v>15.6</v>
      </c>
      <c r="P670" s="7">
        <v>2</v>
      </c>
      <c r="U670" t="s">
        <v>84</v>
      </c>
      <c r="V670" t="s">
        <v>98</v>
      </c>
      <c r="W670">
        <v>2.5</v>
      </c>
      <c r="X670" t="s">
        <v>84</v>
      </c>
      <c r="Y670" t="s">
        <v>99</v>
      </c>
      <c r="Z670" t="s">
        <v>100</v>
      </c>
      <c r="AA670" t="s">
        <v>128</v>
      </c>
      <c r="AB670" t="s">
        <v>115</v>
      </c>
      <c r="AC670">
        <v>1258</v>
      </c>
      <c r="AD670" s="8" t="b">
        <f>AND(
 H670&gt;=Filters!$B$3,
 H670&lt;=Filters!$B$4,
 I670&gt;=Filters!$B$5,
 OR(Filters!$B$6="All",B670=Filters!$B$6),
 F670&gt;=Filters!$B$7,
 F670&lt;=Filters!$B$8,
 OR(Filters!$B$9="All",G670=Filters!$B$9)
)</f>
        <v>0</v>
      </c>
      <c r="AE670">
        <f t="shared" si="130"/>
        <v>6</v>
      </c>
      <c r="AF670">
        <f t="shared" si="131"/>
        <v>7</v>
      </c>
      <c r="AG670">
        <f t="shared" si="132"/>
        <v>7</v>
      </c>
      <c r="AH670" s="9" t="str">
        <f t="shared" si="133"/>
        <v/>
      </c>
      <c r="AI670" s="9" t="str">
        <f t="shared" si="134"/>
        <v/>
      </c>
      <c r="AJ670" s="9" t="str">
        <f t="shared" si="135"/>
        <v/>
      </c>
      <c r="AK670" s="9" t="str">
        <f t="shared" si="136"/>
        <v/>
      </c>
      <c r="AL670" s="9" t="str">
        <f t="shared" si="137"/>
        <v/>
      </c>
      <c r="AM670" s="9" t="str">
        <f t="shared" si="138"/>
        <v/>
      </c>
      <c r="AN670" s="9" t="str">
        <f t="shared" si="139"/>
        <v/>
      </c>
      <c r="AO670" s="9" t="str">
        <f t="shared" si="140"/>
        <v/>
      </c>
      <c r="AP670" s="9" t="str">
        <f t="shared" si="141"/>
        <v/>
      </c>
      <c r="AQ670" s="10" t="str">
        <f t="shared" si="142"/>
        <v/>
      </c>
    </row>
    <row r="671" spans="1:43">
      <c r="A671">
        <v>670</v>
      </c>
      <c r="B671" t="s">
        <v>17</v>
      </c>
      <c r="C671" t="s">
        <v>109</v>
      </c>
      <c r="D671" t="s">
        <v>110</v>
      </c>
      <c r="E671" t="s">
        <v>97</v>
      </c>
      <c r="G671" t="s">
        <v>18</v>
      </c>
      <c r="H671" s="4">
        <v>11124000</v>
      </c>
      <c r="I671" s="5">
        <v>128</v>
      </c>
      <c r="J671" s="5">
        <v>0</v>
      </c>
      <c r="K671" s="5">
        <v>4</v>
      </c>
      <c r="L671">
        <v>4</v>
      </c>
      <c r="M671">
        <v>3.5</v>
      </c>
      <c r="N671">
        <v>3.92</v>
      </c>
      <c r="O671" s="6">
        <v>15.6</v>
      </c>
      <c r="P671" s="7">
        <v>2.1</v>
      </c>
      <c r="U671" t="s">
        <v>84</v>
      </c>
      <c r="V671" t="s">
        <v>129</v>
      </c>
      <c r="W671">
        <v>2</v>
      </c>
      <c r="X671" t="s">
        <v>84</v>
      </c>
      <c r="Y671" t="s">
        <v>130</v>
      </c>
      <c r="Z671" t="s">
        <v>87</v>
      </c>
      <c r="AA671" t="s">
        <v>114</v>
      </c>
      <c r="AB671" t="s">
        <v>201</v>
      </c>
      <c r="AC671">
        <v>412</v>
      </c>
      <c r="AD671" s="8" t="b">
        <f>AND(
 H671&gt;=Filters!$B$3,
 H671&lt;=Filters!$B$4,
 I671&gt;=Filters!$B$5,
 OR(Filters!$B$6="All",B671=Filters!$B$6),
 F671&gt;=Filters!$B$7,
 F671&lt;=Filters!$B$8,
 OR(Filters!$B$9="All",G671=Filters!$B$9)
)</f>
        <v>0</v>
      </c>
      <c r="AE671">
        <f t="shared" si="130"/>
        <v>6</v>
      </c>
      <c r="AF671">
        <f t="shared" si="131"/>
        <v>7</v>
      </c>
      <c r="AG671">
        <f t="shared" si="132"/>
        <v>7</v>
      </c>
      <c r="AH671" s="9" t="str">
        <f t="shared" si="133"/>
        <v/>
      </c>
      <c r="AI671" s="9" t="str">
        <f t="shared" si="134"/>
        <v/>
      </c>
      <c r="AJ671" s="9" t="str">
        <f t="shared" si="135"/>
        <v/>
      </c>
      <c r="AK671" s="9" t="str">
        <f t="shared" si="136"/>
        <v/>
      </c>
      <c r="AL671" s="9" t="str">
        <f t="shared" si="137"/>
        <v/>
      </c>
      <c r="AM671" s="9" t="str">
        <f t="shared" si="138"/>
        <v/>
      </c>
      <c r="AN671" s="9" t="str">
        <f t="shared" si="139"/>
        <v/>
      </c>
      <c r="AO671" s="9" t="str">
        <f t="shared" si="140"/>
        <v/>
      </c>
      <c r="AP671" s="9" t="str">
        <f t="shared" si="141"/>
        <v/>
      </c>
      <c r="AQ671" s="10" t="str">
        <f t="shared" si="142"/>
        <v/>
      </c>
    </row>
    <row r="672" spans="1:43">
      <c r="A672">
        <v>671</v>
      </c>
      <c r="B672" t="s">
        <v>32</v>
      </c>
      <c r="C672" t="s">
        <v>269</v>
      </c>
      <c r="D672" t="s">
        <v>270</v>
      </c>
      <c r="E672" t="s">
        <v>83</v>
      </c>
      <c r="G672" t="s">
        <v>18</v>
      </c>
      <c r="H672" s="4">
        <v>50431950</v>
      </c>
      <c r="I672" s="5">
        <v>256</v>
      </c>
      <c r="J672" s="5">
        <v>0</v>
      </c>
      <c r="K672" s="5">
        <v>8</v>
      </c>
      <c r="L672">
        <v>9.6</v>
      </c>
      <c r="M672">
        <v>4.2</v>
      </c>
      <c r="N672">
        <v>7.27</v>
      </c>
      <c r="O672" s="6">
        <v>13.5</v>
      </c>
      <c r="P672" s="7">
        <v>1.252</v>
      </c>
      <c r="U672" t="s">
        <v>84</v>
      </c>
      <c r="V672" t="s">
        <v>592</v>
      </c>
      <c r="W672">
        <v>2.8</v>
      </c>
      <c r="X672" t="s">
        <v>84</v>
      </c>
      <c r="Y672" t="s">
        <v>86</v>
      </c>
      <c r="Z672" t="s">
        <v>100</v>
      </c>
      <c r="AA672" t="s">
        <v>271</v>
      </c>
      <c r="AB672" t="s">
        <v>272</v>
      </c>
      <c r="AC672">
        <v>1867.85</v>
      </c>
      <c r="AD672" s="8" t="b">
        <f>AND(
 H672&gt;=Filters!$B$3,
 H672&lt;=Filters!$B$4,
 I672&gt;=Filters!$B$5,
 OR(Filters!$B$6="All",B672=Filters!$B$6),
 F672&gt;=Filters!$B$7,
 F672&lt;=Filters!$B$8,
 OR(Filters!$B$9="All",G672=Filters!$B$9)
)</f>
        <v>0</v>
      </c>
      <c r="AE672">
        <f t="shared" si="130"/>
        <v>6</v>
      </c>
      <c r="AF672">
        <f t="shared" si="131"/>
        <v>7</v>
      </c>
      <c r="AG672">
        <f t="shared" si="132"/>
        <v>7</v>
      </c>
      <c r="AH672" s="9" t="str">
        <f t="shared" si="133"/>
        <v/>
      </c>
      <c r="AI672" s="9" t="str">
        <f t="shared" si="134"/>
        <v/>
      </c>
      <c r="AJ672" s="9" t="str">
        <f t="shared" si="135"/>
        <v/>
      </c>
      <c r="AK672" s="9" t="str">
        <f t="shared" si="136"/>
        <v/>
      </c>
      <c r="AL672" s="9" t="str">
        <f t="shared" si="137"/>
        <v/>
      </c>
      <c r="AM672" s="9" t="str">
        <f t="shared" si="138"/>
        <v/>
      </c>
      <c r="AN672" s="9" t="str">
        <f t="shared" si="139"/>
        <v/>
      </c>
      <c r="AO672" s="9" t="str">
        <f t="shared" si="140"/>
        <v/>
      </c>
      <c r="AP672" s="9" t="str">
        <f t="shared" si="141"/>
        <v/>
      </c>
      <c r="AQ672" s="10" t="str">
        <f t="shared" si="142"/>
        <v/>
      </c>
    </row>
    <row r="673" spans="1:43">
      <c r="A673">
        <v>672</v>
      </c>
      <c r="B673" t="s">
        <v>29</v>
      </c>
      <c r="C673" t="s">
        <v>1038</v>
      </c>
      <c r="D673" t="s">
        <v>1039</v>
      </c>
      <c r="E673" t="s">
        <v>97</v>
      </c>
      <c r="G673" t="s">
        <v>18</v>
      </c>
      <c r="H673" s="4">
        <v>22084650</v>
      </c>
      <c r="I673" s="5">
        <v>128</v>
      </c>
      <c r="J673" s="5">
        <v>1024</v>
      </c>
      <c r="K673" s="5">
        <v>8</v>
      </c>
      <c r="L673">
        <v>7</v>
      </c>
      <c r="M673">
        <v>6.5</v>
      </c>
      <c r="N673">
        <v>5.92</v>
      </c>
      <c r="O673" s="6">
        <v>15.6</v>
      </c>
      <c r="P673" s="7">
        <v>1.9</v>
      </c>
      <c r="U673" t="s">
        <v>84</v>
      </c>
      <c r="V673" t="s">
        <v>98</v>
      </c>
      <c r="W673">
        <v>2.5</v>
      </c>
      <c r="X673" t="s">
        <v>104</v>
      </c>
      <c r="Y673" t="s">
        <v>134</v>
      </c>
      <c r="Z673" t="s">
        <v>161</v>
      </c>
      <c r="AA673" t="s">
        <v>101</v>
      </c>
      <c r="AB673" t="s">
        <v>115</v>
      </c>
      <c r="AC673">
        <v>817.95</v>
      </c>
      <c r="AD673" s="8" t="b">
        <f>AND(
 H673&gt;=Filters!$B$3,
 H673&lt;=Filters!$B$4,
 I673&gt;=Filters!$B$5,
 OR(Filters!$B$6="All",B673=Filters!$B$6),
 F673&gt;=Filters!$B$7,
 F673&lt;=Filters!$B$8,
 OR(Filters!$B$9="All",G673=Filters!$B$9)
)</f>
        <v>0</v>
      </c>
      <c r="AE673">
        <f t="shared" si="130"/>
        <v>6</v>
      </c>
      <c r="AF673">
        <f t="shared" si="131"/>
        <v>7</v>
      </c>
      <c r="AG673">
        <f t="shared" si="132"/>
        <v>7</v>
      </c>
      <c r="AH673" s="9" t="str">
        <f t="shared" si="133"/>
        <v/>
      </c>
      <c r="AI673" s="9" t="str">
        <f t="shared" si="134"/>
        <v/>
      </c>
      <c r="AJ673" s="9" t="str">
        <f t="shared" si="135"/>
        <v/>
      </c>
      <c r="AK673" s="9" t="str">
        <f t="shared" si="136"/>
        <v/>
      </c>
      <c r="AL673" s="9" t="str">
        <f t="shared" si="137"/>
        <v/>
      </c>
      <c r="AM673" s="9" t="str">
        <f t="shared" si="138"/>
        <v/>
      </c>
      <c r="AN673" s="9" t="str">
        <f t="shared" si="139"/>
        <v/>
      </c>
      <c r="AO673" s="9" t="str">
        <f t="shared" si="140"/>
        <v/>
      </c>
      <c r="AP673" s="9" t="str">
        <f t="shared" si="141"/>
        <v/>
      </c>
      <c r="AQ673" s="10" t="str">
        <f t="shared" si="142"/>
        <v/>
      </c>
    </row>
    <row r="674" spans="1:43">
      <c r="A674">
        <v>673</v>
      </c>
      <c r="B674" t="s">
        <v>29</v>
      </c>
      <c r="C674" t="s">
        <v>1040</v>
      </c>
      <c r="D674" t="s">
        <v>1041</v>
      </c>
      <c r="E674" t="s">
        <v>168</v>
      </c>
      <c r="G674" t="s">
        <v>18</v>
      </c>
      <c r="H674" s="4">
        <v>27918000</v>
      </c>
      <c r="I674" s="5">
        <v>256</v>
      </c>
      <c r="J674" s="5">
        <v>0</v>
      </c>
      <c r="K674" s="5">
        <v>8</v>
      </c>
      <c r="L674">
        <v>7</v>
      </c>
      <c r="M674">
        <v>3.5</v>
      </c>
      <c r="N674">
        <v>6.67</v>
      </c>
      <c r="O674" s="6">
        <v>13.3</v>
      </c>
      <c r="P674" s="7">
        <v>1.3</v>
      </c>
      <c r="U674" t="s">
        <v>84</v>
      </c>
      <c r="V674" t="s">
        <v>98</v>
      </c>
      <c r="W674">
        <v>2.5</v>
      </c>
      <c r="X674" t="s">
        <v>84</v>
      </c>
      <c r="Y674" t="s">
        <v>99</v>
      </c>
      <c r="Z674" t="s">
        <v>100</v>
      </c>
      <c r="AA674" t="s">
        <v>149</v>
      </c>
      <c r="AB674" t="s">
        <v>115</v>
      </c>
      <c r="AC674">
        <v>1034</v>
      </c>
      <c r="AD674" s="8" t="b">
        <f>AND(
 H674&gt;=Filters!$B$3,
 H674&lt;=Filters!$B$4,
 I674&gt;=Filters!$B$5,
 OR(Filters!$B$6="All",B674=Filters!$B$6),
 F674&gt;=Filters!$B$7,
 F674&lt;=Filters!$B$8,
 OR(Filters!$B$9="All",G674=Filters!$B$9)
)</f>
        <v>0</v>
      </c>
      <c r="AE674">
        <f t="shared" si="130"/>
        <v>6</v>
      </c>
      <c r="AF674">
        <f t="shared" si="131"/>
        <v>7</v>
      </c>
      <c r="AG674">
        <f t="shared" si="132"/>
        <v>7</v>
      </c>
      <c r="AH674" s="9" t="str">
        <f t="shared" si="133"/>
        <v/>
      </c>
      <c r="AI674" s="9" t="str">
        <f t="shared" si="134"/>
        <v/>
      </c>
      <c r="AJ674" s="9" t="str">
        <f t="shared" si="135"/>
        <v/>
      </c>
      <c r="AK674" s="9" t="str">
        <f t="shared" si="136"/>
        <v/>
      </c>
      <c r="AL674" s="9" t="str">
        <f t="shared" si="137"/>
        <v/>
      </c>
      <c r="AM674" s="9" t="str">
        <f t="shared" si="138"/>
        <v/>
      </c>
      <c r="AN674" s="9" t="str">
        <f t="shared" si="139"/>
        <v/>
      </c>
      <c r="AO674" s="9" t="str">
        <f t="shared" si="140"/>
        <v/>
      </c>
      <c r="AP674" s="9" t="str">
        <f t="shared" si="141"/>
        <v/>
      </c>
      <c r="AQ674" s="10" t="str">
        <f t="shared" si="142"/>
        <v/>
      </c>
    </row>
    <row r="675" spans="1:43">
      <c r="A675">
        <v>674</v>
      </c>
      <c r="B675" t="s">
        <v>29</v>
      </c>
      <c r="C675" t="s">
        <v>289</v>
      </c>
      <c r="D675" t="s">
        <v>290</v>
      </c>
      <c r="E675" t="s">
        <v>97</v>
      </c>
      <c r="G675" t="s">
        <v>18</v>
      </c>
      <c r="H675" s="4">
        <v>9423000</v>
      </c>
      <c r="I675" s="5">
        <v>128</v>
      </c>
      <c r="J675" s="5">
        <v>0</v>
      </c>
      <c r="K675" s="5">
        <v>4</v>
      </c>
      <c r="L675">
        <v>5.4</v>
      </c>
      <c r="M675">
        <v>6.5</v>
      </c>
      <c r="N675">
        <v>3.92</v>
      </c>
      <c r="O675" s="6">
        <v>15.6</v>
      </c>
      <c r="P675" s="7">
        <v>2.2000000000000002</v>
      </c>
      <c r="U675" t="s">
        <v>104</v>
      </c>
      <c r="V675" t="s">
        <v>1042</v>
      </c>
      <c r="W675">
        <v>2.2000000000000002</v>
      </c>
      <c r="X675" t="s">
        <v>104</v>
      </c>
      <c r="Y675" t="s">
        <v>888</v>
      </c>
      <c r="Z675" t="s">
        <v>87</v>
      </c>
      <c r="AA675" t="s">
        <v>114</v>
      </c>
      <c r="AB675" t="s">
        <v>115</v>
      </c>
      <c r="AC675">
        <v>349</v>
      </c>
      <c r="AD675" s="8" t="b">
        <f>AND(
 H675&gt;=Filters!$B$3,
 H675&lt;=Filters!$B$4,
 I675&gt;=Filters!$B$5,
 OR(Filters!$B$6="All",B675=Filters!$B$6),
 F675&gt;=Filters!$B$7,
 F675&lt;=Filters!$B$8,
 OR(Filters!$B$9="All",G675=Filters!$B$9)
)</f>
        <v>0</v>
      </c>
      <c r="AE675">
        <f t="shared" si="130"/>
        <v>6</v>
      </c>
      <c r="AF675">
        <f t="shared" si="131"/>
        <v>7</v>
      </c>
      <c r="AG675">
        <f t="shared" si="132"/>
        <v>7</v>
      </c>
      <c r="AH675" s="9" t="str">
        <f t="shared" si="133"/>
        <v/>
      </c>
      <c r="AI675" s="9" t="str">
        <f t="shared" si="134"/>
        <v/>
      </c>
      <c r="AJ675" s="9" t="str">
        <f t="shared" si="135"/>
        <v/>
      </c>
      <c r="AK675" s="9" t="str">
        <f t="shared" si="136"/>
        <v/>
      </c>
      <c r="AL675" s="9" t="str">
        <f t="shared" si="137"/>
        <v/>
      </c>
      <c r="AM675" s="9" t="str">
        <f t="shared" si="138"/>
        <v/>
      </c>
      <c r="AN675" s="9" t="str">
        <f t="shared" si="139"/>
        <v/>
      </c>
      <c r="AO675" s="9" t="str">
        <f t="shared" si="140"/>
        <v/>
      </c>
      <c r="AP675" s="9" t="str">
        <f t="shared" si="141"/>
        <v/>
      </c>
      <c r="AQ675" s="10" t="str">
        <f t="shared" si="142"/>
        <v/>
      </c>
    </row>
    <row r="676" spans="1:43">
      <c r="A676">
        <v>675</v>
      </c>
      <c r="B676" t="s">
        <v>26</v>
      </c>
      <c r="C676" t="s">
        <v>1043</v>
      </c>
      <c r="D676" t="s">
        <v>1044</v>
      </c>
      <c r="E676" t="s">
        <v>168</v>
      </c>
      <c r="G676" t="s">
        <v>18</v>
      </c>
      <c r="H676" s="4">
        <v>18873000</v>
      </c>
      <c r="I676" s="5">
        <v>128</v>
      </c>
      <c r="J676" s="5">
        <v>0</v>
      </c>
      <c r="K676" s="5">
        <v>4</v>
      </c>
      <c r="L676">
        <v>4.8</v>
      </c>
      <c r="M676">
        <v>6.5</v>
      </c>
      <c r="N676">
        <v>6.7</v>
      </c>
      <c r="O676" s="6">
        <v>14</v>
      </c>
      <c r="P676" s="7">
        <v>1.63</v>
      </c>
      <c r="U676" t="s">
        <v>84</v>
      </c>
      <c r="V676" t="s">
        <v>144</v>
      </c>
      <c r="W676">
        <v>2.4</v>
      </c>
      <c r="X676" t="s">
        <v>122</v>
      </c>
      <c r="Y676" t="s">
        <v>145</v>
      </c>
      <c r="Z676" t="s">
        <v>87</v>
      </c>
      <c r="AA676" t="s">
        <v>149</v>
      </c>
      <c r="AB676" t="s">
        <v>115</v>
      </c>
      <c r="AC676">
        <v>699</v>
      </c>
      <c r="AD676" s="8" t="b">
        <f>AND(
 H676&gt;=Filters!$B$3,
 H676&lt;=Filters!$B$4,
 I676&gt;=Filters!$B$5,
 OR(Filters!$B$6="All",B676=Filters!$B$6),
 F676&gt;=Filters!$B$7,
 F676&lt;=Filters!$B$8,
 OR(Filters!$B$9="All",G676=Filters!$B$9)
)</f>
        <v>0</v>
      </c>
      <c r="AE676">
        <f t="shared" si="130"/>
        <v>6</v>
      </c>
      <c r="AF676">
        <f t="shared" si="131"/>
        <v>7</v>
      </c>
      <c r="AG676">
        <f t="shared" si="132"/>
        <v>7</v>
      </c>
      <c r="AH676" s="9" t="str">
        <f t="shared" si="133"/>
        <v/>
      </c>
      <c r="AI676" s="9" t="str">
        <f t="shared" si="134"/>
        <v/>
      </c>
      <c r="AJ676" s="9" t="str">
        <f t="shared" si="135"/>
        <v/>
      </c>
      <c r="AK676" s="9" t="str">
        <f t="shared" si="136"/>
        <v/>
      </c>
      <c r="AL676" s="9" t="str">
        <f t="shared" si="137"/>
        <v/>
      </c>
      <c r="AM676" s="9" t="str">
        <f t="shared" si="138"/>
        <v/>
      </c>
      <c r="AN676" s="9" t="str">
        <f t="shared" si="139"/>
        <v/>
      </c>
      <c r="AO676" s="9" t="str">
        <f t="shared" si="140"/>
        <v/>
      </c>
      <c r="AP676" s="9" t="str">
        <f t="shared" si="141"/>
        <v/>
      </c>
      <c r="AQ676" s="10" t="str">
        <f t="shared" si="142"/>
        <v/>
      </c>
    </row>
    <row r="677" spans="1:43">
      <c r="A677">
        <v>676</v>
      </c>
      <c r="B677" t="s">
        <v>30</v>
      </c>
      <c r="C677" t="s">
        <v>1045</v>
      </c>
      <c r="D677" t="s">
        <v>1046</v>
      </c>
      <c r="E677" t="s">
        <v>158</v>
      </c>
      <c r="G677" t="s">
        <v>18</v>
      </c>
      <c r="H677" s="4">
        <v>34938000</v>
      </c>
      <c r="I677" s="5">
        <v>256</v>
      </c>
      <c r="J677" s="5">
        <v>1024</v>
      </c>
      <c r="K677" s="5">
        <v>16</v>
      </c>
      <c r="L677">
        <v>9.6</v>
      </c>
      <c r="M677">
        <v>9.1999999999999993</v>
      </c>
      <c r="N677">
        <v>5.92</v>
      </c>
      <c r="O677" s="6">
        <v>15.6</v>
      </c>
      <c r="P677" s="7">
        <v>2.4</v>
      </c>
      <c r="U677" t="s">
        <v>84</v>
      </c>
      <c r="V677" t="s">
        <v>210</v>
      </c>
      <c r="W677">
        <v>2.8</v>
      </c>
      <c r="X677" t="s">
        <v>122</v>
      </c>
      <c r="Y677" t="s">
        <v>160</v>
      </c>
      <c r="Z677" t="s">
        <v>212</v>
      </c>
      <c r="AA677" t="s">
        <v>101</v>
      </c>
      <c r="AB677" t="s">
        <v>115</v>
      </c>
      <c r="AC677">
        <v>1294</v>
      </c>
      <c r="AD677" s="8" t="b">
        <f>AND(
 H677&gt;=Filters!$B$3,
 H677&lt;=Filters!$B$4,
 I677&gt;=Filters!$B$5,
 OR(Filters!$B$6="All",B677=Filters!$B$6),
 F677&gt;=Filters!$B$7,
 F677&lt;=Filters!$B$8,
 OR(Filters!$B$9="All",G677=Filters!$B$9)
)</f>
        <v>0</v>
      </c>
      <c r="AE677">
        <f t="shared" si="130"/>
        <v>6</v>
      </c>
      <c r="AF677">
        <f t="shared" si="131"/>
        <v>7</v>
      </c>
      <c r="AG677">
        <f t="shared" si="132"/>
        <v>7</v>
      </c>
      <c r="AH677" s="9" t="str">
        <f t="shared" si="133"/>
        <v/>
      </c>
      <c r="AI677" s="9" t="str">
        <f t="shared" si="134"/>
        <v/>
      </c>
      <c r="AJ677" s="9" t="str">
        <f t="shared" si="135"/>
        <v/>
      </c>
      <c r="AK677" s="9" t="str">
        <f t="shared" si="136"/>
        <v/>
      </c>
      <c r="AL677" s="9" t="str">
        <f t="shared" si="137"/>
        <v/>
      </c>
      <c r="AM677" s="9" t="str">
        <f t="shared" si="138"/>
        <v/>
      </c>
      <c r="AN677" s="9" t="str">
        <f t="shared" si="139"/>
        <v/>
      </c>
      <c r="AO677" s="9" t="str">
        <f t="shared" si="140"/>
        <v/>
      </c>
      <c r="AP677" s="9" t="str">
        <f t="shared" si="141"/>
        <v/>
      </c>
      <c r="AQ677" s="10" t="str">
        <f t="shared" si="142"/>
        <v/>
      </c>
    </row>
    <row r="678" spans="1:43">
      <c r="A678">
        <v>677</v>
      </c>
      <c r="B678" t="s">
        <v>21</v>
      </c>
      <c r="C678" t="s">
        <v>712</v>
      </c>
      <c r="D678" t="s">
        <v>713</v>
      </c>
      <c r="E678" t="s">
        <v>83</v>
      </c>
      <c r="G678" t="s">
        <v>18</v>
      </c>
      <c r="H678" s="4">
        <v>30645000</v>
      </c>
      <c r="I678" s="5">
        <v>256</v>
      </c>
      <c r="J678" s="5">
        <v>0</v>
      </c>
      <c r="K678" s="5">
        <v>8</v>
      </c>
      <c r="L678">
        <v>7</v>
      </c>
      <c r="M678">
        <v>3.5</v>
      </c>
      <c r="N678">
        <v>6</v>
      </c>
      <c r="O678" s="6">
        <v>14</v>
      </c>
      <c r="P678" s="7">
        <v>1.1000000000000001</v>
      </c>
      <c r="U678" t="s">
        <v>84</v>
      </c>
      <c r="V678" t="s">
        <v>98</v>
      </c>
      <c r="W678">
        <v>2.5</v>
      </c>
      <c r="X678" t="s">
        <v>84</v>
      </c>
      <c r="Y678" t="s">
        <v>99</v>
      </c>
      <c r="Z678" t="s">
        <v>100</v>
      </c>
      <c r="AA678" t="s">
        <v>101</v>
      </c>
      <c r="AB678" t="s">
        <v>115</v>
      </c>
      <c r="AC678">
        <v>1135</v>
      </c>
      <c r="AD678" s="8" t="b">
        <f>AND(
 H678&gt;=Filters!$B$3,
 H678&lt;=Filters!$B$4,
 I678&gt;=Filters!$B$5,
 OR(Filters!$B$6="All",B678=Filters!$B$6),
 F678&gt;=Filters!$B$7,
 F678&lt;=Filters!$B$8,
 OR(Filters!$B$9="All",G678=Filters!$B$9)
)</f>
        <v>0</v>
      </c>
      <c r="AE678">
        <f t="shared" si="130"/>
        <v>6</v>
      </c>
      <c r="AF678">
        <f t="shared" si="131"/>
        <v>7</v>
      </c>
      <c r="AG678">
        <f t="shared" si="132"/>
        <v>7</v>
      </c>
      <c r="AH678" s="9" t="str">
        <f t="shared" si="133"/>
        <v/>
      </c>
      <c r="AI678" s="9" t="str">
        <f t="shared" si="134"/>
        <v/>
      </c>
      <c r="AJ678" s="9" t="str">
        <f t="shared" si="135"/>
        <v/>
      </c>
      <c r="AK678" s="9" t="str">
        <f t="shared" si="136"/>
        <v/>
      </c>
      <c r="AL678" s="9" t="str">
        <f t="shared" si="137"/>
        <v/>
      </c>
      <c r="AM678" s="9" t="str">
        <f t="shared" si="138"/>
        <v/>
      </c>
      <c r="AN678" s="9" t="str">
        <f t="shared" si="139"/>
        <v/>
      </c>
      <c r="AO678" s="9" t="str">
        <f t="shared" si="140"/>
        <v/>
      </c>
      <c r="AP678" s="9" t="str">
        <f t="shared" si="141"/>
        <v/>
      </c>
      <c r="AQ678" s="10" t="str">
        <f t="shared" si="142"/>
        <v/>
      </c>
    </row>
    <row r="679" spans="1:43">
      <c r="A679">
        <v>678</v>
      </c>
      <c r="B679" t="s">
        <v>26</v>
      </c>
      <c r="C679" t="s">
        <v>1047</v>
      </c>
      <c r="D679" t="s">
        <v>1048</v>
      </c>
      <c r="E679" t="s">
        <v>168</v>
      </c>
      <c r="G679" t="s">
        <v>18</v>
      </c>
      <c r="H679" s="4">
        <v>13365000</v>
      </c>
      <c r="I679" s="5">
        <v>64</v>
      </c>
      <c r="J679" s="5">
        <v>0</v>
      </c>
      <c r="K679" s="5">
        <v>8</v>
      </c>
      <c r="L679">
        <v>1</v>
      </c>
      <c r="M679">
        <v>3.5</v>
      </c>
      <c r="N679">
        <v>4.18</v>
      </c>
      <c r="O679" s="6">
        <v>11.6</v>
      </c>
      <c r="P679" s="7">
        <v>1.4</v>
      </c>
      <c r="U679" t="s">
        <v>84</v>
      </c>
      <c r="V679" t="s">
        <v>198</v>
      </c>
      <c r="W679">
        <v>1.1000000000000001</v>
      </c>
      <c r="X679" t="s">
        <v>84</v>
      </c>
      <c r="Y679" t="s">
        <v>199</v>
      </c>
      <c r="Z679" t="s">
        <v>188</v>
      </c>
      <c r="AA679" t="s">
        <v>472</v>
      </c>
      <c r="AB679" t="s">
        <v>563</v>
      </c>
      <c r="AC679">
        <v>495</v>
      </c>
      <c r="AD679" s="8" t="b">
        <f>AND(
 H679&gt;=Filters!$B$3,
 H679&lt;=Filters!$B$4,
 I679&gt;=Filters!$B$5,
 OR(Filters!$B$6="All",B679=Filters!$B$6),
 F679&gt;=Filters!$B$7,
 F679&lt;=Filters!$B$8,
 OR(Filters!$B$9="All",G679=Filters!$B$9)
)</f>
        <v>0</v>
      </c>
      <c r="AE679">
        <f t="shared" si="130"/>
        <v>6</v>
      </c>
      <c r="AF679">
        <f t="shared" si="131"/>
        <v>7</v>
      </c>
      <c r="AG679">
        <f t="shared" si="132"/>
        <v>7</v>
      </c>
      <c r="AH679" s="9" t="str">
        <f t="shared" si="133"/>
        <v/>
      </c>
      <c r="AI679" s="9" t="str">
        <f t="shared" si="134"/>
        <v/>
      </c>
      <c r="AJ679" s="9" t="str">
        <f t="shared" si="135"/>
        <v/>
      </c>
      <c r="AK679" s="9" t="str">
        <f t="shared" si="136"/>
        <v/>
      </c>
      <c r="AL679" s="9" t="str">
        <f t="shared" si="137"/>
        <v/>
      </c>
      <c r="AM679" s="9" t="str">
        <f t="shared" si="138"/>
        <v/>
      </c>
      <c r="AN679" s="9" t="str">
        <f t="shared" si="139"/>
        <v/>
      </c>
      <c r="AO679" s="9" t="str">
        <f t="shared" si="140"/>
        <v/>
      </c>
      <c r="AP679" s="9" t="str">
        <f t="shared" si="141"/>
        <v/>
      </c>
      <c r="AQ679" s="10" t="str">
        <f t="shared" si="142"/>
        <v/>
      </c>
    </row>
    <row r="680" spans="1:43">
      <c r="A680">
        <v>679</v>
      </c>
      <c r="B680" t="s">
        <v>28</v>
      </c>
      <c r="C680" t="s">
        <v>1049</v>
      </c>
      <c r="D680" t="s">
        <v>1050</v>
      </c>
      <c r="E680" t="s">
        <v>83</v>
      </c>
      <c r="G680" t="s">
        <v>18</v>
      </c>
      <c r="H680" s="4">
        <v>62073000</v>
      </c>
      <c r="I680" s="5">
        <v>512</v>
      </c>
      <c r="J680" s="5">
        <v>0</v>
      </c>
      <c r="K680" s="5">
        <v>8</v>
      </c>
      <c r="L680">
        <v>7.6</v>
      </c>
      <c r="M680">
        <v>3.5</v>
      </c>
      <c r="N680">
        <v>6.32</v>
      </c>
      <c r="O680" s="6">
        <v>15.6</v>
      </c>
      <c r="P680" s="7">
        <v>1.0900000000000001</v>
      </c>
      <c r="U680" t="s">
        <v>84</v>
      </c>
      <c r="V680" t="s">
        <v>121</v>
      </c>
      <c r="W680">
        <v>1.8</v>
      </c>
      <c r="X680" t="s">
        <v>84</v>
      </c>
      <c r="Y680" t="s">
        <v>99</v>
      </c>
      <c r="Z680" t="s">
        <v>106</v>
      </c>
      <c r="AA680" t="s">
        <v>128</v>
      </c>
      <c r="AB680" t="s">
        <v>115</v>
      </c>
      <c r="AC680">
        <v>2299</v>
      </c>
      <c r="AD680" s="8" t="b">
        <f>AND(
 H680&gt;=Filters!$B$3,
 H680&lt;=Filters!$B$4,
 I680&gt;=Filters!$B$5,
 OR(Filters!$B$6="All",B680=Filters!$B$6),
 F680&gt;=Filters!$B$7,
 F680&lt;=Filters!$B$8,
 OR(Filters!$B$9="All",G680=Filters!$B$9)
)</f>
        <v>0</v>
      </c>
      <c r="AE680">
        <f t="shared" si="130"/>
        <v>6</v>
      </c>
      <c r="AF680">
        <f t="shared" si="131"/>
        <v>7</v>
      </c>
      <c r="AG680">
        <f t="shared" si="132"/>
        <v>7</v>
      </c>
      <c r="AH680" s="9" t="str">
        <f t="shared" si="133"/>
        <v/>
      </c>
      <c r="AI680" s="9" t="str">
        <f t="shared" si="134"/>
        <v/>
      </c>
      <c r="AJ680" s="9" t="str">
        <f t="shared" si="135"/>
        <v/>
      </c>
      <c r="AK680" s="9" t="str">
        <f t="shared" si="136"/>
        <v/>
      </c>
      <c r="AL680" s="9" t="str">
        <f t="shared" si="137"/>
        <v/>
      </c>
      <c r="AM680" s="9" t="str">
        <f t="shared" si="138"/>
        <v/>
      </c>
      <c r="AN680" s="9" t="str">
        <f t="shared" si="139"/>
        <v/>
      </c>
      <c r="AO680" s="9" t="str">
        <f t="shared" si="140"/>
        <v/>
      </c>
      <c r="AP680" s="9" t="str">
        <f t="shared" si="141"/>
        <v/>
      </c>
      <c r="AQ680" s="10" t="str">
        <f t="shared" si="142"/>
        <v/>
      </c>
    </row>
    <row r="681" spans="1:43">
      <c r="A681">
        <v>680</v>
      </c>
      <c r="B681" t="s">
        <v>17</v>
      </c>
      <c r="C681" t="s">
        <v>1051</v>
      </c>
      <c r="D681" t="s">
        <v>1052</v>
      </c>
      <c r="E681" t="s">
        <v>158</v>
      </c>
      <c r="G681" t="s">
        <v>18</v>
      </c>
      <c r="H681" s="4">
        <v>35073000</v>
      </c>
      <c r="I681" s="5">
        <v>256</v>
      </c>
      <c r="J681" s="5">
        <v>0</v>
      </c>
      <c r="K681" s="5">
        <v>16</v>
      </c>
      <c r="L681">
        <v>7</v>
      </c>
      <c r="M681">
        <v>9.1999999999999993</v>
      </c>
      <c r="N681">
        <v>5.92</v>
      </c>
      <c r="O681" s="6">
        <v>15.6</v>
      </c>
      <c r="P681" s="7">
        <v>2.5</v>
      </c>
      <c r="U681" t="s">
        <v>84</v>
      </c>
      <c r="V681" t="s">
        <v>159</v>
      </c>
      <c r="W681">
        <v>2.5</v>
      </c>
      <c r="X681" t="s">
        <v>122</v>
      </c>
      <c r="Y681" t="s">
        <v>260</v>
      </c>
      <c r="Z681" t="s">
        <v>100</v>
      </c>
      <c r="AA681" t="s">
        <v>101</v>
      </c>
      <c r="AB681" t="s">
        <v>115</v>
      </c>
      <c r="AC681">
        <v>1299</v>
      </c>
      <c r="AD681" s="8" t="b">
        <f>AND(
 H681&gt;=Filters!$B$3,
 H681&lt;=Filters!$B$4,
 I681&gt;=Filters!$B$5,
 OR(Filters!$B$6="All",B681=Filters!$B$6),
 F681&gt;=Filters!$B$7,
 F681&lt;=Filters!$B$8,
 OR(Filters!$B$9="All",G681=Filters!$B$9)
)</f>
        <v>0</v>
      </c>
      <c r="AE681">
        <f t="shared" si="130"/>
        <v>6</v>
      </c>
      <c r="AF681">
        <f t="shared" si="131"/>
        <v>7</v>
      </c>
      <c r="AG681">
        <f t="shared" si="132"/>
        <v>7</v>
      </c>
      <c r="AH681" s="9" t="str">
        <f t="shared" si="133"/>
        <v/>
      </c>
      <c r="AI681" s="9" t="str">
        <f t="shared" si="134"/>
        <v/>
      </c>
      <c r="AJ681" s="9" t="str">
        <f t="shared" si="135"/>
        <v/>
      </c>
      <c r="AK681" s="9" t="str">
        <f t="shared" si="136"/>
        <v/>
      </c>
      <c r="AL681" s="9" t="str">
        <f t="shared" si="137"/>
        <v/>
      </c>
      <c r="AM681" s="9" t="str">
        <f t="shared" si="138"/>
        <v/>
      </c>
      <c r="AN681" s="9" t="str">
        <f t="shared" si="139"/>
        <v/>
      </c>
      <c r="AO681" s="9" t="str">
        <f t="shared" si="140"/>
        <v/>
      </c>
      <c r="AP681" s="9" t="str">
        <f t="shared" si="141"/>
        <v/>
      </c>
      <c r="AQ681" s="10" t="str">
        <f t="shared" si="142"/>
        <v/>
      </c>
    </row>
    <row r="682" spans="1:43">
      <c r="A682">
        <v>681</v>
      </c>
      <c r="B682" t="s">
        <v>30</v>
      </c>
      <c r="C682" t="s">
        <v>1053</v>
      </c>
      <c r="D682" t="s">
        <v>1054</v>
      </c>
      <c r="E682" t="s">
        <v>158</v>
      </c>
      <c r="G682" t="s">
        <v>18</v>
      </c>
      <c r="H682" s="4">
        <v>26943300</v>
      </c>
      <c r="I682" s="5">
        <v>256</v>
      </c>
      <c r="J682" s="5">
        <v>0</v>
      </c>
      <c r="K682" s="5">
        <v>8</v>
      </c>
      <c r="L682">
        <v>7</v>
      </c>
      <c r="M682">
        <v>9.1999999999999993</v>
      </c>
      <c r="N682">
        <v>5.92</v>
      </c>
      <c r="O682" s="6">
        <v>15.6</v>
      </c>
      <c r="P682" s="7">
        <v>2.2000000000000002</v>
      </c>
      <c r="U682" t="s">
        <v>84</v>
      </c>
      <c r="V682" t="s">
        <v>159</v>
      </c>
      <c r="W682">
        <v>2.5</v>
      </c>
      <c r="X682" t="s">
        <v>122</v>
      </c>
      <c r="Y682" t="s">
        <v>160</v>
      </c>
      <c r="Z682" t="s">
        <v>100</v>
      </c>
      <c r="AA682" t="s">
        <v>101</v>
      </c>
      <c r="AB682" t="s">
        <v>115</v>
      </c>
      <c r="AC682">
        <v>997.9</v>
      </c>
      <c r="AD682" s="8" t="b">
        <f>AND(
 H682&gt;=Filters!$B$3,
 H682&lt;=Filters!$B$4,
 I682&gt;=Filters!$B$5,
 OR(Filters!$B$6="All",B682=Filters!$B$6),
 F682&gt;=Filters!$B$7,
 F682&lt;=Filters!$B$8,
 OR(Filters!$B$9="All",G682=Filters!$B$9)
)</f>
        <v>0</v>
      </c>
      <c r="AE682">
        <f t="shared" si="130"/>
        <v>6</v>
      </c>
      <c r="AF682">
        <f t="shared" si="131"/>
        <v>7</v>
      </c>
      <c r="AG682">
        <f t="shared" si="132"/>
        <v>7</v>
      </c>
      <c r="AH682" s="9" t="str">
        <f t="shared" si="133"/>
        <v/>
      </c>
      <c r="AI682" s="9" t="str">
        <f t="shared" si="134"/>
        <v/>
      </c>
      <c r="AJ682" s="9" t="str">
        <f t="shared" si="135"/>
        <v/>
      </c>
      <c r="AK682" s="9" t="str">
        <f t="shared" si="136"/>
        <v/>
      </c>
      <c r="AL682" s="9" t="str">
        <f t="shared" si="137"/>
        <v/>
      </c>
      <c r="AM682" s="9" t="str">
        <f t="shared" si="138"/>
        <v/>
      </c>
      <c r="AN682" s="9" t="str">
        <f t="shared" si="139"/>
        <v/>
      </c>
      <c r="AO682" s="9" t="str">
        <f t="shared" si="140"/>
        <v/>
      </c>
      <c r="AP682" s="9" t="str">
        <f t="shared" si="141"/>
        <v/>
      </c>
      <c r="AQ682" s="10" t="str">
        <f t="shared" si="142"/>
        <v/>
      </c>
    </row>
    <row r="683" spans="1:43">
      <c r="A683">
        <v>682</v>
      </c>
      <c r="B683" t="s">
        <v>21</v>
      </c>
      <c r="C683" t="s">
        <v>1055</v>
      </c>
      <c r="D683" t="s">
        <v>1056</v>
      </c>
      <c r="E683" t="s">
        <v>97</v>
      </c>
      <c r="G683" t="s">
        <v>18</v>
      </c>
      <c r="H683" s="4">
        <v>11313000</v>
      </c>
      <c r="I683" s="5">
        <v>128</v>
      </c>
      <c r="J683" s="5">
        <v>0</v>
      </c>
      <c r="K683" s="5">
        <v>4</v>
      </c>
      <c r="L683">
        <v>1</v>
      </c>
      <c r="M683">
        <v>3.5</v>
      </c>
      <c r="N683">
        <v>3.92</v>
      </c>
      <c r="O683" s="6">
        <v>15.6</v>
      </c>
      <c r="P683" s="7">
        <v>1.86</v>
      </c>
      <c r="U683" t="s">
        <v>84</v>
      </c>
      <c r="V683" t="s">
        <v>198</v>
      </c>
      <c r="W683">
        <v>1.1000000000000001</v>
      </c>
      <c r="X683" t="s">
        <v>84</v>
      </c>
      <c r="Y683" t="s">
        <v>199</v>
      </c>
      <c r="Z683" t="s">
        <v>87</v>
      </c>
      <c r="AA683" t="s">
        <v>114</v>
      </c>
      <c r="AB683" t="s">
        <v>115</v>
      </c>
      <c r="AC683">
        <v>419</v>
      </c>
      <c r="AD683" s="8" t="b">
        <f>AND(
 H683&gt;=Filters!$B$3,
 H683&lt;=Filters!$B$4,
 I683&gt;=Filters!$B$5,
 OR(Filters!$B$6="All",B683=Filters!$B$6),
 F683&gt;=Filters!$B$7,
 F683&lt;=Filters!$B$8,
 OR(Filters!$B$9="All",G683=Filters!$B$9)
)</f>
        <v>0</v>
      </c>
      <c r="AE683">
        <f t="shared" si="130"/>
        <v>6</v>
      </c>
      <c r="AF683">
        <f t="shared" si="131"/>
        <v>7</v>
      </c>
      <c r="AG683">
        <f t="shared" si="132"/>
        <v>7</v>
      </c>
      <c r="AH683" s="9" t="str">
        <f t="shared" si="133"/>
        <v/>
      </c>
      <c r="AI683" s="9" t="str">
        <f t="shared" si="134"/>
        <v/>
      </c>
      <c r="AJ683" s="9" t="str">
        <f t="shared" si="135"/>
        <v/>
      </c>
      <c r="AK683" s="9" t="str">
        <f t="shared" si="136"/>
        <v/>
      </c>
      <c r="AL683" s="9" t="str">
        <f t="shared" si="137"/>
        <v/>
      </c>
      <c r="AM683" s="9" t="str">
        <f t="shared" si="138"/>
        <v/>
      </c>
      <c r="AN683" s="9" t="str">
        <f t="shared" si="139"/>
        <v/>
      </c>
      <c r="AO683" s="9" t="str">
        <f t="shared" si="140"/>
        <v/>
      </c>
      <c r="AP683" s="9" t="str">
        <f t="shared" si="141"/>
        <v/>
      </c>
      <c r="AQ683" s="10" t="str">
        <f t="shared" si="142"/>
        <v/>
      </c>
    </row>
    <row r="684" spans="1:43">
      <c r="A684">
        <v>683</v>
      </c>
      <c r="B684" t="s">
        <v>23</v>
      </c>
      <c r="C684" t="s">
        <v>1057</v>
      </c>
      <c r="D684" t="s">
        <v>1058</v>
      </c>
      <c r="E684" t="s">
        <v>158</v>
      </c>
      <c r="G684" t="s">
        <v>18</v>
      </c>
      <c r="H684" s="4">
        <v>55377000</v>
      </c>
      <c r="I684" s="5">
        <v>128</v>
      </c>
      <c r="J684" s="5">
        <v>1024</v>
      </c>
      <c r="K684" s="5">
        <v>16</v>
      </c>
      <c r="L684">
        <v>7</v>
      </c>
      <c r="M684">
        <v>9.1999999999999993</v>
      </c>
      <c r="N684">
        <v>5.92</v>
      </c>
      <c r="O684" s="6">
        <v>15.6</v>
      </c>
      <c r="P684" s="7">
        <v>3.21</v>
      </c>
      <c r="U684" t="s">
        <v>84</v>
      </c>
      <c r="V684" t="s">
        <v>159</v>
      </c>
      <c r="W684">
        <v>2.5</v>
      </c>
      <c r="X684" t="s">
        <v>122</v>
      </c>
      <c r="Y684" t="s">
        <v>211</v>
      </c>
      <c r="Z684" t="s">
        <v>161</v>
      </c>
      <c r="AA684" t="s">
        <v>101</v>
      </c>
      <c r="AB684" t="s">
        <v>115</v>
      </c>
      <c r="AC684">
        <v>2051</v>
      </c>
      <c r="AD684" s="8" t="b">
        <f>AND(
 H684&gt;=Filters!$B$3,
 H684&lt;=Filters!$B$4,
 I684&gt;=Filters!$B$5,
 OR(Filters!$B$6="All",B684=Filters!$B$6),
 F684&gt;=Filters!$B$7,
 F684&lt;=Filters!$B$8,
 OR(Filters!$B$9="All",G684=Filters!$B$9)
)</f>
        <v>0</v>
      </c>
      <c r="AE684">
        <f t="shared" si="130"/>
        <v>6</v>
      </c>
      <c r="AF684">
        <f t="shared" si="131"/>
        <v>7</v>
      </c>
      <c r="AG684">
        <f t="shared" si="132"/>
        <v>7</v>
      </c>
      <c r="AH684" s="9" t="str">
        <f t="shared" si="133"/>
        <v/>
      </c>
      <c r="AI684" s="9" t="str">
        <f t="shared" si="134"/>
        <v/>
      </c>
      <c r="AJ684" s="9" t="str">
        <f t="shared" si="135"/>
        <v/>
      </c>
      <c r="AK684" s="9" t="str">
        <f t="shared" si="136"/>
        <v/>
      </c>
      <c r="AL684" s="9" t="str">
        <f t="shared" si="137"/>
        <v/>
      </c>
      <c r="AM684" s="9" t="str">
        <f t="shared" si="138"/>
        <v/>
      </c>
      <c r="AN684" s="9" t="str">
        <f t="shared" si="139"/>
        <v/>
      </c>
      <c r="AO684" s="9" t="str">
        <f t="shared" si="140"/>
        <v/>
      </c>
      <c r="AP684" s="9" t="str">
        <f t="shared" si="141"/>
        <v/>
      </c>
      <c r="AQ684" s="10" t="str">
        <f t="shared" si="142"/>
        <v/>
      </c>
    </row>
    <row r="685" spans="1:43">
      <c r="A685">
        <v>684</v>
      </c>
      <c r="B685" t="s">
        <v>26</v>
      </c>
      <c r="C685" t="s">
        <v>1059</v>
      </c>
      <c r="D685" t="s">
        <v>1060</v>
      </c>
      <c r="E685" t="s">
        <v>97</v>
      </c>
      <c r="G685" t="s">
        <v>18</v>
      </c>
      <c r="H685" s="4">
        <v>18873000</v>
      </c>
      <c r="I685" s="5">
        <v>256</v>
      </c>
      <c r="J685" s="5">
        <v>0</v>
      </c>
      <c r="K685" s="5">
        <v>4</v>
      </c>
      <c r="L685">
        <v>4</v>
      </c>
      <c r="M685">
        <v>6.5</v>
      </c>
      <c r="N685">
        <v>6.24</v>
      </c>
      <c r="O685" s="6">
        <v>17.3</v>
      </c>
      <c r="P685" s="7">
        <v>2.5</v>
      </c>
      <c r="U685" t="s">
        <v>84</v>
      </c>
      <c r="V685" t="s">
        <v>129</v>
      </c>
      <c r="W685">
        <v>2</v>
      </c>
      <c r="X685" t="s">
        <v>104</v>
      </c>
      <c r="Y685" t="s">
        <v>1061</v>
      </c>
      <c r="Z685" t="s">
        <v>100</v>
      </c>
      <c r="AA685" t="s">
        <v>128</v>
      </c>
      <c r="AB685" t="s">
        <v>115</v>
      </c>
      <c r="AC685">
        <v>699</v>
      </c>
      <c r="AD685" s="8" t="b">
        <f>AND(
 H685&gt;=Filters!$B$3,
 H685&lt;=Filters!$B$4,
 I685&gt;=Filters!$B$5,
 OR(Filters!$B$6="All",B685=Filters!$B$6),
 F685&gt;=Filters!$B$7,
 F685&lt;=Filters!$B$8,
 OR(Filters!$B$9="All",G685=Filters!$B$9)
)</f>
        <v>1</v>
      </c>
      <c r="AE685">
        <f t="shared" si="130"/>
        <v>6</v>
      </c>
      <c r="AF685">
        <f t="shared" si="131"/>
        <v>7</v>
      </c>
      <c r="AG685">
        <f t="shared" si="132"/>
        <v>7</v>
      </c>
      <c r="AH685" s="9">
        <f t="shared" si="133"/>
        <v>0.33333333333333331</v>
      </c>
      <c r="AI685" s="9">
        <f t="shared" si="134"/>
        <v>0.33333333333333331</v>
      </c>
      <c r="AJ685" s="9">
        <f t="shared" si="135"/>
        <v>0.63095238095238093</v>
      </c>
      <c r="AK685" s="9">
        <f t="shared" si="136"/>
        <v>0.6</v>
      </c>
      <c r="AL685" s="9">
        <f t="shared" si="137"/>
        <v>0.84523809523809512</v>
      </c>
      <c r="AM685" s="9">
        <f t="shared" si="138"/>
        <v>0.5714285714285714</v>
      </c>
      <c r="AN685" s="9">
        <f t="shared" si="139"/>
        <v>0.69047619047619047</v>
      </c>
      <c r="AO685" s="9">
        <f t="shared" si="140"/>
        <v>0.69047619047619047</v>
      </c>
      <c r="AP685" s="9">
        <f t="shared" si="141"/>
        <v>0.53061823450929635</v>
      </c>
      <c r="AQ685" s="10">
        <f t="shared" si="142"/>
        <v>0.53061891950929629</v>
      </c>
    </row>
    <row r="686" spans="1:43">
      <c r="A686">
        <v>685</v>
      </c>
      <c r="B686" t="s">
        <v>29</v>
      </c>
      <c r="C686" t="s">
        <v>1062</v>
      </c>
      <c r="D686" t="s">
        <v>1063</v>
      </c>
      <c r="E686" t="s">
        <v>168</v>
      </c>
      <c r="G686" t="s">
        <v>18</v>
      </c>
      <c r="H686" s="4">
        <v>40473000</v>
      </c>
      <c r="I686" s="5">
        <v>512</v>
      </c>
      <c r="J686" s="5">
        <v>0</v>
      </c>
      <c r="K686" s="5">
        <v>8</v>
      </c>
      <c r="L686">
        <v>7.6</v>
      </c>
      <c r="M686">
        <v>3.8</v>
      </c>
      <c r="N686">
        <v>6.67</v>
      </c>
      <c r="O686" s="6">
        <v>13.3</v>
      </c>
      <c r="P686" s="7">
        <v>1.19</v>
      </c>
      <c r="U686" t="s">
        <v>84</v>
      </c>
      <c r="V686" t="s">
        <v>121</v>
      </c>
      <c r="W686">
        <v>1.8</v>
      </c>
      <c r="X686" t="s">
        <v>84</v>
      </c>
      <c r="Y686" t="s">
        <v>127</v>
      </c>
      <c r="Z686" t="s">
        <v>106</v>
      </c>
      <c r="AA686" t="s">
        <v>149</v>
      </c>
      <c r="AB686" t="s">
        <v>115</v>
      </c>
      <c r="AC686">
        <v>1499</v>
      </c>
      <c r="AD686" s="8" t="b">
        <f>AND(
 H686&gt;=Filters!$B$3,
 H686&lt;=Filters!$B$4,
 I686&gt;=Filters!$B$5,
 OR(Filters!$B$6="All",B686=Filters!$B$6),
 F686&gt;=Filters!$B$7,
 F686&lt;=Filters!$B$8,
 OR(Filters!$B$9="All",G686=Filters!$B$9)
)</f>
        <v>0</v>
      </c>
      <c r="AE686">
        <f t="shared" si="130"/>
        <v>6</v>
      </c>
      <c r="AF686">
        <f t="shared" si="131"/>
        <v>7</v>
      </c>
      <c r="AG686">
        <f t="shared" si="132"/>
        <v>7</v>
      </c>
      <c r="AH686" s="9" t="str">
        <f t="shared" si="133"/>
        <v/>
      </c>
      <c r="AI686" s="9" t="str">
        <f t="shared" si="134"/>
        <v/>
      </c>
      <c r="AJ686" s="9" t="str">
        <f t="shared" si="135"/>
        <v/>
      </c>
      <c r="AK686" s="9" t="str">
        <f t="shared" si="136"/>
        <v/>
      </c>
      <c r="AL686" s="9" t="str">
        <f t="shared" si="137"/>
        <v/>
      </c>
      <c r="AM686" s="9" t="str">
        <f t="shared" si="138"/>
        <v/>
      </c>
      <c r="AN686" s="9" t="str">
        <f t="shared" si="139"/>
        <v/>
      </c>
      <c r="AO686" s="9" t="str">
        <f t="shared" si="140"/>
        <v/>
      </c>
      <c r="AP686" s="9" t="str">
        <f t="shared" si="141"/>
        <v/>
      </c>
      <c r="AQ686" s="10" t="str">
        <f t="shared" si="142"/>
        <v/>
      </c>
    </row>
    <row r="687" spans="1:43">
      <c r="A687">
        <v>686</v>
      </c>
      <c r="B687" t="s">
        <v>23</v>
      </c>
      <c r="C687" t="s">
        <v>1057</v>
      </c>
      <c r="D687" t="s">
        <v>1058</v>
      </c>
      <c r="E687" t="s">
        <v>158</v>
      </c>
      <c r="G687" t="s">
        <v>18</v>
      </c>
      <c r="H687" s="4">
        <v>75971250</v>
      </c>
      <c r="I687" s="5">
        <v>256</v>
      </c>
      <c r="J687" s="5">
        <v>1024</v>
      </c>
      <c r="K687" s="5">
        <v>16</v>
      </c>
      <c r="L687">
        <v>9.8000000000000007</v>
      </c>
      <c r="M687">
        <v>9.1999999999999993</v>
      </c>
      <c r="N687">
        <v>5.92</v>
      </c>
      <c r="O687" s="6">
        <v>15.6</v>
      </c>
      <c r="P687" s="7">
        <v>3.49</v>
      </c>
      <c r="U687" t="s">
        <v>84</v>
      </c>
      <c r="V687" t="s">
        <v>455</v>
      </c>
      <c r="W687">
        <v>2.9</v>
      </c>
      <c r="X687" t="s">
        <v>122</v>
      </c>
      <c r="Y687" t="s">
        <v>248</v>
      </c>
      <c r="Z687" t="s">
        <v>212</v>
      </c>
      <c r="AA687" t="s">
        <v>101</v>
      </c>
      <c r="AB687" t="s">
        <v>115</v>
      </c>
      <c r="AC687">
        <v>2813.75</v>
      </c>
      <c r="AD687" s="8" t="b">
        <f>AND(
 H687&gt;=Filters!$B$3,
 H687&lt;=Filters!$B$4,
 I687&gt;=Filters!$B$5,
 OR(Filters!$B$6="All",B687=Filters!$B$6),
 F687&gt;=Filters!$B$7,
 F687&lt;=Filters!$B$8,
 OR(Filters!$B$9="All",G687=Filters!$B$9)
)</f>
        <v>0</v>
      </c>
      <c r="AE687">
        <f t="shared" si="130"/>
        <v>6</v>
      </c>
      <c r="AF687">
        <f t="shared" si="131"/>
        <v>7</v>
      </c>
      <c r="AG687">
        <f t="shared" si="132"/>
        <v>7</v>
      </c>
      <c r="AH687" s="9" t="str">
        <f t="shared" si="133"/>
        <v/>
      </c>
      <c r="AI687" s="9" t="str">
        <f t="shared" si="134"/>
        <v/>
      </c>
      <c r="AJ687" s="9" t="str">
        <f t="shared" si="135"/>
        <v/>
      </c>
      <c r="AK687" s="9" t="str">
        <f t="shared" si="136"/>
        <v/>
      </c>
      <c r="AL687" s="9" t="str">
        <f t="shared" si="137"/>
        <v/>
      </c>
      <c r="AM687" s="9" t="str">
        <f t="shared" si="138"/>
        <v/>
      </c>
      <c r="AN687" s="9" t="str">
        <f t="shared" si="139"/>
        <v/>
      </c>
      <c r="AO687" s="9" t="str">
        <f t="shared" si="140"/>
        <v/>
      </c>
      <c r="AP687" s="9" t="str">
        <f t="shared" si="141"/>
        <v/>
      </c>
      <c r="AQ687" s="10" t="str">
        <f t="shared" si="142"/>
        <v/>
      </c>
    </row>
    <row r="688" spans="1:43">
      <c r="A688">
        <v>687</v>
      </c>
      <c r="B688" t="s">
        <v>26</v>
      </c>
      <c r="C688" t="s">
        <v>95</v>
      </c>
      <c r="D688" t="s">
        <v>96</v>
      </c>
      <c r="E688" t="s">
        <v>97</v>
      </c>
      <c r="G688" t="s">
        <v>18</v>
      </c>
      <c r="H688" s="4">
        <v>16540470</v>
      </c>
      <c r="I688" s="5">
        <v>0</v>
      </c>
      <c r="J688" s="5">
        <v>500</v>
      </c>
      <c r="K688" s="5">
        <v>4</v>
      </c>
      <c r="L688">
        <v>7</v>
      </c>
      <c r="M688">
        <v>6.5</v>
      </c>
      <c r="N688">
        <v>3.92</v>
      </c>
      <c r="O688" s="6">
        <v>15.6</v>
      </c>
      <c r="P688" s="7">
        <v>1.86</v>
      </c>
      <c r="U688" t="s">
        <v>84</v>
      </c>
      <c r="V688" t="s">
        <v>98</v>
      </c>
      <c r="W688">
        <v>2.5</v>
      </c>
      <c r="X688" t="s">
        <v>104</v>
      </c>
      <c r="Y688" t="s">
        <v>241</v>
      </c>
      <c r="Z688" t="s">
        <v>113</v>
      </c>
      <c r="AA688" t="s">
        <v>114</v>
      </c>
      <c r="AB688" t="s">
        <v>115</v>
      </c>
      <c r="AC688">
        <v>612.61</v>
      </c>
      <c r="AD688" s="8" t="b">
        <f>AND(
 H688&gt;=Filters!$B$3,
 H688&lt;=Filters!$B$4,
 I688&gt;=Filters!$B$5,
 OR(Filters!$B$6="All",B688=Filters!$B$6),
 F688&gt;=Filters!$B$7,
 F688&lt;=Filters!$B$8,
 OR(Filters!$B$9="All",G688=Filters!$B$9)
)</f>
        <v>0</v>
      </c>
      <c r="AE688">
        <f t="shared" si="130"/>
        <v>6</v>
      </c>
      <c r="AF688">
        <f t="shared" si="131"/>
        <v>7</v>
      </c>
      <c r="AG688">
        <f t="shared" si="132"/>
        <v>7</v>
      </c>
      <c r="AH688" s="9" t="str">
        <f t="shared" si="133"/>
        <v/>
      </c>
      <c r="AI688" s="9" t="str">
        <f t="shared" si="134"/>
        <v/>
      </c>
      <c r="AJ688" s="9" t="str">
        <f t="shared" si="135"/>
        <v/>
      </c>
      <c r="AK688" s="9" t="str">
        <f t="shared" si="136"/>
        <v/>
      </c>
      <c r="AL688" s="9" t="str">
        <f t="shared" si="137"/>
        <v/>
      </c>
      <c r="AM688" s="9" t="str">
        <f t="shared" si="138"/>
        <v/>
      </c>
      <c r="AN688" s="9" t="str">
        <f t="shared" si="139"/>
        <v/>
      </c>
      <c r="AO688" s="9" t="str">
        <f t="shared" si="140"/>
        <v/>
      </c>
      <c r="AP688" s="9" t="str">
        <f t="shared" si="141"/>
        <v/>
      </c>
      <c r="AQ688" s="10" t="str">
        <f t="shared" si="142"/>
        <v/>
      </c>
    </row>
    <row r="689" spans="1:43">
      <c r="A689">
        <v>688</v>
      </c>
      <c r="B689" t="s">
        <v>23</v>
      </c>
      <c r="C689" t="s">
        <v>132</v>
      </c>
      <c r="D689" t="s">
        <v>133</v>
      </c>
      <c r="E689" t="s">
        <v>97</v>
      </c>
      <c r="G689" t="s">
        <v>18</v>
      </c>
      <c r="H689" s="4">
        <v>14733090</v>
      </c>
      <c r="I689" s="5">
        <v>0</v>
      </c>
      <c r="J689" s="5">
        <v>1024</v>
      </c>
      <c r="K689" s="5">
        <v>4</v>
      </c>
      <c r="L689">
        <v>4</v>
      </c>
      <c r="M689">
        <v>6.5</v>
      </c>
      <c r="N689">
        <v>3.92</v>
      </c>
      <c r="O689" s="6">
        <v>15.6</v>
      </c>
      <c r="P689" s="7">
        <v>2.2000000000000002</v>
      </c>
      <c r="U689" t="s">
        <v>84</v>
      </c>
      <c r="V689" t="s">
        <v>129</v>
      </c>
      <c r="W689">
        <v>2</v>
      </c>
      <c r="X689" t="s">
        <v>104</v>
      </c>
      <c r="Y689" t="s">
        <v>134</v>
      </c>
      <c r="Z689" t="s">
        <v>146</v>
      </c>
      <c r="AA689" t="s">
        <v>114</v>
      </c>
      <c r="AB689" t="s">
        <v>115</v>
      </c>
      <c r="AC689">
        <v>545.66999999999996</v>
      </c>
      <c r="AD689" s="8" t="b">
        <f>AND(
 H689&gt;=Filters!$B$3,
 H689&lt;=Filters!$B$4,
 I689&gt;=Filters!$B$5,
 OR(Filters!$B$6="All",B689=Filters!$B$6),
 F689&gt;=Filters!$B$7,
 F689&lt;=Filters!$B$8,
 OR(Filters!$B$9="All",G689=Filters!$B$9)
)</f>
        <v>0</v>
      </c>
      <c r="AE689">
        <f t="shared" si="130"/>
        <v>6</v>
      </c>
      <c r="AF689">
        <f t="shared" si="131"/>
        <v>7</v>
      </c>
      <c r="AG689">
        <f t="shared" si="132"/>
        <v>7</v>
      </c>
      <c r="AH689" s="9" t="str">
        <f t="shared" si="133"/>
        <v/>
      </c>
      <c r="AI689" s="9" t="str">
        <f t="shared" si="134"/>
        <v/>
      </c>
      <c r="AJ689" s="9" t="str">
        <f t="shared" si="135"/>
        <v/>
      </c>
      <c r="AK689" s="9" t="str">
        <f t="shared" si="136"/>
        <v/>
      </c>
      <c r="AL689" s="9" t="str">
        <f t="shared" si="137"/>
        <v/>
      </c>
      <c r="AM689" s="9" t="str">
        <f t="shared" si="138"/>
        <v/>
      </c>
      <c r="AN689" s="9" t="str">
        <f t="shared" si="139"/>
        <v/>
      </c>
      <c r="AO689" s="9" t="str">
        <f t="shared" si="140"/>
        <v/>
      </c>
      <c r="AP689" s="9" t="str">
        <f t="shared" si="141"/>
        <v/>
      </c>
      <c r="AQ689" s="10" t="str">
        <f t="shared" si="142"/>
        <v/>
      </c>
    </row>
    <row r="690" spans="1:43">
      <c r="A690">
        <v>689</v>
      </c>
      <c r="B690" t="s">
        <v>26</v>
      </c>
      <c r="C690" t="s">
        <v>1064</v>
      </c>
      <c r="D690" t="s">
        <v>1065</v>
      </c>
      <c r="E690" t="s">
        <v>97</v>
      </c>
      <c r="G690" t="s">
        <v>18</v>
      </c>
      <c r="H690" s="4">
        <v>15363000</v>
      </c>
      <c r="I690" s="5">
        <v>0</v>
      </c>
      <c r="J690" s="5">
        <v>2048</v>
      </c>
      <c r="K690" s="5">
        <v>6</v>
      </c>
      <c r="L690">
        <v>5.8</v>
      </c>
      <c r="M690">
        <v>6.5</v>
      </c>
      <c r="N690">
        <v>6.24</v>
      </c>
      <c r="O690" s="6">
        <v>17.3</v>
      </c>
      <c r="P690" s="7">
        <v>2.65</v>
      </c>
      <c r="U690" t="s">
        <v>104</v>
      </c>
      <c r="V690" t="s">
        <v>577</v>
      </c>
      <c r="W690">
        <v>2.4</v>
      </c>
      <c r="X690" t="s">
        <v>104</v>
      </c>
      <c r="Y690" t="s">
        <v>1066</v>
      </c>
      <c r="Z690" t="s">
        <v>283</v>
      </c>
      <c r="AA690" t="s">
        <v>128</v>
      </c>
      <c r="AB690" t="s">
        <v>115</v>
      </c>
      <c r="AC690">
        <v>569</v>
      </c>
      <c r="AD690" s="8" t="b">
        <f>AND(
 H690&gt;=Filters!$B$3,
 H690&lt;=Filters!$B$4,
 I690&gt;=Filters!$B$5,
 OR(Filters!$B$6="All",B690=Filters!$B$6),
 F690&gt;=Filters!$B$7,
 F690&lt;=Filters!$B$8,
 OR(Filters!$B$9="All",G690=Filters!$B$9)
)</f>
        <v>0</v>
      </c>
      <c r="AE690">
        <f t="shared" si="130"/>
        <v>6</v>
      </c>
      <c r="AF690">
        <f t="shared" si="131"/>
        <v>7</v>
      </c>
      <c r="AG690">
        <f t="shared" si="132"/>
        <v>7</v>
      </c>
      <c r="AH690" s="9" t="str">
        <f t="shared" si="133"/>
        <v/>
      </c>
      <c r="AI690" s="9" t="str">
        <f t="shared" si="134"/>
        <v/>
      </c>
      <c r="AJ690" s="9" t="str">
        <f t="shared" si="135"/>
        <v/>
      </c>
      <c r="AK690" s="9" t="str">
        <f t="shared" si="136"/>
        <v/>
      </c>
      <c r="AL690" s="9" t="str">
        <f t="shared" si="137"/>
        <v/>
      </c>
      <c r="AM690" s="9" t="str">
        <f t="shared" si="138"/>
        <v/>
      </c>
      <c r="AN690" s="9" t="str">
        <f t="shared" si="139"/>
        <v/>
      </c>
      <c r="AO690" s="9" t="str">
        <f t="shared" si="140"/>
        <v/>
      </c>
      <c r="AP690" s="9" t="str">
        <f t="shared" si="141"/>
        <v/>
      </c>
      <c r="AQ690" s="10" t="str">
        <f t="shared" si="142"/>
        <v/>
      </c>
    </row>
    <row r="691" spans="1:43">
      <c r="A691">
        <v>690</v>
      </c>
      <c r="B691" t="s">
        <v>29</v>
      </c>
      <c r="C691" t="s">
        <v>1067</v>
      </c>
      <c r="D691" t="s">
        <v>1068</v>
      </c>
      <c r="E691" t="s">
        <v>97</v>
      </c>
      <c r="G691" t="s">
        <v>18</v>
      </c>
      <c r="H691" s="4">
        <v>8586000</v>
      </c>
      <c r="I691" s="5">
        <v>0</v>
      </c>
      <c r="J691" s="5">
        <v>500</v>
      </c>
      <c r="K691" s="5">
        <v>4</v>
      </c>
      <c r="L691">
        <v>1.2</v>
      </c>
      <c r="M691">
        <v>3.5</v>
      </c>
      <c r="N691">
        <v>3.92</v>
      </c>
      <c r="O691" s="6">
        <v>15.6</v>
      </c>
      <c r="P691" s="7">
        <v>2.1</v>
      </c>
      <c r="U691" t="s">
        <v>84</v>
      </c>
      <c r="V691" t="s">
        <v>604</v>
      </c>
      <c r="W691">
        <v>1.6</v>
      </c>
      <c r="X691" t="s">
        <v>84</v>
      </c>
      <c r="Y691" t="s">
        <v>605</v>
      </c>
      <c r="Z691" t="s">
        <v>113</v>
      </c>
      <c r="AA691" t="s">
        <v>114</v>
      </c>
      <c r="AB691" t="s">
        <v>115</v>
      </c>
      <c r="AC691">
        <v>318</v>
      </c>
      <c r="AD691" s="8" t="b">
        <f>AND(
 H691&gt;=Filters!$B$3,
 H691&lt;=Filters!$B$4,
 I691&gt;=Filters!$B$5,
 OR(Filters!$B$6="All",B691=Filters!$B$6),
 F691&gt;=Filters!$B$7,
 F691&lt;=Filters!$B$8,
 OR(Filters!$B$9="All",G691=Filters!$B$9)
)</f>
        <v>0</v>
      </c>
      <c r="AE691">
        <f t="shared" si="130"/>
        <v>6</v>
      </c>
      <c r="AF691">
        <f t="shared" si="131"/>
        <v>7</v>
      </c>
      <c r="AG691">
        <f t="shared" si="132"/>
        <v>7</v>
      </c>
      <c r="AH691" s="9" t="str">
        <f t="shared" si="133"/>
        <v/>
      </c>
      <c r="AI691" s="9" t="str">
        <f t="shared" si="134"/>
        <v/>
      </c>
      <c r="AJ691" s="9" t="str">
        <f t="shared" si="135"/>
        <v/>
      </c>
      <c r="AK691" s="9" t="str">
        <f t="shared" si="136"/>
        <v/>
      </c>
      <c r="AL691" s="9" t="str">
        <f t="shared" si="137"/>
        <v/>
      </c>
      <c r="AM691" s="9" t="str">
        <f t="shared" si="138"/>
        <v/>
      </c>
      <c r="AN691" s="9" t="str">
        <f t="shared" si="139"/>
        <v/>
      </c>
      <c r="AO691" s="9" t="str">
        <f t="shared" si="140"/>
        <v/>
      </c>
      <c r="AP691" s="9" t="str">
        <f t="shared" si="141"/>
        <v/>
      </c>
      <c r="AQ691" s="10" t="str">
        <f t="shared" si="142"/>
        <v/>
      </c>
    </row>
    <row r="692" spans="1:43">
      <c r="A692">
        <v>691</v>
      </c>
      <c r="B692" t="s">
        <v>17</v>
      </c>
      <c r="C692" t="s">
        <v>1069</v>
      </c>
      <c r="D692" t="s">
        <v>1070</v>
      </c>
      <c r="E692" t="s">
        <v>97</v>
      </c>
      <c r="G692" t="s">
        <v>18</v>
      </c>
      <c r="H692" s="4">
        <v>10125000</v>
      </c>
      <c r="I692" s="5">
        <v>32</v>
      </c>
      <c r="J692" s="5">
        <v>0</v>
      </c>
      <c r="K692" s="5">
        <v>4</v>
      </c>
      <c r="L692">
        <v>1.2</v>
      </c>
      <c r="M692">
        <v>3.5</v>
      </c>
      <c r="N692">
        <v>4</v>
      </c>
      <c r="O692" s="6">
        <v>14</v>
      </c>
      <c r="P692" s="7">
        <v>1.45</v>
      </c>
      <c r="U692" t="s">
        <v>84</v>
      </c>
      <c r="V692" t="s">
        <v>604</v>
      </c>
      <c r="W692">
        <v>1.6</v>
      </c>
      <c r="X692" t="s">
        <v>84</v>
      </c>
      <c r="Y692" t="s">
        <v>605</v>
      </c>
      <c r="Z692" t="s">
        <v>155</v>
      </c>
      <c r="AA692" t="s">
        <v>114</v>
      </c>
      <c r="AB692" t="s">
        <v>563</v>
      </c>
      <c r="AC692">
        <v>375</v>
      </c>
      <c r="AD692" s="8" t="b">
        <f>AND(
 H692&gt;=Filters!$B$3,
 H692&lt;=Filters!$B$4,
 I692&gt;=Filters!$B$5,
 OR(Filters!$B$6="All",B692=Filters!$B$6),
 F692&gt;=Filters!$B$7,
 F692&lt;=Filters!$B$8,
 OR(Filters!$B$9="All",G692=Filters!$B$9)
)</f>
        <v>0</v>
      </c>
      <c r="AE692">
        <f t="shared" si="130"/>
        <v>6</v>
      </c>
      <c r="AF692">
        <f t="shared" si="131"/>
        <v>7</v>
      </c>
      <c r="AG692">
        <f t="shared" si="132"/>
        <v>7</v>
      </c>
      <c r="AH692" s="9" t="str">
        <f t="shared" si="133"/>
        <v/>
      </c>
      <c r="AI692" s="9" t="str">
        <f t="shared" si="134"/>
        <v/>
      </c>
      <c r="AJ692" s="9" t="str">
        <f t="shared" si="135"/>
        <v/>
      </c>
      <c r="AK692" s="9" t="str">
        <f t="shared" si="136"/>
        <v/>
      </c>
      <c r="AL692" s="9" t="str">
        <f t="shared" si="137"/>
        <v/>
      </c>
      <c r="AM692" s="9" t="str">
        <f t="shared" si="138"/>
        <v/>
      </c>
      <c r="AN692" s="9" t="str">
        <f t="shared" si="139"/>
        <v/>
      </c>
      <c r="AO692" s="9" t="str">
        <f t="shared" si="140"/>
        <v/>
      </c>
      <c r="AP692" s="9" t="str">
        <f t="shared" si="141"/>
        <v/>
      </c>
      <c r="AQ692" s="10" t="str">
        <f t="shared" si="142"/>
        <v/>
      </c>
    </row>
    <row r="693" spans="1:43">
      <c r="A693">
        <v>692</v>
      </c>
      <c r="B693" t="s">
        <v>29</v>
      </c>
      <c r="C693" t="s">
        <v>1071</v>
      </c>
      <c r="D693" t="s">
        <v>1072</v>
      </c>
      <c r="E693" t="s">
        <v>97</v>
      </c>
      <c r="G693" t="s">
        <v>18</v>
      </c>
      <c r="H693" s="4">
        <v>18873000</v>
      </c>
      <c r="I693" s="5">
        <v>256</v>
      </c>
      <c r="J693" s="5">
        <v>0</v>
      </c>
      <c r="K693" s="5">
        <v>4</v>
      </c>
      <c r="L693">
        <v>7</v>
      </c>
      <c r="M693">
        <v>3.5</v>
      </c>
      <c r="N693">
        <v>6</v>
      </c>
      <c r="O693" s="6">
        <v>14</v>
      </c>
      <c r="P693" s="7">
        <v>1.7</v>
      </c>
      <c r="U693" t="s">
        <v>84</v>
      </c>
      <c r="V693" t="s">
        <v>98</v>
      </c>
      <c r="W693">
        <v>2.5</v>
      </c>
      <c r="X693" t="s">
        <v>84</v>
      </c>
      <c r="Y693" t="s">
        <v>99</v>
      </c>
      <c r="Z693" t="s">
        <v>100</v>
      </c>
      <c r="AA693" t="s">
        <v>101</v>
      </c>
      <c r="AB693" t="s">
        <v>115</v>
      </c>
      <c r="AC693">
        <v>699</v>
      </c>
      <c r="AD693" s="8" t="b">
        <f>AND(
 H693&gt;=Filters!$B$3,
 H693&lt;=Filters!$B$4,
 I693&gt;=Filters!$B$5,
 OR(Filters!$B$6="All",B693=Filters!$B$6),
 F693&gt;=Filters!$B$7,
 F693&lt;=Filters!$B$8,
 OR(Filters!$B$9="All",G693=Filters!$B$9)
)</f>
        <v>1</v>
      </c>
      <c r="AE693">
        <f t="shared" si="130"/>
        <v>6</v>
      </c>
      <c r="AF693">
        <f t="shared" si="131"/>
        <v>7</v>
      </c>
      <c r="AG693">
        <f t="shared" si="132"/>
        <v>7</v>
      </c>
      <c r="AH693" s="9">
        <f t="shared" si="133"/>
        <v>0.69047619047619047</v>
      </c>
      <c r="AI693" s="9">
        <f t="shared" si="134"/>
        <v>0.33333333333333331</v>
      </c>
      <c r="AJ693" s="9">
        <f t="shared" si="135"/>
        <v>0.27380952380952378</v>
      </c>
      <c r="AK693" s="9">
        <f t="shared" si="136"/>
        <v>0.5714285714285714</v>
      </c>
      <c r="AL693" s="9">
        <f t="shared" si="137"/>
        <v>0.94047619047619035</v>
      </c>
      <c r="AM693" s="9">
        <f t="shared" si="138"/>
        <v>0.5714285714285714</v>
      </c>
      <c r="AN693" s="9">
        <f t="shared" si="139"/>
        <v>0.69047619047619047</v>
      </c>
      <c r="AO693" s="9">
        <f t="shared" si="140"/>
        <v>0.69047619047619047</v>
      </c>
      <c r="AP693" s="9">
        <f t="shared" si="141"/>
        <v>0.58421466913634001</v>
      </c>
      <c r="AQ693" s="10">
        <f t="shared" si="142"/>
        <v>0.58421536213634007</v>
      </c>
    </row>
    <row r="694" spans="1:43">
      <c r="A694">
        <v>693</v>
      </c>
      <c r="B694" t="s">
        <v>26</v>
      </c>
      <c r="C694" t="s">
        <v>917</v>
      </c>
      <c r="D694" t="s">
        <v>918</v>
      </c>
      <c r="E694" t="s">
        <v>468</v>
      </c>
      <c r="G694" t="s">
        <v>18</v>
      </c>
      <c r="H694" s="4">
        <v>51515730</v>
      </c>
      <c r="I694" s="5">
        <v>0</v>
      </c>
      <c r="J694" s="5">
        <v>500</v>
      </c>
      <c r="K694" s="5">
        <v>8</v>
      </c>
      <c r="L694">
        <v>9.6</v>
      </c>
      <c r="M694">
        <v>8</v>
      </c>
      <c r="N694">
        <v>5.83</v>
      </c>
      <c r="O694" s="6">
        <v>17.3</v>
      </c>
      <c r="P694" s="7">
        <v>3.14</v>
      </c>
      <c r="U694" t="s">
        <v>84</v>
      </c>
      <c r="V694" t="s">
        <v>210</v>
      </c>
      <c r="W694">
        <v>2.8</v>
      </c>
      <c r="X694" t="s">
        <v>122</v>
      </c>
      <c r="Y694" t="s">
        <v>470</v>
      </c>
      <c r="Z694" t="s">
        <v>113</v>
      </c>
      <c r="AA694" t="s">
        <v>101</v>
      </c>
      <c r="AB694" t="s">
        <v>115</v>
      </c>
      <c r="AC694">
        <v>1907.99</v>
      </c>
      <c r="AD694" s="8" t="b">
        <f>AND(
 H694&gt;=Filters!$B$3,
 H694&lt;=Filters!$B$4,
 I694&gt;=Filters!$B$5,
 OR(Filters!$B$6="All",B694=Filters!$B$6),
 F694&gt;=Filters!$B$7,
 F694&lt;=Filters!$B$8,
 OR(Filters!$B$9="All",G694=Filters!$B$9)
)</f>
        <v>0</v>
      </c>
      <c r="AE694">
        <f t="shared" si="130"/>
        <v>6</v>
      </c>
      <c r="AF694">
        <f t="shared" si="131"/>
        <v>7</v>
      </c>
      <c r="AG694">
        <f t="shared" si="132"/>
        <v>7</v>
      </c>
      <c r="AH694" s="9" t="str">
        <f t="shared" si="133"/>
        <v/>
      </c>
      <c r="AI694" s="9" t="str">
        <f t="shared" si="134"/>
        <v/>
      </c>
      <c r="AJ694" s="9" t="str">
        <f t="shared" si="135"/>
        <v/>
      </c>
      <c r="AK694" s="9" t="str">
        <f t="shared" si="136"/>
        <v/>
      </c>
      <c r="AL694" s="9" t="str">
        <f t="shared" si="137"/>
        <v/>
      </c>
      <c r="AM694" s="9" t="str">
        <f t="shared" si="138"/>
        <v/>
      </c>
      <c r="AN694" s="9" t="str">
        <f t="shared" si="139"/>
        <v/>
      </c>
      <c r="AO694" s="9" t="str">
        <f t="shared" si="140"/>
        <v/>
      </c>
      <c r="AP694" s="9" t="str">
        <f t="shared" si="141"/>
        <v/>
      </c>
      <c r="AQ694" s="10" t="str">
        <f t="shared" si="142"/>
        <v/>
      </c>
    </row>
    <row r="695" spans="1:43">
      <c r="A695">
        <v>694</v>
      </c>
      <c r="B695" t="s">
        <v>29</v>
      </c>
      <c r="C695" t="s">
        <v>546</v>
      </c>
      <c r="D695" t="s">
        <v>547</v>
      </c>
      <c r="E695" t="s">
        <v>168</v>
      </c>
      <c r="G695" t="s">
        <v>18</v>
      </c>
      <c r="H695" s="4">
        <v>69930000</v>
      </c>
      <c r="I695" s="5">
        <v>256</v>
      </c>
      <c r="J695" s="5">
        <v>0</v>
      </c>
      <c r="K695" s="5">
        <v>8</v>
      </c>
      <c r="L695">
        <v>9.4</v>
      </c>
      <c r="M695">
        <v>3.5</v>
      </c>
      <c r="N695">
        <v>7.3</v>
      </c>
      <c r="O695" s="6">
        <v>14</v>
      </c>
      <c r="P695" s="7">
        <v>1.42</v>
      </c>
      <c r="U695" t="s">
        <v>84</v>
      </c>
      <c r="V695" t="s">
        <v>140</v>
      </c>
      <c r="W695">
        <v>2.7</v>
      </c>
      <c r="X695" t="s">
        <v>84</v>
      </c>
      <c r="Y695" t="s">
        <v>99</v>
      </c>
      <c r="Z695" t="s">
        <v>100</v>
      </c>
      <c r="AA695" t="s">
        <v>446</v>
      </c>
      <c r="AB695" t="s">
        <v>115</v>
      </c>
      <c r="AC695">
        <v>2590</v>
      </c>
      <c r="AD695" s="8" t="b">
        <f>AND(
 H695&gt;=Filters!$B$3,
 H695&lt;=Filters!$B$4,
 I695&gt;=Filters!$B$5,
 OR(Filters!$B$6="All",B695=Filters!$B$6),
 F695&gt;=Filters!$B$7,
 F695&lt;=Filters!$B$8,
 OR(Filters!$B$9="All",G695=Filters!$B$9)
)</f>
        <v>0</v>
      </c>
      <c r="AE695">
        <f t="shared" si="130"/>
        <v>6</v>
      </c>
      <c r="AF695">
        <f t="shared" si="131"/>
        <v>7</v>
      </c>
      <c r="AG695">
        <f t="shared" si="132"/>
        <v>7</v>
      </c>
      <c r="AH695" s="9" t="str">
        <f t="shared" si="133"/>
        <v/>
      </c>
      <c r="AI695" s="9" t="str">
        <f t="shared" si="134"/>
        <v/>
      </c>
      <c r="AJ695" s="9" t="str">
        <f t="shared" si="135"/>
        <v/>
      </c>
      <c r="AK695" s="9" t="str">
        <f t="shared" si="136"/>
        <v/>
      </c>
      <c r="AL695" s="9" t="str">
        <f t="shared" si="137"/>
        <v/>
      </c>
      <c r="AM695" s="9" t="str">
        <f t="shared" si="138"/>
        <v/>
      </c>
      <c r="AN695" s="9" t="str">
        <f t="shared" si="139"/>
        <v/>
      </c>
      <c r="AO695" s="9" t="str">
        <f t="shared" si="140"/>
        <v/>
      </c>
      <c r="AP695" s="9" t="str">
        <f t="shared" si="141"/>
        <v/>
      </c>
      <c r="AQ695" s="10" t="str">
        <f t="shared" si="142"/>
        <v/>
      </c>
    </row>
    <row r="696" spans="1:43">
      <c r="A696">
        <v>695</v>
      </c>
      <c r="B696" t="s">
        <v>35</v>
      </c>
      <c r="C696" t="s">
        <v>373</v>
      </c>
      <c r="D696" t="s">
        <v>374</v>
      </c>
      <c r="E696" t="s">
        <v>97</v>
      </c>
      <c r="G696" t="s">
        <v>18</v>
      </c>
      <c r="H696" s="4">
        <v>26271000</v>
      </c>
      <c r="I696" s="5">
        <v>256</v>
      </c>
      <c r="J696" s="5">
        <v>0</v>
      </c>
      <c r="K696" s="5">
        <v>8</v>
      </c>
      <c r="L696">
        <v>7</v>
      </c>
      <c r="M696">
        <v>3.5</v>
      </c>
      <c r="N696">
        <v>6.37</v>
      </c>
      <c r="O696" s="6">
        <v>13.3</v>
      </c>
      <c r="P696" s="7">
        <v>1.5</v>
      </c>
      <c r="U696" t="s">
        <v>84</v>
      </c>
      <c r="V696" t="s">
        <v>98</v>
      </c>
      <c r="W696">
        <v>2.5</v>
      </c>
      <c r="X696" t="s">
        <v>84</v>
      </c>
      <c r="Y696" t="s">
        <v>99</v>
      </c>
      <c r="Z696" t="s">
        <v>100</v>
      </c>
      <c r="AA696" t="s">
        <v>128</v>
      </c>
      <c r="AB696" t="s">
        <v>115</v>
      </c>
      <c r="AC696">
        <v>973</v>
      </c>
      <c r="AD696" s="8" t="b">
        <f>AND(
 H696&gt;=Filters!$B$3,
 H696&lt;=Filters!$B$4,
 I696&gt;=Filters!$B$5,
 OR(Filters!$B$6="All",B696=Filters!$B$6),
 F696&gt;=Filters!$B$7,
 F696&lt;=Filters!$B$8,
 OR(Filters!$B$9="All",G696=Filters!$B$9)
)</f>
        <v>0</v>
      </c>
      <c r="AE696">
        <f t="shared" si="130"/>
        <v>6</v>
      </c>
      <c r="AF696">
        <f t="shared" si="131"/>
        <v>7</v>
      </c>
      <c r="AG696">
        <f t="shared" si="132"/>
        <v>7</v>
      </c>
      <c r="AH696" s="9" t="str">
        <f t="shared" si="133"/>
        <v/>
      </c>
      <c r="AI696" s="9" t="str">
        <f t="shared" si="134"/>
        <v/>
      </c>
      <c r="AJ696" s="9" t="str">
        <f t="shared" si="135"/>
        <v/>
      </c>
      <c r="AK696" s="9" t="str">
        <f t="shared" si="136"/>
        <v/>
      </c>
      <c r="AL696" s="9" t="str">
        <f t="shared" si="137"/>
        <v/>
      </c>
      <c r="AM696" s="9" t="str">
        <f t="shared" si="138"/>
        <v/>
      </c>
      <c r="AN696" s="9" t="str">
        <f t="shared" si="139"/>
        <v/>
      </c>
      <c r="AO696" s="9" t="str">
        <f t="shared" si="140"/>
        <v/>
      </c>
      <c r="AP696" s="9" t="str">
        <f t="shared" si="141"/>
        <v/>
      </c>
      <c r="AQ696" s="10" t="str">
        <f t="shared" si="142"/>
        <v/>
      </c>
    </row>
    <row r="697" spans="1:43">
      <c r="A697">
        <v>696</v>
      </c>
      <c r="B697" t="s">
        <v>17</v>
      </c>
      <c r="C697" t="s">
        <v>1073</v>
      </c>
      <c r="D697" t="s">
        <v>1074</v>
      </c>
      <c r="E697" t="s">
        <v>152</v>
      </c>
      <c r="G697" t="s">
        <v>18</v>
      </c>
      <c r="H697" s="4">
        <v>7263000</v>
      </c>
      <c r="I697" s="5">
        <v>32</v>
      </c>
      <c r="J697" s="5">
        <v>0</v>
      </c>
      <c r="K697" s="5">
        <v>4</v>
      </c>
      <c r="L697">
        <v>1.2</v>
      </c>
      <c r="M697">
        <v>3.5</v>
      </c>
      <c r="N697">
        <v>3.88</v>
      </c>
      <c r="O697" s="6">
        <v>11.6</v>
      </c>
      <c r="P697" s="7">
        <v>1.4</v>
      </c>
      <c r="U697" t="s">
        <v>84</v>
      </c>
      <c r="V697" t="s">
        <v>1075</v>
      </c>
      <c r="W697">
        <v>1.6</v>
      </c>
      <c r="X697" t="s">
        <v>84</v>
      </c>
      <c r="Y697" t="s">
        <v>187</v>
      </c>
      <c r="Z697" t="s">
        <v>155</v>
      </c>
      <c r="AA697" t="s">
        <v>114</v>
      </c>
      <c r="AB697" t="s">
        <v>115</v>
      </c>
      <c r="AC697">
        <v>269</v>
      </c>
      <c r="AD697" s="8" t="b">
        <f>AND(
 H697&gt;=Filters!$B$3,
 H697&lt;=Filters!$B$4,
 I697&gt;=Filters!$B$5,
 OR(Filters!$B$6="All",B697=Filters!$B$6),
 F697&gt;=Filters!$B$7,
 F697&lt;=Filters!$B$8,
 OR(Filters!$B$9="All",G697=Filters!$B$9)
)</f>
        <v>0</v>
      </c>
      <c r="AE697">
        <f t="shared" si="130"/>
        <v>6</v>
      </c>
      <c r="AF697">
        <f t="shared" si="131"/>
        <v>7</v>
      </c>
      <c r="AG697">
        <f t="shared" si="132"/>
        <v>7</v>
      </c>
      <c r="AH697" s="9" t="str">
        <f t="shared" si="133"/>
        <v/>
      </c>
      <c r="AI697" s="9" t="str">
        <f t="shared" si="134"/>
        <v/>
      </c>
      <c r="AJ697" s="9" t="str">
        <f t="shared" si="135"/>
        <v/>
      </c>
      <c r="AK697" s="9" t="str">
        <f t="shared" si="136"/>
        <v/>
      </c>
      <c r="AL697" s="9" t="str">
        <f t="shared" si="137"/>
        <v/>
      </c>
      <c r="AM697" s="9" t="str">
        <f t="shared" si="138"/>
        <v/>
      </c>
      <c r="AN697" s="9" t="str">
        <f t="shared" si="139"/>
        <v/>
      </c>
      <c r="AO697" s="9" t="str">
        <f t="shared" si="140"/>
        <v/>
      </c>
      <c r="AP697" s="9" t="str">
        <f t="shared" si="141"/>
        <v/>
      </c>
      <c r="AQ697" s="10" t="str">
        <f t="shared" si="142"/>
        <v/>
      </c>
    </row>
    <row r="698" spans="1:43">
      <c r="A698">
        <v>697</v>
      </c>
      <c r="B698" t="s">
        <v>29</v>
      </c>
      <c r="C698" t="s">
        <v>517</v>
      </c>
      <c r="D698" t="s">
        <v>518</v>
      </c>
      <c r="E698" t="s">
        <v>168</v>
      </c>
      <c r="G698" t="s">
        <v>18</v>
      </c>
      <c r="H698" s="4">
        <v>47223000</v>
      </c>
      <c r="I698" s="5">
        <v>512</v>
      </c>
      <c r="J698" s="5">
        <v>0</v>
      </c>
      <c r="K698" s="5">
        <v>16</v>
      </c>
      <c r="L698">
        <v>9.4</v>
      </c>
      <c r="M698">
        <v>3.5</v>
      </c>
      <c r="N698">
        <v>6.3</v>
      </c>
      <c r="O698" s="6">
        <v>14</v>
      </c>
      <c r="P698" s="7">
        <v>1.38</v>
      </c>
      <c r="U698" t="s">
        <v>84</v>
      </c>
      <c r="V698" t="s">
        <v>140</v>
      </c>
      <c r="W698">
        <v>2.7</v>
      </c>
      <c r="X698" t="s">
        <v>84</v>
      </c>
      <c r="Y698" t="s">
        <v>99</v>
      </c>
      <c r="Z698" t="s">
        <v>106</v>
      </c>
      <c r="AA698" t="s">
        <v>169</v>
      </c>
      <c r="AB698" t="s">
        <v>115</v>
      </c>
      <c r="AC698">
        <v>1749</v>
      </c>
      <c r="AD698" s="8" t="b">
        <f>AND(
 H698&gt;=Filters!$B$3,
 H698&lt;=Filters!$B$4,
 I698&gt;=Filters!$B$5,
 OR(Filters!$B$6="All",B698=Filters!$B$6),
 F698&gt;=Filters!$B$7,
 F698&lt;=Filters!$B$8,
 OR(Filters!$B$9="All",G698=Filters!$B$9)
)</f>
        <v>0</v>
      </c>
      <c r="AE698">
        <f t="shared" si="130"/>
        <v>6</v>
      </c>
      <c r="AF698">
        <f t="shared" si="131"/>
        <v>7</v>
      </c>
      <c r="AG698">
        <f t="shared" si="132"/>
        <v>7</v>
      </c>
      <c r="AH698" s="9" t="str">
        <f t="shared" si="133"/>
        <v/>
      </c>
      <c r="AI698" s="9" t="str">
        <f t="shared" si="134"/>
        <v/>
      </c>
      <c r="AJ698" s="9" t="str">
        <f t="shared" si="135"/>
        <v/>
      </c>
      <c r="AK698" s="9" t="str">
        <f t="shared" si="136"/>
        <v/>
      </c>
      <c r="AL698" s="9" t="str">
        <f t="shared" si="137"/>
        <v/>
      </c>
      <c r="AM698" s="9" t="str">
        <f t="shared" si="138"/>
        <v/>
      </c>
      <c r="AN698" s="9" t="str">
        <f t="shared" si="139"/>
        <v/>
      </c>
      <c r="AO698" s="9" t="str">
        <f t="shared" si="140"/>
        <v/>
      </c>
      <c r="AP698" s="9" t="str">
        <f t="shared" si="141"/>
        <v/>
      </c>
      <c r="AQ698" s="10" t="str">
        <f t="shared" si="142"/>
        <v/>
      </c>
    </row>
    <row r="699" spans="1:43">
      <c r="A699">
        <v>698</v>
      </c>
      <c r="B699" t="s">
        <v>21</v>
      </c>
      <c r="C699" t="s">
        <v>1076</v>
      </c>
      <c r="D699" t="s">
        <v>1077</v>
      </c>
      <c r="E699" t="s">
        <v>168</v>
      </c>
      <c r="G699" t="s">
        <v>18</v>
      </c>
      <c r="H699" s="4">
        <v>18063000</v>
      </c>
      <c r="I699" s="5">
        <v>64</v>
      </c>
      <c r="J699" s="5">
        <v>0</v>
      </c>
      <c r="K699" s="5">
        <v>4</v>
      </c>
      <c r="L699">
        <v>2.8</v>
      </c>
      <c r="M699">
        <v>3.5</v>
      </c>
      <c r="N699">
        <v>6.22</v>
      </c>
      <c r="O699" s="6">
        <v>12.5</v>
      </c>
      <c r="P699" s="7">
        <v>1.2</v>
      </c>
      <c r="U699" t="s">
        <v>84</v>
      </c>
      <c r="V699" t="s">
        <v>1078</v>
      </c>
      <c r="W699">
        <v>0.9</v>
      </c>
      <c r="X699" t="s">
        <v>84</v>
      </c>
      <c r="Y699" t="s">
        <v>381</v>
      </c>
      <c r="Z699" t="s">
        <v>188</v>
      </c>
      <c r="AA699" t="s">
        <v>169</v>
      </c>
      <c r="AB699" t="s">
        <v>563</v>
      </c>
      <c r="AC699">
        <v>669</v>
      </c>
      <c r="AD699" s="8" t="b">
        <f>AND(
 H699&gt;=Filters!$B$3,
 H699&lt;=Filters!$B$4,
 I699&gt;=Filters!$B$5,
 OR(Filters!$B$6="All",B699=Filters!$B$6),
 F699&gt;=Filters!$B$7,
 F699&lt;=Filters!$B$8,
 OR(Filters!$B$9="All",G699=Filters!$B$9)
)</f>
        <v>0</v>
      </c>
      <c r="AE699">
        <f t="shared" si="130"/>
        <v>6</v>
      </c>
      <c r="AF699">
        <f t="shared" si="131"/>
        <v>7</v>
      </c>
      <c r="AG699">
        <f t="shared" si="132"/>
        <v>7</v>
      </c>
      <c r="AH699" s="9" t="str">
        <f t="shared" si="133"/>
        <v/>
      </c>
      <c r="AI699" s="9" t="str">
        <f t="shared" si="134"/>
        <v/>
      </c>
      <c r="AJ699" s="9" t="str">
        <f t="shared" si="135"/>
        <v/>
      </c>
      <c r="AK699" s="9" t="str">
        <f t="shared" si="136"/>
        <v/>
      </c>
      <c r="AL699" s="9" t="str">
        <f t="shared" si="137"/>
        <v/>
      </c>
      <c r="AM699" s="9" t="str">
        <f t="shared" si="138"/>
        <v/>
      </c>
      <c r="AN699" s="9" t="str">
        <f t="shared" si="139"/>
        <v/>
      </c>
      <c r="AO699" s="9" t="str">
        <f t="shared" si="140"/>
        <v/>
      </c>
      <c r="AP699" s="9" t="str">
        <f t="shared" si="141"/>
        <v/>
      </c>
      <c r="AQ699" s="10" t="str">
        <f t="shared" si="142"/>
        <v/>
      </c>
    </row>
    <row r="700" spans="1:43">
      <c r="A700">
        <v>699</v>
      </c>
      <c r="B700" t="s">
        <v>35</v>
      </c>
      <c r="C700" t="s">
        <v>1079</v>
      </c>
      <c r="D700" t="s">
        <v>1080</v>
      </c>
      <c r="E700" t="s">
        <v>83</v>
      </c>
      <c r="G700" t="s">
        <v>18</v>
      </c>
      <c r="H700" s="4">
        <v>50679000</v>
      </c>
      <c r="I700" s="5">
        <v>512</v>
      </c>
      <c r="J700" s="5">
        <v>0</v>
      </c>
      <c r="K700" s="5">
        <v>16</v>
      </c>
      <c r="L700">
        <v>9</v>
      </c>
      <c r="M700">
        <v>3.5</v>
      </c>
      <c r="N700">
        <v>6.26</v>
      </c>
      <c r="O700" s="6">
        <v>13.3</v>
      </c>
      <c r="P700" s="7">
        <v>1.36</v>
      </c>
      <c r="U700" t="s">
        <v>84</v>
      </c>
      <c r="V700" t="s">
        <v>485</v>
      </c>
      <c r="W700">
        <v>2.5</v>
      </c>
      <c r="X700" t="s">
        <v>84</v>
      </c>
      <c r="Y700" t="s">
        <v>130</v>
      </c>
      <c r="Z700" t="s">
        <v>106</v>
      </c>
      <c r="AA700" t="s">
        <v>169</v>
      </c>
      <c r="AB700" t="s">
        <v>115</v>
      </c>
      <c r="AC700">
        <v>1877</v>
      </c>
      <c r="AD700" s="8" t="b">
        <f>AND(
 H700&gt;=Filters!$B$3,
 H700&lt;=Filters!$B$4,
 I700&gt;=Filters!$B$5,
 OR(Filters!$B$6="All",B700=Filters!$B$6),
 F700&gt;=Filters!$B$7,
 F700&lt;=Filters!$B$8,
 OR(Filters!$B$9="All",G700=Filters!$B$9)
)</f>
        <v>0</v>
      </c>
      <c r="AE700">
        <f t="shared" si="130"/>
        <v>6</v>
      </c>
      <c r="AF700">
        <f t="shared" si="131"/>
        <v>7</v>
      </c>
      <c r="AG700">
        <f t="shared" si="132"/>
        <v>7</v>
      </c>
      <c r="AH700" s="9" t="str">
        <f t="shared" si="133"/>
        <v/>
      </c>
      <c r="AI700" s="9" t="str">
        <f t="shared" si="134"/>
        <v/>
      </c>
      <c r="AJ700" s="9" t="str">
        <f t="shared" si="135"/>
        <v/>
      </c>
      <c r="AK700" s="9" t="str">
        <f t="shared" si="136"/>
        <v/>
      </c>
      <c r="AL700" s="9" t="str">
        <f t="shared" si="137"/>
        <v/>
      </c>
      <c r="AM700" s="9" t="str">
        <f t="shared" si="138"/>
        <v/>
      </c>
      <c r="AN700" s="9" t="str">
        <f t="shared" si="139"/>
        <v/>
      </c>
      <c r="AO700" s="9" t="str">
        <f t="shared" si="140"/>
        <v/>
      </c>
      <c r="AP700" s="9" t="str">
        <f t="shared" si="141"/>
        <v/>
      </c>
      <c r="AQ700" s="10" t="str">
        <f t="shared" si="142"/>
        <v/>
      </c>
    </row>
    <row r="701" spans="1:43">
      <c r="A701">
        <v>700</v>
      </c>
      <c r="B701" t="s">
        <v>26</v>
      </c>
      <c r="C701" t="s">
        <v>1081</v>
      </c>
      <c r="D701" t="s">
        <v>1082</v>
      </c>
      <c r="E701" t="s">
        <v>97</v>
      </c>
      <c r="G701" t="s">
        <v>18</v>
      </c>
      <c r="H701" s="4">
        <v>18603000</v>
      </c>
      <c r="I701" s="5">
        <v>0</v>
      </c>
      <c r="J701" s="5">
        <v>500</v>
      </c>
      <c r="K701" s="5">
        <v>4</v>
      </c>
      <c r="L701">
        <v>9.4</v>
      </c>
      <c r="M701">
        <v>6.5</v>
      </c>
      <c r="N701">
        <v>6.32</v>
      </c>
      <c r="O701" s="6">
        <v>15.6</v>
      </c>
      <c r="P701" s="7">
        <v>2.1</v>
      </c>
      <c r="U701" t="s">
        <v>84</v>
      </c>
      <c r="V701" t="s">
        <v>140</v>
      </c>
      <c r="W701">
        <v>2.7</v>
      </c>
      <c r="X701" t="s">
        <v>104</v>
      </c>
      <c r="Y701" t="s">
        <v>176</v>
      </c>
      <c r="Z701" t="s">
        <v>113</v>
      </c>
      <c r="AA701" t="s">
        <v>128</v>
      </c>
      <c r="AB701" t="s">
        <v>115</v>
      </c>
      <c r="AC701">
        <v>689</v>
      </c>
      <c r="AD701" s="8" t="b">
        <f>AND(
 H701&gt;=Filters!$B$3,
 H701&lt;=Filters!$B$4,
 I701&gt;=Filters!$B$5,
 OR(Filters!$B$6="All",B701=Filters!$B$6),
 F701&gt;=Filters!$B$7,
 F701&lt;=Filters!$B$8,
 OR(Filters!$B$9="All",G701=Filters!$B$9)
)</f>
        <v>0</v>
      </c>
      <c r="AE701">
        <f t="shared" si="130"/>
        <v>6</v>
      </c>
      <c r="AF701">
        <f t="shared" si="131"/>
        <v>7</v>
      </c>
      <c r="AG701">
        <f t="shared" si="132"/>
        <v>7</v>
      </c>
      <c r="AH701" s="9" t="str">
        <f t="shared" si="133"/>
        <v/>
      </c>
      <c r="AI701" s="9" t="str">
        <f t="shared" si="134"/>
        <v/>
      </c>
      <c r="AJ701" s="9" t="str">
        <f t="shared" si="135"/>
        <v/>
      </c>
      <c r="AK701" s="9" t="str">
        <f t="shared" si="136"/>
        <v/>
      </c>
      <c r="AL701" s="9" t="str">
        <f t="shared" si="137"/>
        <v/>
      </c>
      <c r="AM701" s="9" t="str">
        <f t="shared" si="138"/>
        <v/>
      </c>
      <c r="AN701" s="9" t="str">
        <f t="shared" si="139"/>
        <v/>
      </c>
      <c r="AO701" s="9" t="str">
        <f t="shared" si="140"/>
        <v/>
      </c>
      <c r="AP701" s="9" t="str">
        <f t="shared" si="141"/>
        <v/>
      </c>
      <c r="AQ701" s="10" t="str">
        <f t="shared" si="142"/>
        <v/>
      </c>
    </row>
    <row r="702" spans="1:43">
      <c r="A702">
        <v>701</v>
      </c>
      <c r="B702" t="s">
        <v>23</v>
      </c>
      <c r="C702" t="s">
        <v>389</v>
      </c>
      <c r="D702" t="s">
        <v>390</v>
      </c>
      <c r="E702" t="s">
        <v>158</v>
      </c>
      <c r="G702" t="s">
        <v>18</v>
      </c>
      <c r="H702" s="4">
        <v>22113000</v>
      </c>
      <c r="I702" s="5">
        <v>0</v>
      </c>
      <c r="J702" s="5">
        <v>1024</v>
      </c>
      <c r="K702" s="5">
        <v>8</v>
      </c>
      <c r="L702">
        <v>7</v>
      </c>
      <c r="M702">
        <v>9.1999999999999993</v>
      </c>
      <c r="N702">
        <v>5.92</v>
      </c>
      <c r="O702" s="6">
        <v>15.6</v>
      </c>
      <c r="P702" s="7">
        <v>2.56</v>
      </c>
      <c r="U702" t="s">
        <v>84</v>
      </c>
      <c r="V702" t="s">
        <v>159</v>
      </c>
      <c r="W702">
        <v>2.5</v>
      </c>
      <c r="X702" t="s">
        <v>122</v>
      </c>
      <c r="Y702" t="s">
        <v>160</v>
      </c>
      <c r="Z702" t="s">
        <v>146</v>
      </c>
      <c r="AA702" t="s">
        <v>101</v>
      </c>
      <c r="AB702" t="s">
        <v>115</v>
      </c>
      <c r="AC702">
        <v>819</v>
      </c>
      <c r="AD702" s="8" t="b">
        <f>AND(
 H702&gt;=Filters!$B$3,
 H702&lt;=Filters!$B$4,
 I702&gt;=Filters!$B$5,
 OR(Filters!$B$6="All",B702=Filters!$B$6),
 F702&gt;=Filters!$B$7,
 F702&lt;=Filters!$B$8,
 OR(Filters!$B$9="All",G702=Filters!$B$9)
)</f>
        <v>0</v>
      </c>
      <c r="AE702">
        <f t="shared" si="130"/>
        <v>6</v>
      </c>
      <c r="AF702">
        <f t="shared" si="131"/>
        <v>7</v>
      </c>
      <c r="AG702">
        <f t="shared" si="132"/>
        <v>7</v>
      </c>
      <c r="AH702" s="9" t="str">
        <f t="shared" si="133"/>
        <v/>
      </c>
      <c r="AI702" s="9" t="str">
        <f t="shared" si="134"/>
        <v/>
      </c>
      <c r="AJ702" s="9" t="str">
        <f t="shared" si="135"/>
        <v/>
      </c>
      <c r="AK702" s="9" t="str">
        <f t="shared" si="136"/>
        <v/>
      </c>
      <c r="AL702" s="9" t="str">
        <f t="shared" si="137"/>
        <v/>
      </c>
      <c r="AM702" s="9" t="str">
        <f t="shared" si="138"/>
        <v/>
      </c>
      <c r="AN702" s="9" t="str">
        <f t="shared" si="139"/>
        <v/>
      </c>
      <c r="AO702" s="9" t="str">
        <f t="shared" si="140"/>
        <v/>
      </c>
      <c r="AP702" s="9" t="str">
        <f t="shared" si="141"/>
        <v/>
      </c>
      <c r="AQ702" s="10" t="str">
        <f t="shared" si="142"/>
        <v/>
      </c>
    </row>
    <row r="703" spans="1:43">
      <c r="A703">
        <v>702</v>
      </c>
      <c r="B703" t="s">
        <v>29</v>
      </c>
      <c r="C703" t="s">
        <v>289</v>
      </c>
      <c r="D703" t="s">
        <v>290</v>
      </c>
      <c r="E703" t="s">
        <v>97</v>
      </c>
      <c r="G703" t="s">
        <v>18</v>
      </c>
      <c r="H703" s="4">
        <v>10773000</v>
      </c>
      <c r="I703" s="5">
        <v>256</v>
      </c>
      <c r="J703" s="5">
        <v>0</v>
      </c>
      <c r="K703" s="5">
        <v>4</v>
      </c>
      <c r="L703">
        <v>6.8</v>
      </c>
      <c r="M703">
        <v>6.5</v>
      </c>
      <c r="N703">
        <v>5.92</v>
      </c>
      <c r="O703" s="6">
        <v>15.6</v>
      </c>
      <c r="P703" s="7">
        <v>2.2000000000000002</v>
      </c>
      <c r="U703" t="s">
        <v>104</v>
      </c>
      <c r="V703" t="s">
        <v>111</v>
      </c>
      <c r="W703">
        <v>2.9</v>
      </c>
      <c r="X703" t="s">
        <v>104</v>
      </c>
      <c r="Y703" t="s">
        <v>176</v>
      </c>
      <c r="Z703" t="s">
        <v>100</v>
      </c>
      <c r="AA703" t="s">
        <v>101</v>
      </c>
      <c r="AB703" t="s">
        <v>115</v>
      </c>
      <c r="AC703">
        <v>399</v>
      </c>
      <c r="AD703" s="8" t="b">
        <f>AND(
 H703&gt;=Filters!$B$3,
 H703&lt;=Filters!$B$4,
 I703&gt;=Filters!$B$5,
 OR(Filters!$B$6="All",B703=Filters!$B$6),
 F703&gt;=Filters!$B$7,
 F703&lt;=Filters!$B$8,
 OR(Filters!$B$9="All",G703=Filters!$B$9)
)</f>
        <v>1</v>
      </c>
      <c r="AE703">
        <f t="shared" si="130"/>
        <v>6</v>
      </c>
      <c r="AF703">
        <f t="shared" si="131"/>
        <v>7</v>
      </c>
      <c r="AG703">
        <f t="shared" si="132"/>
        <v>7</v>
      </c>
      <c r="AH703" s="9">
        <f t="shared" si="133"/>
        <v>0.66666666666666663</v>
      </c>
      <c r="AI703" s="9">
        <f t="shared" si="134"/>
        <v>0.33333333333333331</v>
      </c>
      <c r="AJ703" s="9">
        <f t="shared" si="135"/>
        <v>0.63095238095238093</v>
      </c>
      <c r="AK703" s="9">
        <f t="shared" si="136"/>
        <v>0.56190476190476191</v>
      </c>
      <c r="AL703" s="9">
        <f t="shared" si="137"/>
        <v>0.88095238095238082</v>
      </c>
      <c r="AM703" s="9">
        <f t="shared" si="138"/>
        <v>0.5714285714285714</v>
      </c>
      <c r="AN703" s="9">
        <f t="shared" si="139"/>
        <v>0.69047619047619047</v>
      </c>
      <c r="AO703" s="9">
        <f t="shared" si="140"/>
        <v>0.69047619047619047</v>
      </c>
      <c r="AP703" s="9">
        <f t="shared" si="141"/>
        <v>0.59892456368295721</v>
      </c>
      <c r="AQ703" s="10">
        <f t="shared" si="142"/>
        <v>0.5989252666829572</v>
      </c>
    </row>
    <row r="704" spans="1:43">
      <c r="A704">
        <v>703</v>
      </c>
      <c r="B704" t="s">
        <v>29</v>
      </c>
      <c r="C704" t="s">
        <v>641</v>
      </c>
      <c r="D704" t="s">
        <v>642</v>
      </c>
      <c r="E704" t="s">
        <v>97</v>
      </c>
      <c r="G704" t="s">
        <v>18</v>
      </c>
      <c r="H704" s="4">
        <v>11583000</v>
      </c>
      <c r="I704" s="5">
        <v>0</v>
      </c>
      <c r="J704" s="5">
        <v>1024</v>
      </c>
      <c r="K704" s="5">
        <v>8</v>
      </c>
      <c r="L704">
        <v>8.1999999999999993</v>
      </c>
      <c r="M704">
        <v>6.5</v>
      </c>
      <c r="N704">
        <v>3.92</v>
      </c>
      <c r="O704" s="6">
        <v>15.6</v>
      </c>
      <c r="P704" s="7">
        <v>2.2000000000000002</v>
      </c>
      <c r="U704" t="s">
        <v>104</v>
      </c>
      <c r="V704" t="s">
        <v>618</v>
      </c>
      <c r="W704">
        <v>3.6</v>
      </c>
      <c r="X704" t="s">
        <v>104</v>
      </c>
      <c r="Y704" t="s">
        <v>1083</v>
      </c>
      <c r="Z704" t="s">
        <v>146</v>
      </c>
      <c r="AA704" t="s">
        <v>114</v>
      </c>
      <c r="AB704" t="s">
        <v>115</v>
      </c>
      <c r="AC704">
        <v>429</v>
      </c>
      <c r="AD704" s="8" t="b">
        <f>AND(
 H704&gt;=Filters!$B$3,
 H704&lt;=Filters!$B$4,
 I704&gt;=Filters!$B$5,
 OR(Filters!$B$6="All",B704=Filters!$B$6),
 F704&gt;=Filters!$B$7,
 F704&lt;=Filters!$B$8,
 OR(Filters!$B$9="All",G704=Filters!$B$9)
)</f>
        <v>0</v>
      </c>
      <c r="AE704">
        <f t="shared" si="130"/>
        <v>6</v>
      </c>
      <c r="AF704">
        <f t="shared" si="131"/>
        <v>7</v>
      </c>
      <c r="AG704">
        <f t="shared" si="132"/>
        <v>7</v>
      </c>
      <c r="AH704" s="9" t="str">
        <f t="shared" si="133"/>
        <v/>
      </c>
      <c r="AI704" s="9" t="str">
        <f t="shared" si="134"/>
        <v/>
      </c>
      <c r="AJ704" s="9" t="str">
        <f t="shared" si="135"/>
        <v/>
      </c>
      <c r="AK704" s="9" t="str">
        <f t="shared" si="136"/>
        <v/>
      </c>
      <c r="AL704" s="9" t="str">
        <f t="shared" si="137"/>
        <v/>
      </c>
      <c r="AM704" s="9" t="str">
        <f t="shared" si="138"/>
        <v/>
      </c>
      <c r="AN704" s="9" t="str">
        <f t="shared" si="139"/>
        <v/>
      </c>
      <c r="AO704" s="9" t="str">
        <f t="shared" si="140"/>
        <v/>
      </c>
      <c r="AP704" s="9" t="str">
        <f t="shared" si="141"/>
        <v/>
      </c>
      <c r="AQ704" s="10" t="str">
        <f t="shared" si="142"/>
        <v/>
      </c>
    </row>
    <row r="705" spans="1:43">
      <c r="A705">
        <v>704</v>
      </c>
      <c r="B705" t="s">
        <v>29</v>
      </c>
      <c r="C705" t="s">
        <v>1084</v>
      </c>
      <c r="D705" t="s">
        <v>1085</v>
      </c>
      <c r="E705" t="s">
        <v>97</v>
      </c>
      <c r="G705" t="s">
        <v>18</v>
      </c>
      <c r="H705" s="4">
        <v>16779150</v>
      </c>
      <c r="I705" s="5">
        <v>0</v>
      </c>
      <c r="J705" s="5">
        <v>2048</v>
      </c>
      <c r="K705" s="5">
        <v>4</v>
      </c>
      <c r="L705">
        <v>7</v>
      </c>
      <c r="M705">
        <v>3.5</v>
      </c>
      <c r="N705">
        <v>5.92</v>
      </c>
      <c r="O705" s="6">
        <v>15.6</v>
      </c>
      <c r="P705" s="7">
        <v>2.1</v>
      </c>
      <c r="U705" t="s">
        <v>84</v>
      </c>
      <c r="V705" t="s">
        <v>98</v>
      </c>
      <c r="W705">
        <v>2.5</v>
      </c>
      <c r="X705" t="s">
        <v>84</v>
      </c>
      <c r="Y705" t="s">
        <v>99</v>
      </c>
      <c r="Z705" t="s">
        <v>1086</v>
      </c>
      <c r="AA705" t="s">
        <v>101</v>
      </c>
      <c r="AB705" t="s">
        <v>115</v>
      </c>
      <c r="AC705">
        <v>621.45000000000005</v>
      </c>
      <c r="AD705" s="8" t="b">
        <f>AND(
 H705&gt;=Filters!$B$3,
 H705&lt;=Filters!$B$4,
 I705&gt;=Filters!$B$5,
 OR(Filters!$B$6="All",B705=Filters!$B$6),
 F705&gt;=Filters!$B$7,
 F705&lt;=Filters!$B$8,
 OR(Filters!$B$9="All",G705=Filters!$B$9)
)</f>
        <v>0</v>
      </c>
      <c r="AE705">
        <f t="shared" si="130"/>
        <v>6</v>
      </c>
      <c r="AF705">
        <f t="shared" si="131"/>
        <v>7</v>
      </c>
      <c r="AG705">
        <f t="shared" si="132"/>
        <v>7</v>
      </c>
      <c r="AH705" s="9" t="str">
        <f t="shared" si="133"/>
        <v/>
      </c>
      <c r="AI705" s="9" t="str">
        <f t="shared" si="134"/>
        <v/>
      </c>
      <c r="AJ705" s="9" t="str">
        <f t="shared" si="135"/>
        <v/>
      </c>
      <c r="AK705" s="9" t="str">
        <f t="shared" si="136"/>
        <v/>
      </c>
      <c r="AL705" s="9" t="str">
        <f t="shared" si="137"/>
        <v/>
      </c>
      <c r="AM705" s="9" t="str">
        <f t="shared" si="138"/>
        <v/>
      </c>
      <c r="AN705" s="9" t="str">
        <f t="shared" si="139"/>
        <v/>
      </c>
      <c r="AO705" s="9" t="str">
        <f t="shared" si="140"/>
        <v/>
      </c>
      <c r="AP705" s="9" t="str">
        <f t="shared" si="141"/>
        <v/>
      </c>
      <c r="AQ705" s="10" t="str">
        <f t="shared" si="142"/>
        <v/>
      </c>
    </row>
    <row r="706" spans="1:43">
      <c r="A706">
        <v>705</v>
      </c>
      <c r="B706" t="s">
        <v>29</v>
      </c>
      <c r="C706" t="s">
        <v>1087</v>
      </c>
      <c r="D706" t="s">
        <v>1088</v>
      </c>
      <c r="E706" t="s">
        <v>97</v>
      </c>
      <c r="G706" t="s">
        <v>18</v>
      </c>
      <c r="H706" s="4">
        <v>12150000</v>
      </c>
      <c r="I706" s="5">
        <v>0</v>
      </c>
      <c r="J706" s="5">
        <v>500</v>
      </c>
      <c r="K706" s="5">
        <v>4</v>
      </c>
      <c r="L706">
        <v>4</v>
      </c>
      <c r="M706">
        <v>3.5</v>
      </c>
      <c r="N706">
        <v>3.92</v>
      </c>
      <c r="O706" s="6">
        <v>15.6</v>
      </c>
      <c r="P706" s="7">
        <v>1.9</v>
      </c>
      <c r="U706" t="s">
        <v>84</v>
      </c>
      <c r="V706" t="s">
        <v>129</v>
      </c>
      <c r="W706">
        <v>2</v>
      </c>
      <c r="X706" t="s">
        <v>84</v>
      </c>
      <c r="Y706" t="s">
        <v>130</v>
      </c>
      <c r="Z706" t="s">
        <v>113</v>
      </c>
      <c r="AA706" t="s">
        <v>114</v>
      </c>
      <c r="AB706" t="s">
        <v>102</v>
      </c>
      <c r="AC706">
        <v>450</v>
      </c>
      <c r="AD706" s="8" t="b">
        <f>AND(
 H706&gt;=Filters!$B$3,
 H706&lt;=Filters!$B$4,
 I706&gt;=Filters!$B$5,
 OR(Filters!$B$6="All",B706=Filters!$B$6),
 F706&gt;=Filters!$B$7,
 F706&lt;=Filters!$B$8,
 OR(Filters!$B$9="All",G706=Filters!$B$9)
)</f>
        <v>0</v>
      </c>
      <c r="AE706">
        <f t="shared" ref="AE706:AE769" si="143">IF(Q706="",6,Q706)</f>
        <v>6</v>
      </c>
      <c r="AF706">
        <f t="shared" ref="AF706:AF769" si="144">IF(R706="",7,R706)</f>
        <v>7</v>
      </c>
      <c r="AG706">
        <f t="shared" ref="AG706:AG769" si="145">IF(S706="",7,S706)</f>
        <v>7</v>
      </c>
      <c r="AH706" s="9" t="str">
        <f t="shared" ref="AH706:AH769" si="146">IF(AD706,IF(CPU_MAX=CPU_MIN,1,(L706-CPU_MIN)/(CPU_MAX-CPU_MIN)),"")</f>
        <v/>
      </c>
      <c r="AI706" s="9" t="str">
        <f t="shared" ref="AI706:AI769" si="147">IF(AD706,IF(RAM_MAX=RAM_MIN,1,(K706-RAM_MIN)/(RAM_MAX-RAM_MIN)),"")</f>
        <v/>
      </c>
      <c r="AJ706" s="9" t="str">
        <f t="shared" ref="AJ706:AJ769" si="148">IF(AD706,IF(GPU_MAX=GPU_MIN,1,(M706-GPU_MIN)/(GPU_MAX-GPU_MIN)),"")</f>
        <v/>
      </c>
      <c r="AK706" s="9" t="str">
        <f t="shared" ref="AK706:AK769" si="149">IF(AD706,IF(SCREEN_MAX=SCREEN_MIN,1,(N706-SCREEN_MIN)/(SCREEN_MAX-SCREEN_MIN)),"")</f>
        <v/>
      </c>
      <c r="AL706" s="9" t="str">
        <f t="shared" ref="AL706:AL769" si="150">IF(AD706,IF(WEIGHT_MAX=WEIGHT_MIN,1,(WEIGHT_MAX-P706)/(WEIGHT_MAX-WEIGHT_MIN)),"")</f>
        <v/>
      </c>
      <c r="AM706" s="9" t="str">
        <f t="shared" ref="AM706:AM769" si="151">IF(AD706,IF(BATTERY_MAX=BATTERY_MIN,1,(AE706-BATTERY_MIN)/(BATTERY_MAX-BATTERY_MIN)),"")</f>
        <v/>
      </c>
      <c r="AN706" s="9" t="str">
        <f t="shared" ref="AN706:AN769" si="152">IF(AD706,IF(DURABILITY_MAX=DURABILITY_MIN,1,(AF706-DURABILITY_MIN)/(DURABILITY_MAX-DURABILITY_MIN)),"")</f>
        <v/>
      </c>
      <c r="AO706" s="9" t="str">
        <f t="shared" ref="AO706:AO769" si="153">IF(AD706,IF(UPGRADE_MAX=UPGRADE_MIN,1,(AG706-UPGRADE_MIN)/(UPGRADE_MAX-UPGRADE_MIN)),"")</f>
        <v/>
      </c>
      <c r="AP706" s="9" t="str">
        <f t="shared" ref="AP706:AP769" si="154">IF(AD706,W_CPU*AH706+W_RAM*AI706+W_GPU*AJ706+W_SCREEN*AK706+W_WEIGHT*AL706+W_BATTERY*AM706+W_DURABILITY*AN706+W_UPGRADE*AO706,"" )</f>
        <v/>
      </c>
      <c r="AQ706" s="10" t="str">
        <f t="shared" ref="AQ706:AQ769" si="155">IF(AP706="","",AP706+ROW()*0.000000001)</f>
        <v/>
      </c>
    </row>
    <row r="707" spans="1:43">
      <c r="A707">
        <v>706</v>
      </c>
      <c r="B707" t="s">
        <v>23</v>
      </c>
      <c r="C707" t="s">
        <v>853</v>
      </c>
      <c r="D707" t="s">
        <v>854</v>
      </c>
      <c r="E707" t="s">
        <v>97</v>
      </c>
      <c r="G707" t="s">
        <v>18</v>
      </c>
      <c r="H707" s="4">
        <v>21465000</v>
      </c>
      <c r="I707" s="5">
        <v>256</v>
      </c>
      <c r="J707" s="5">
        <v>0</v>
      </c>
      <c r="K707" s="5">
        <v>8</v>
      </c>
      <c r="L707">
        <v>7</v>
      </c>
      <c r="M707">
        <v>3.5</v>
      </c>
      <c r="N707">
        <v>5.92</v>
      </c>
      <c r="O707" s="6">
        <v>15.6</v>
      </c>
      <c r="P707" s="7">
        <v>2.1800000000000002</v>
      </c>
      <c r="U707" t="s">
        <v>84</v>
      </c>
      <c r="V707" t="s">
        <v>98</v>
      </c>
      <c r="W707">
        <v>2.5</v>
      </c>
      <c r="X707" t="s">
        <v>84</v>
      </c>
      <c r="Y707" t="s">
        <v>99</v>
      </c>
      <c r="Z707" t="s">
        <v>100</v>
      </c>
      <c r="AA707" t="s">
        <v>101</v>
      </c>
      <c r="AB707" t="s">
        <v>115</v>
      </c>
      <c r="AC707">
        <v>795</v>
      </c>
      <c r="AD707" s="8" t="b">
        <f>AND(
 H707&gt;=Filters!$B$3,
 H707&lt;=Filters!$B$4,
 I707&gt;=Filters!$B$5,
 OR(Filters!$B$6="All",B707=Filters!$B$6),
 F707&gt;=Filters!$B$7,
 F707&lt;=Filters!$B$8,
 OR(Filters!$B$9="All",G707=Filters!$B$9)
)</f>
        <v>1</v>
      </c>
      <c r="AE707">
        <f t="shared" si="143"/>
        <v>6</v>
      </c>
      <c r="AF707">
        <f t="shared" si="144"/>
        <v>7</v>
      </c>
      <c r="AG707">
        <f t="shared" si="145"/>
        <v>7</v>
      </c>
      <c r="AH707" s="9">
        <f t="shared" si="146"/>
        <v>0.69047619047619047</v>
      </c>
      <c r="AI707" s="9">
        <f t="shared" si="147"/>
        <v>0.80952380952380942</v>
      </c>
      <c r="AJ707" s="9">
        <f t="shared" si="148"/>
        <v>0.27380952380952378</v>
      </c>
      <c r="AK707" s="9">
        <f t="shared" si="149"/>
        <v>0.56190476190476191</v>
      </c>
      <c r="AL707" s="9">
        <f t="shared" si="150"/>
        <v>0.8833333333333333</v>
      </c>
      <c r="AM707" s="9">
        <f t="shared" si="151"/>
        <v>0.5714285714285714</v>
      </c>
      <c r="AN707" s="9">
        <f t="shared" si="152"/>
        <v>0.69047619047619047</v>
      </c>
      <c r="AO707" s="9">
        <f t="shared" si="153"/>
        <v>0.69047619047619047</v>
      </c>
      <c r="AP707" s="9">
        <f t="shared" si="154"/>
        <v>0.66724061640267462</v>
      </c>
      <c r="AQ707" s="10">
        <f t="shared" si="155"/>
        <v>0.66724132340267461</v>
      </c>
    </row>
    <row r="708" spans="1:43">
      <c r="A708">
        <v>707</v>
      </c>
      <c r="B708" t="s">
        <v>17</v>
      </c>
      <c r="C708" t="s">
        <v>307</v>
      </c>
      <c r="D708" t="s">
        <v>308</v>
      </c>
      <c r="E708" t="s">
        <v>168</v>
      </c>
      <c r="G708" t="s">
        <v>18</v>
      </c>
      <c r="H708" s="4">
        <v>26973000</v>
      </c>
      <c r="I708" s="5">
        <v>256</v>
      </c>
      <c r="J708" s="5">
        <v>0</v>
      </c>
      <c r="K708" s="5">
        <v>8</v>
      </c>
      <c r="L708">
        <v>5.2</v>
      </c>
      <c r="M708">
        <v>3.8</v>
      </c>
      <c r="N708">
        <v>6.67</v>
      </c>
      <c r="O708" s="6">
        <v>13.3</v>
      </c>
      <c r="P708" s="7">
        <v>1.6</v>
      </c>
      <c r="U708" t="s">
        <v>84</v>
      </c>
      <c r="V708" t="s">
        <v>126</v>
      </c>
      <c r="W708">
        <v>1.6</v>
      </c>
      <c r="X708" t="s">
        <v>84</v>
      </c>
      <c r="Y708" t="s">
        <v>127</v>
      </c>
      <c r="Z708" t="s">
        <v>100</v>
      </c>
      <c r="AA708" t="s">
        <v>149</v>
      </c>
      <c r="AB708" t="s">
        <v>115</v>
      </c>
      <c r="AC708">
        <v>999</v>
      </c>
      <c r="AD708" s="8" t="b">
        <f>AND(
 H708&gt;=Filters!$B$3,
 H708&lt;=Filters!$B$4,
 I708&gt;=Filters!$B$5,
 OR(Filters!$B$6="All",B708=Filters!$B$6),
 F708&gt;=Filters!$B$7,
 F708&lt;=Filters!$B$8,
 OR(Filters!$B$9="All",G708=Filters!$B$9)
)</f>
        <v>0</v>
      </c>
      <c r="AE708">
        <f t="shared" si="143"/>
        <v>6</v>
      </c>
      <c r="AF708">
        <f t="shared" si="144"/>
        <v>7</v>
      </c>
      <c r="AG708">
        <f t="shared" si="145"/>
        <v>7</v>
      </c>
      <c r="AH708" s="9" t="str">
        <f t="shared" si="146"/>
        <v/>
      </c>
      <c r="AI708" s="9" t="str">
        <f t="shared" si="147"/>
        <v/>
      </c>
      <c r="AJ708" s="9" t="str">
        <f t="shared" si="148"/>
        <v/>
      </c>
      <c r="AK708" s="9" t="str">
        <f t="shared" si="149"/>
        <v/>
      </c>
      <c r="AL708" s="9" t="str">
        <f t="shared" si="150"/>
        <v/>
      </c>
      <c r="AM708" s="9" t="str">
        <f t="shared" si="151"/>
        <v/>
      </c>
      <c r="AN708" s="9" t="str">
        <f t="shared" si="152"/>
        <v/>
      </c>
      <c r="AO708" s="9" t="str">
        <f t="shared" si="153"/>
        <v/>
      </c>
      <c r="AP708" s="9" t="str">
        <f t="shared" si="154"/>
        <v/>
      </c>
      <c r="AQ708" s="10" t="str">
        <f t="shared" si="155"/>
        <v/>
      </c>
    </row>
    <row r="709" spans="1:43">
      <c r="A709">
        <v>708</v>
      </c>
      <c r="B709" t="s">
        <v>29</v>
      </c>
      <c r="C709" t="s">
        <v>1089</v>
      </c>
      <c r="D709" t="s">
        <v>1090</v>
      </c>
      <c r="E709" t="s">
        <v>468</v>
      </c>
      <c r="G709" t="s">
        <v>18</v>
      </c>
      <c r="H709" s="4">
        <v>50085000</v>
      </c>
      <c r="I709" s="5">
        <v>512</v>
      </c>
      <c r="J709" s="5">
        <v>0</v>
      </c>
      <c r="K709" s="5">
        <v>16</v>
      </c>
      <c r="L709">
        <v>9</v>
      </c>
      <c r="M709">
        <v>8</v>
      </c>
      <c r="N709">
        <v>5.92</v>
      </c>
      <c r="O709" s="6">
        <v>15.6</v>
      </c>
      <c r="P709" s="7">
        <v>2.1800000000000002</v>
      </c>
      <c r="U709" t="s">
        <v>84</v>
      </c>
      <c r="V709" t="s">
        <v>485</v>
      </c>
      <c r="W709">
        <v>2.5</v>
      </c>
      <c r="X709" t="s">
        <v>122</v>
      </c>
      <c r="Y709" t="s">
        <v>1091</v>
      </c>
      <c r="Z709" t="s">
        <v>106</v>
      </c>
      <c r="AA709" t="s">
        <v>101</v>
      </c>
      <c r="AB709" t="s">
        <v>869</v>
      </c>
      <c r="AC709">
        <v>1855</v>
      </c>
      <c r="AD709" s="8" t="b">
        <f>AND(
 H709&gt;=Filters!$B$3,
 H709&lt;=Filters!$B$4,
 I709&gt;=Filters!$B$5,
 OR(Filters!$B$6="All",B709=Filters!$B$6),
 F709&gt;=Filters!$B$7,
 F709&lt;=Filters!$B$8,
 OR(Filters!$B$9="All",G709=Filters!$B$9)
)</f>
        <v>0</v>
      </c>
      <c r="AE709">
        <f t="shared" si="143"/>
        <v>6</v>
      </c>
      <c r="AF709">
        <f t="shared" si="144"/>
        <v>7</v>
      </c>
      <c r="AG709">
        <f t="shared" si="145"/>
        <v>7</v>
      </c>
      <c r="AH709" s="9" t="str">
        <f t="shared" si="146"/>
        <v/>
      </c>
      <c r="AI709" s="9" t="str">
        <f t="shared" si="147"/>
        <v/>
      </c>
      <c r="AJ709" s="9" t="str">
        <f t="shared" si="148"/>
        <v/>
      </c>
      <c r="AK709" s="9" t="str">
        <f t="shared" si="149"/>
        <v/>
      </c>
      <c r="AL709" s="9" t="str">
        <f t="shared" si="150"/>
        <v/>
      </c>
      <c r="AM709" s="9" t="str">
        <f t="shared" si="151"/>
        <v/>
      </c>
      <c r="AN709" s="9" t="str">
        <f t="shared" si="152"/>
        <v/>
      </c>
      <c r="AO709" s="9" t="str">
        <f t="shared" si="153"/>
        <v/>
      </c>
      <c r="AP709" s="9" t="str">
        <f t="shared" si="154"/>
        <v/>
      </c>
      <c r="AQ709" s="10" t="str">
        <f t="shared" si="155"/>
        <v/>
      </c>
    </row>
    <row r="710" spans="1:43">
      <c r="A710">
        <v>709</v>
      </c>
      <c r="B710" t="s">
        <v>29</v>
      </c>
      <c r="C710" t="s">
        <v>1092</v>
      </c>
      <c r="D710" t="s">
        <v>1093</v>
      </c>
      <c r="E710" t="s">
        <v>97</v>
      </c>
      <c r="G710" t="s">
        <v>18</v>
      </c>
      <c r="H710" s="4">
        <v>32157000</v>
      </c>
      <c r="I710" s="5">
        <v>256</v>
      </c>
      <c r="J710" s="5">
        <v>0</v>
      </c>
      <c r="K710" s="5">
        <v>8</v>
      </c>
      <c r="L710">
        <v>6.6</v>
      </c>
      <c r="M710">
        <v>3.5</v>
      </c>
      <c r="N710">
        <v>6</v>
      </c>
      <c r="O710" s="6">
        <v>14</v>
      </c>
      <c r="P710" s="7">
        <v>1.8</v>
      </c>
      <c r="U710" t="s">
        <v>84</v>
      </c>
      <c r="V710" t="s">
        <v>1094</v>
      </c>
      <c r="W710">
        <v>2.2999999999999998</v>
      </c>
      <c r="X710" t="s">
        <v>84</v>
      </c>
      <c r="Y710" t="s">
        <v>130</v>
      </c>
      <c r="Z710" t="s">
        <v>100</v>
      </c>
      <c r="AA710" t="s">
        <v>101</v>
      </c>
      <c r="AB710" t="s">
        <v>115</v>
      </c>
      <c r="AC710">
        <v>1191</v>
      </c>
      <c r="AD710" s="8" t="b">
        <f>AND(
 H710&gt;=Filters!$B$3,
 H710&lt;=Filters!$B$4,
 I710&gt;=Filters!$B$5,
 OR(Filters!$B$6="All",B710=Filters!$B$6),
 F710&gt;=Filters!$B$7,
 F710&lt;=Filters!$B$8,
 OR(Filters!$B$9="All",G710=Filters!$B$9)
)</f>
        <v>0</v>
      </c>
      <c r="AE710">
        <f t="shared" si="143"/>
        <v>6</v>
      </c>
      <c r="AF710">
        <f t="shared" si="144"/>
        <v>7</v>
      </c>
      <c r="AG710">
        <f t="shared" si="145"/>
        <v>7</v>
      </c>
      <c r="AH710" s="9" t="str">
        <f t="shared" si="146"/>
        <v/>
      </c>
      <c r="AI710" s="9" t="str">
        <f t="shared" si="147"/>
        <v/>
      </c>
      <c r="AJ710" s="9" t="str">
        <f t="shared" si="148"/>
        <v/>
      </c>
      <c r="AK710" s="9" t="str">
        <f t="shared" si="149"/>
        <v/>
      </c>
      <c r="AL710" s="9" t="str">
        <f t="shared" si="150"/>
        <v/>
      </c>
      <c r="AM710" s="9" t="str">
        <f t="shared" si="151"/>
        <v/>
      </c>
      <c r="AN710" s="9" t="str">
        <f t="shared" si="152"/>
        <v/>
      </c>
      <c r="AO710" s="9" t="str">
        <f t="shared" si="153"/>
        <v/>
      </c>
      <c r="AP710" s="9" t="str">
        <f t="shared" si="154"/>
        <v/>
      </c>
      <c r="AQ710" s="10" t="str">
        <f t="shared" si="155"/>
        <v/>
      </c>
    </row>
    <row r="711" spans="1:43">
      <c r="A711">
        <v>710</v>
      </c>
      <c r="B711" t="s">
        <v>26</v>
      </c>
      <c r="C711" t="s">
        <v>1095</v>
      </c>
      <c r="D711" t="s">
        <v>1096</v>
      </c>
      <c r="E711" t="s">
        <v>97</v>
      </c>
      <c r="G711" t="s">
        <v>18</v>
      </c>
      <c r="H711" s="4">
        <v>17685270</v>
      </c>
      <c r="I711" s="5">
        <v>0</v>
      </c>
      <c r="J711" s="5">
        <v>2048</v>
      </c>
      <c r="K711" s="5">
        <v>6</v>
      </c>
      <c r="L711">
        <v>6</v>
      </c>
      <c r="M711">
        <v>6.5</v>
      </c>
      <c r="N711">
        <v>6.24</v>
      </c>
      <c r="O711" s="6">
        <v>17.3</v>
      </c>
      <c r="P711" s="7">
        <v>2.71</v>
      </c>
      <c r="U711" t="s">
        <v>104</v>
      </c>
      <c r="V711" t="s">
        <v>829</v>
      </c>
      <c r="W711">
        <v>2.5</v>
      </c>
      <c r="X711" t="s">
        <v>104</v>
      </c>
      <c r="Y711" t="s">
        <v>176</v>
      </c>
      <c r="Z711" t="s">
        <v>283</v>
      </c>
      <c r="AA711" t="s">
        <v>128</v>
      </c>
      <c r="AB711" t="s">
        <v>115</v>
      </c>
      <c r="AC711">
        <v>655.01</v>
      </c>
      <c r="AD711" s="8" t="b">
        <f>AND(
 H711&gt;=Filters!$B$3,
 H711&lt;=Filters!$B$4,
 I711&gt;=Filters!$B$5,
 OR(Filters!$B$6="All",B711=Filters!$B$6),
 F711&gt;=Filters!$B$7,
 F711&lt;=Filters!$B$8,
 OR(Filters!$B$9="All",G711=Filters!$B$9)
)</f>
        <v>0</v>
      </c>
      <c r="AE711">
        <f t="shared" si="143"/>
        <v>6</v>
      </c>
      <c r="AF711">
        <f t="shared" si="144"/>
        <v>7</v>
      </c>
      <c r="AG711">
        <f t="shared" si="145"/>
        <v>7</v>
      </c>
      <c r="AH711" s="9" t="str">
        <f t="shared" si="146"/>
        <v/>
      </c>
      <c r="AI711" s="9" t="str">
        <f t="shared" si="147"/>
        <v/>
      </c>
      <c r="AJ711" s="9" t="str">
        <f t="shared" si="148"/>
        <v/>
      </c>
      <c r="AK711" s="9" t="str">
        <f t="shared" si="149"/>
        <v/>
      </c>
      <c r="AL711" s="9" t="str">
        <f t="shared" si="150"/>
        <v/>
      </c>
      <c r="AM711" s="9" t="str">
        <f t="shared" si="151"/>
        <v/>
      </c>
      <c r="AN711" s="9" t="str">
        <f t="shared" si="152"/>
        <v/>
      </c>
      <c r="AO711" s="9" t="str">
        <f t="shared" si="153"/>
        <v/>
      </c>
      <c r="AP711" s="9" t="str">
        <f t="shared" si="154"/>
        <v/>
      </c>
      <c r="AQ711" s="10" t="str">
        <f t="shared" si="155"/>
        <v/>
      </c>
    </row>
    <row r="712" spans="1:43">
      <c r="A712">
        <v>711</v>
      </c>
      <c r="B712" t="s">
        <v>29</v>
      </c>
      <c r="C712" t="s">
        <v>156</v>
      </c>
      <c r="D712" t="s">
        <v>157</v>
      </c>
      <c r="E712" t="s">
        <v>158</v>
      </c>
      <c r="G712" t="s">
        <v>18</v>
      </c>
      <c r="H712" s="4">
        <v>33723000</v>
      </c>
      <c r="I712" s="5">
        <v>128</v>
      </c>
      <c r="J712" s="5">
        <v>1024</v>
      </c>
      <c r="K712" s="5">
        <v>8</v>
      </c>
      <c r="L712">
        <v>9.6</v>
      </c>
      <c r="M712">
        <v>9.1999999999999993</v>
      </c>
      <c r="N712">
        <v>6.32</v>
      </c>
      <c r="O712" s="6">
        <v>15.6</v>
      </c>
      <c r="P712" s="7">
        <v>2.5</v>
      </c>
      <c r="U712" t="s">
        <v>84</v>
      </c>
      <c r="V712" t="s">
        <v>210</v>
      </c>
      <c r="W712">
        <v>2.8</v>
      </c>
      <c r="X712" t="s">
        <v>122</v>
      </c>
      <c r="Y712" t="s">
        <v>260</v>
      </c>
      <c r="Z712" t="s">
        <v>161</v>
      </c>
      <c r="AA712" t="s">
        <v>128</v>
      </c>
      <c r="AB712" t="s">
        <v>115</v>
      </c>
      <c r="AC712">
        <v>1249</v>
      </c>
      <c r="AD712" s="8" t="b">
        <f>AND(
 H712&gt;=Filters!$B$3,
 H712&lt;=Filters!$B$4,
 I712&gt;=Filters!$B$5,
 OR(Filters!$B$6="All",B712=Filters!$B$6),
 F712&gt;=Filters!$B$7,
 F712&lt;=Filters!$B$8,
 OR(Filters!$B$9="All",G712=Filters!$B$9)
)</f>
        <v>0</v>
      </c>
      <c r="AE712">
        <f t="shared" si="143"/>
        <v>6</v>
      </c>
      <c r="AF712">
        <f t="shared" si="144"/>
        <v>7</v>
      </c>
      <c r="AG712">
        <f t="shared" si="145"/>
        <v>7</v>
      </c>
      <c r="AH712" s="9" t="str">
        <f t="shared" si="146"/>
        <v/>
      </c>
      <c r="AI712" s="9" t="str">
        <f t="shared" si="147"/>
        <v/>
      </c>
      <c r="AJ712" s="9" t="str">
        <f t="shared" si="148"/>
        <v/>
      </c>
      <c r="AK712" s="9" t="str">
        <f t="shared" si="149"/>
        <v/>
      </c>
      <c r="AL712" s="9" t="str">
        <f t="shared" si="150"/>
        <v/>
      </c>
      <c r="AM712" s="9" t="str">
        <f t="shared" si="151"/>
        <v/>
      </c>
      <c r="AN712" s="9" t="str">
        <f t="shared" si="152"/>
        <v/>
      </c>
      <c r="AO712" s="9" t="str">
        <f t="shared" si="153"/>
        <v/>
      </c>
      <c r="AP712" s="9" t="str">
        <f t="shared" si="154"/>
        <v/>
      </c>
      <c r="AQ712" s="10" t="str">
        <f t="shared" si="155"/>
        <v/>
      </c>
    </row>
    <row r="713" spans="1:43">
      <c r="A713">
        <v>712</v>
      </c>
      <c r="B713" t="s">
        <v>23</v>
      </c>
      <c r="C713" t="s">
        <v>769</v>
      </c>
      <c r="D713" t="s">
        <v>739</v>
      </c>
      <c r="E713" t="s">
        <v>97</v>
      </c>
      <c r="G713" t="s">
        <v>18</v>
      </c>
      <c r="H713" s="4">
        <v>29403000</v>
      </c>
      <c r="I713" s="5">
        <v>256</v>
      </c>
      <c r="J713" s="5">
        <v>0</v>
      </c>
      <c r="K713" s="5">
        <v>8</v>
      </c>
      <c r="L713">
        <v>7.6</v>
      </c>
      <c r="M713">
        <v>6.5</v>
      </c>
      <c r="N713">
        <v>6</v>
      </c>
      <c r="O713" s="6">
        <v>14</v>
      </c>
      <c r="P713" s="7">
        <v>1.64</v>
      </c>
      <c r="U713" t="s">
        <v>84</v>
      </c>
      <c r="V713" t="s">
        <v>770</v>
      </c>
      <c r="W713">
        <v>2.8</v>
      </c>
      <c r="X713" t="s">
        <v>122</v>
      </c>
      <c r="Y713" t="s">
        <v>183</v>
      </c>
      <c r="Z713" t="s">
        <v>100</v>
      </c>
      <c r="AA713" t="s">
        <v>101</v>
      </c>
      <c r="AB713" t="s">
        <v>201</v>
      </c>
      <c r="AC713">
        <v>1089</v>
      </c>
      <c r="AD713" s="8" t="b">
        <f>AND(
 H713&gt;=Filters!$B$3,
 H713&lt;=Filters!$B$4,
 I713&gt;=Filters!$B$5,
 OR(Filters!$B$6="All",B713=Filters!$B$6),
 F713&gt;=Filters!$B$7,
 F713&lt;=Filters!$B$8,
 OR(Filters!$B$9="All",G713=Filters!$B$9)
)</f>
        <v>0</v>
      </c>
      <c r="AE713">
        <f t="shared" si="143"/>
        <v>6</v>
      </c>
      <c r="AF713">
        <f t="shared" si="144"/>
        <v>7</v>
      </c>
      <c r="AG713">
        <f t="shared" si="145"/>
        <v>7</v>
      </c>
      <c r="AH713" s="9" t="str">
        <f t="shared" si="146"/>
        <v/>
      </c>
      <c r="AI713" s="9" t="str">
        <f t="shared" si="147"/>
        <v/>
      </c>
      <c r="AJ713" s="9" t="str">
        <f t="shared" si="148"/>
        <v/>
      </c>
      <c r="AK713" s="9" t="str">
        <f t="shared" si="149"/>
        <v/>
      </c>
      <c r="AL713" s="9" t="str">
        <f t="shared" si="150"/>
        <v/>
      </c>
      <c r="AM713" s="9" t="str">
        <f t="shared" si="151"/>
        <v/>
      </c>
      <c r="AN713" s="9" t="str">
        <f t="shared" si="152"/>
        <v/>
      </c>
      <c r="AO713" s="9" t="str">
        <f t="shared" si="153"/>
        <v/>
      </c>
      <c r="AP713" s="9" t="str">
        <f t="shared" si="154"/>
        <v/>
      </c>
      <c r="AQ713" s="10" t="str">
        <f t="shared" si="155"/>
        <v/>
      </c>
    </row>
    <row r="714" spans="1:43">
      <c r="A714">
        <v>713</v>
      </c>
      <c r="B714" t="s">
        <v>23</v>
      </c>
      <c r="C714" t="s">
        <v>853</v>
      </c>
      <c r="D714" t="s">
        <v>854</v>
      </c>
      <c r="E714" t="s">
        <v>97</v>
      </c>
      <c r="G714" t="s">
        <v>18</v>
      </c>
      <c r="H714" s="4">
        <v>19602000</v>
      </c>
      <c r="I714" s="5">
        <v>0</v>
      </c>
      <c r="J714" s="5">
        <v>1024</v>
      </c>
      <c r="K714" s="5">
        <v>8</v>
      </c>
      <c r="L714">
        <v>7</v>
      </c>
      <c r="M714">
        <v>3.5</v>
      </c>
      <c r="N714">
        <v>5.92</v>
      </c>
      <c r="O714" s="6">
        <v>15.6</v>
      </c>
      <c r="P714" s="7">
        <v>1.98</v>
      </c>
      <c r="U714" t="s">
        <v>84</v>
      </c>
      <c r="V714" t="s">
        <v>98</v>
      </c>
      <c r="W714">
        <v>2.5</v>
      </c>
      <c r="X714" t="s">
        <v>84</v>
      </c>
      <c r="Y714" t="s">
        <v>99</v>
      </c>
      <c r="Z714" t="s">
        <v>146</v>
      </c>
      <c r="AA714" t="s">
        <v>101</v>
      </c>
      <c r="AB714" t="s">
        <v>201</v>
      </c>
      <c r="AC714">
        <v>726</v>
      </c>
      <c r="AD714" s="8" t="b">
        <f>AND(
 H714&gt;=Filters!$B$3,
 H714&lt;=Filters!$B$4,
 I714&gt;=Filters!$B$5,
 OR(Filters!$B$6="All",B714=Filters!$B$6),
 F714&gt;=Filters!$B$7,
 F714&lt;=Filters!$B$8,
 OR(Filters!$B$9="All",G714=Filters!$B$9)
)</f>
        <v>0</v>
      </c>
      <c r="AE714">
        <f t="shared" si="143"/>
        <v>6</v>
      </c>
      <c r="AF714">
        <f t="shared" si="144"/>
        <v>7</v>
      </c>
      <c r="AG714">
        <f t="shared" si="145"/>
        <v>7</v>
      </c>
      <c r="AH714" s="9" t="str">
        <f t="shared" si="146"/>
        <v/>
      </c>
      <c r="AI714" s="9" t="str">
        <f t="shared" si="147"/>
        <v/>
      </c>
      <c r="AJ714" s="9" t="str">
        <f t="shared" si="148"/>
        <v/>
      </c>
      <c r="AK714" s="9" t="str">
        <f t="shared" si="149"/>
        <v/>
      </c>
      <c r="AL714" s="9" t="str">
        <f t="shared" si="150"/>
        <v/>
      </c>
      <c r="AM714" s="9" t="str">
        <f t="shared" si="151"/>
        <v/>
      </c>
      <c r="AN714" s="9" t="str">
        <f t="shared" si="152"/>
        <v/>
      </c>
      <c r="AO714" s="9" t="str">
        <f t="shared" si="153"/>
        <v/>
      </c>
      <c r="AP714" s="9" t="str">
        <f t="shared" si="154"/>
        <v/>
      </c>
      <c r="AQ714" s="10" t="str">
        <f t="shared" si="155"/>
        <v/>
      </c>
    </row>
    <row r="715" spans="1:43">
      <c r="A715">
        <v>714</v>
      </c>
      <c r="B715" t="s">
        <v>21</v>
      </c>
      <c r="C715" t="s">
        <v>670</v>
      </c>
      <c r="D715" t="s">
        <v>671</v>
      </c>
      <c r="E715" t="s">
        <v>97</v>
      </c>
      <c r="G715" t="s">
        <v>18</v>
      </c>
      <c r="H715" s="4">
        <v>8046000</v>
      </c>
      <c r="I715" s="5">
        <v>32</v>
      </c>
      <c r="J715" s="5">
        <v>0</v>
      </c>
      <c r="K715" s="5">
        <v>4</v>
      </c>
      <c r="L715">
        <v>1</v>
      </c>
      <c r="M715">
        <v>3.5</v>
      </c>
      <c r="N715">
        <v>6</v>
      </c>
      <c r="O715" s="6">
        <v>14</v>
      </c>
      <c r="P715" s="7">
        <v>1.5</v>
      </c>
      <c r="U715" t="s">
        <v>84</v>
      </c>
      <c r="V715" t="s">
        <v>198</v>
      </c>
      <c r="W715">
        <v>1.1000000000000001</v>
      </c>
      <c r="X715" t="s">
        <v>84</v>
      </c>
      <c r="Y715" t="s">
        <v>199</v>
      </c>
      <c r="Z715" t="s">
        <v>155</v>
      </c>
      <c r="AA715" t="s">
        <v>101</v>
      </c>
      <c r="AB715" t="s">
        <v>115</v>
      </c>
      <c r="AC715">
        <v>298</v>
      </c>
      <c r="AD715" s="8" t="b">
        <f>AND(
 H715&gt;=Filters!$B$3,
 H715&lt;=Filters!$B$4,
 I715&gt;=Filters!$B$5,
 OR(Filters!$B$6="All",B715=Filters!$B$6),
 F715&gt;=Filters!$B$7,
 F715&lt;=Filters!$B$8,
 OR(Filters!$B$9="All",G715=Filters!$B$9)
)</f>
        <v>0</v>
      </c>
      <c r="AE715">
        <f t="shared" si="143"/>
        <v>6</v>
      </c>
      <c r="AF715">
        <f t="shared" si="144"/>
        <v>7</v>
      </c>
      <c r="AG715">
        <f t="shared" si="145"/>
        <v>7</v>
      </c>
      <c r="AH715" s="9" t="str">
        <f t="shared" si="146"/>
        <v/>
      </c>
      <c r="AI715" s="9" t="str">
        <f t="shared" si="147"/>
        <v/>
      </c>
      <c r="AJ715" s="9" t="str">
        <f t="shared" si="148"/>
        <v/>
      </c>
      <c r="AK715" s="9" t="str">
        <f t="shared" si="149"/>
        <v/>
      </c>
      <c r="AL715" s="9" t="str">
        <f t="shared" si="150"/>
        <v/>
      </c>
      <c r="AM715" s="9" t="str">
        <f t="shared" si="151"/>
        <v/>
      </c>
      <c r="AN715" s="9" t="str">
        <f t="shared" si="152"/>
        <v/>
      </c>
      <c r="AO715" s="9" t="str">
        <f t="shared" si="153"/>
        <v/>
      </c>
      <c r="AP715" s="9" t="str">
        <f t="shared" si="154"/>
        <v/>
      </c>
      <c r="AQ715" s="10" t="str">
        <f t="shared" si="155"/>
        <v/>
      </c>
    </row>
    <row r="716" spans="1:43">
      <c r="A716">
        <v>715</v>
      </c>
      <c r="B716" t="s">
        <v>23</v>
      </c>
      <c r="C716" t="s">
        <v>870</v>
      </c>
      <c r="D716" t="s">
        <v>871</v>
      </c>
      <c r="E716" t="s">
        <v>97</v>
      </c>
      <c r="G716" t="s">
        <v>18</v>
      </c>
      <c r="H716" s="4">
        <v>38519820</v>
      </c>
      <c r="I716" s="5">
        <v>512</v>
      </c>
      <c r="J716" s="5">
        <v>0</v>
      </c>
      <c r="K716" s="5">
        <v>16</v>
      </c>
      <c r="L716">
        <v>7.2</v>
      </c>
      <c r="M716">
        <v>3.5</v>
      </c>
      <c r="N716">
        <v>5.92</v>
      </c>
      <c r="O716" s="6">
        <v>15.6</v>
      </c>
      <c r="P716" s="7">
        <v>1.93</v>
      </c>
      <c r="U716" t="s">
        <v>84</v>
      </c>
      <c r="V716" t="s">
        <v>633</v>
      </c>
      <c r="W716">
        <v>2.6</v>
      </c>
      <c r="X716" t="s">
        <v>84</v>
      </c>
      <c r="Y716" t="s">
        <v>99</v>
      </c>
      <c r="Z716" t="s">
        <v>106</v>
      </c>
      <c r="AA716" t="s">
        <v>101</v>
      </c>
      <c r="AB716" t="s">
        <v>115</v>
      </c>
      <c r="AC716">
        <v>1426.66</v>
      </c>
      <c r="AD716" s="8" t="b">
        <f>AND(
 H716&gt;=Filters!$B$3,
 H716&lt;=Filters!$B$4,
 I716&gt;=Filters!$B$5,
 OR(Filters!$B$6="All",B716=Filters!$B$6),
 F716&gt;=Filters!$B$7,
 F716&lt;=Filters!$B$8,
 OR(Filters!$B$9="All",G716=Filters!$B$9)
)</f>
        <v>0</v>
      </c>
      <c r="AE716">
        <f t="shared" si="143"/>
        <v>6</v>
      </c>
      <c r="AF716">
        <f t="shared" si="144"/>
        <v>7</v>
      </c>
      <c r="AG716">
        <f t="shared" si="145"/>
        <v>7</v>
      </c>
      <c r="AH716" s="9" t="str">
        <f t="shared" si="146"/>
        <v/>
      </c>
      <c r="AI716" s="9" t="str">
        <f t="shared" si="147"/>
        <v/>
      </c>
      <c r="AJ716" s="9" t="str">
        <f t="shared" si="148"/>
        <v/>
      </c>
      <c r="AK716" s="9" t="str">
        <f t="shared" si="149"/>
        <v/>
      </c>
      <c r="AL716" s="9" t="str">
        <f t="shared" si="150"/>
        <v/>
      </c>
      <c r="AM716" s="9" t="str">
        <f t="shared" si="151"/>
        <v/>
      </c>
      <c r="AN716" s="9" t="str">
        <f t="shared" si="152"/>
        <v/>
      </c>
      <c r="AO716" s="9" t="str">
        <f t="shared" si="153"/>
        <v/>
      </c>
      <c r="AP716" s="9" t="str">
        <f t="shared" si="154"/>
        <v/>
      </c>
      <c r="AQ716" s="10" t="str">
        <f t="shared" si="155"/>
        <v/>
      </c>
    </row>
    <row r="717" spans="1:43">
      <c r="A717">
        <v>716</v>
      </c>
      <c r="B717" t="s">
        <v>29</v>
      </c>
      <c r="C717" t="s">
        <v>879</v>
      </c>
      <c r="D717" t="s">
        <v>880</v>
      </c>
      <c r="E717" t="s">
        <v>97</v>
      </c>
      <c r="G717" t="s">
        <v>18</v>
      </c>
      <c r="H717" s="4">
        <v>23140890</v>
      </c>
      <c r="I717" s="5">
        <v>256</v>
      </c>
      <c r="J717" s="5">
        <v>0</v>
      </c>
      <c r="K717" s="5">
        <v>8</v>
      </c>
      <c r="L717">
        <v>7</v>
      </c>
      <c r="M717">
        <v>6.5</v>
      </c>
      <c r="N717">
        <v>6.4</v>
      </c>
      <c r="O717" s="6">
        <v>14</v>
      </c>
      <c r="P717" s="7">
        <v>1.87</v>
      </c>
      <c r="U717" t="s">
        <v>84</v>
      </c>
      <c r="V717" t="s">
        <v>98</v>
      </c>
      <c r="W717">
        <v>2.5</v>
      </c>
      <c r="X717" t="s">
        <v>122</v>
      </c>
      <c r="Y717" t="s">
        <v>230</v>
      </c>
      <c r="Z717" t="s">
        <v>100</v>
      </c>
      <c r="AA717" t="s">
        <v>128</v>
      </c>
      <c r="AB717" t="s">
        <v>115</v>
      </c>
      <c r="AC717">
        <v>857.07</v>
      </c>
      <c r="AD717" s="8" t="b">
        <f>AND(
 H717&gt;=Filters!$B$3,
 H717&lt;=Filters!$B$4,
 I717&gt;=Filters!$B$5,
 OR(Filters!$B$6="All",B717=Filters!$B$6),
 F717&gt;=Filters!$B$7,
 F717&lt;=Filters!$B$8,
 OR(Filters!$B$9="All",G717=Filters!$B$9)
)</f>
        <v>1</v>
      </c>
      <c r="AE717">
        <f t="shared" si="143"/>
        <v>6</v>
      </c>
      <c r="AF717">
        <f t="shared" si="144"/>
        <v>7</v>
      </c>
      <c r="AG717">
        <f t="shared" si="145"/>
        <v>7</v>
      </c>
      <c r="AH717" s="9">
        <f t="shared" si="146"/>
        <v>0.69047619047619047</v>
      </c>
      <c r="AI717" s="9">
        <f t="shared" si="147"/>
        <v>0.80952380952380942</v>
      </c>
      <c r="AJ717" s="9">
        <f t="shared" si="148"/>
        <v>0.63095238095238093</v>
      </c>
      <c r="AK717" s="9">
        <f t="shared" si="149"/>
        <v>0.61904761904761907</v>
      </c>
      <c r="AL717" s="9">
        <f t="shared" si="150"/>
        <v>0.92023809523809519</v>
      </c>
      <c r="AM717" s="9">
        <f t="shared" si="151"/>
        <v>0.5714285714285714</v>
      </c>
      <c r="AN717" s="9">
        <f t="shared" si="152"/>
        <v>0.69047619047619047</v>
      </c>
      <c r="AO717" s="9">
        <f t="shared" si="153"/>
        <v>0.69047619047619047</v>
      </c>
      <c r="AP717" s="9">
        <f t="shared" si="154"/>
        <v>0.69729800833144051</v>
      </c>
      <c r="AQ717" s="10">
        <f t="shared" si="155"/>
        <v>0.69729872533144055</v>
      </c>
    </row>
    <row r="718" spans="1:43">
      <c r="A718">
        <v>717</v>
      </c>
      <c r="B718" t="s">
        <v>23</v>
      </c>
      <c r="C718" t="s">
        <v>870</v>
      </c>
      <c r="D718" t="s">
        <v>871</v>
      </c>
      <c r="E718" t="s">
        <v>97</v>
      </c>
      <c r="G718" t="s">
        <v>18</v>
      </c>
      <c r="H718" s="4">
        <v>31833000</v>
      </c>
      <c r="I718" s="5">
        <v>256</v>
      </c>
      <c r="J718" s="5">
        <v>0</v>
      </c>
      <c r="K718" s="5">
        <v>8</v>
      </c>
      <c r="L718">
        <v>7.2</v>
      </c>
      <c r="M718">
        <v>3.5</v>
      </c>
      <c r="N718">
        <v>5.92</v>
      </c>
      <c r="O718" s="6">
        <v>15.6</v>
      </c>
      <c r="P718" s="7">
        <v>1.9</v>
      </c>
      <c r="U718" t="s">
        <v>84</v>
      </c>
      <c r="V718" t="s">
        <v>633</v>
      </c>
      <c r="W718">
        <v>2.6</v>
      </c>
      <c r="X718" t="s">
        <v>84</v>
      </c>
      <c r="Y718" t="s">
        <v>99</v>
      </c>
      <c r="Z718" t="s">
        <v>100</v>
      </c>
      <c r="AA718" t="s">
        <v>101</v>
      </c>
      <c r="AB718" t="s">
        <v>115</v>
      </c>
      <c r="AC718">
        <v>1179</v>
      </c>
      <c r="AD718" s="8" t="b">
        <f>AND(
 H718&gt;=Filters!$B$3,
 H718&lt;=Filters!$B$4,
 I718&gt;=Filters!$B$5,
 OR(Filters!$B$6="All",B718=Filters!$B$6),
 F718&gt;=Filters!$B$7,
 F718&lt;=Filters!$B$8,
 OR(Filters!$B$9="All",G718=Filters!$B$9)
)</f>
        <v>0</v>
      </c>
      <c r="AE718">
        <f t="shared" si="143"/>
        <v>6</v>
      </c>
      <c r="AF718">
        <f t="shared" si="144"/>
        <v>7</v>
      </c>
      <c r="AG718">
        <f t="shared" si="145"/>
        <v>7</v>
      </c>
      <c r="AH718" s="9" t="str">
        <f t="shared" si="146"/>
        <v/>
      </c>
      <c r="AI718" s="9" t="str">
        <f t="shared" si="147"/>
        <v/>
      </c>
      <c r="AJ718" s="9" t="str">
        <f t="shared" si="148"/>
        <v/>
      </c>
      <c r="AK718" s="9" t="str">
        <f t="shared" si="149"/>
        <v/>
      </c>
      <c r="AL718" s="9" t="str">
        <f t="shared" si="150"/>
        <v/>
      </c>
      <c r="AM718" s="9" t="str">
        <f t="shared" si="151"/>
        <v/>
      </c>
      <c r="AN718" s="9" t="str">
        <f t="shared" si="152"/>
        <v/>
      </c>
      <c r="AO718" s="9" t="str">
        <f t="shared" si="153"/>
        <v/>
      </c>
      <c r="AP718" s="9" t="str">
        <f t="shared" si="154"/>
        <v/>
      </c>
      <c r="AQ718" s="10" t="str">
        <f t="shared" si="155"/>
        <v/>
      </c>
    </row>
    <row r="719" spans="1:43">
      <c r="A719">
        <v>718</v>
      </c>
      <c r="B719" t="s">
        <v>29</v>
      </c>
      <c r="C719" t="s">
        <v>1097</v>
      </c>
      <c r="D719" t="s">
        <v>1098</v>
      </c>
      <c r="E719" t="s">
        <v>97</v>
      </c>
      <c r="G719" t="s">
        <v>18</v>
      </c>
      <c r="H719" s="4">
        <v>8046000</v>
      </c>
      <c r="I719" s="5">
        <v>0</v>
      </c>
      <c r="J719" s="5">
        <v>500</v>
      </c>
      <c r="K719" s="5">
        <v>4</v>
      </c>
      <c r="L719">
        <v>5</v>
      </c>
      <c r="M719">
        <v>6.5</v>
      </c>
      <c r="N719">
        <v>3.92</v>
      </c>
      <c r="O719" s="6">
        <v>15.6</v>
      </c>
      <c r="P719" s="7">
        <v>2.19</v>
      </c>
      <c r="U719" t="s">
        <v>104</v>
      </c>
      <c r="V719" t="s">
        <v>1099</v>
      </c>
      <c r="W719">
        <v>2</v>
      </c>
      <c r="X719" t="s">
        <v>104</v>
      </c>
      <c r="Y719" t="s">
        <v>764</v>
      </c>
      <c r="Z719" t="s">
        <v>113</v>
      </c>
      <c r="AA719" t="s">
        <v>114</v>
      </c>
      <c r="AB719" t="s">
        <v>115</v>
      </c>
      <c r="AC719">
        <v>298</v>
      </c>
      <c r="AD719" s="8" t="b">
        <f>AND(
 H719&gt;=Filters!$B$3,
 H719&lt;=Filters!$B$4,
 I719&gt;=Filters!$B$5,
 OR(Filters!$B$6="All",B719=Filters!$B$6),
 F719&gt;=Filters!$B$7,
 F719&lt;=Filters!$B$8,
 OR(Filters!$B$9="All",G719=Filters!$B$9)
)</f>
        <v>0</v>
      </c>
      <c r="AE719">
        <f t="shared" si="143"/>
        <v>6</v>
      </c>
      <c r="AF719">
        <f t="shared" si="144"/>
        <v>7</v>
      </c>
      <c r="AG719">
        <f t="shared" si="145"/>
        <v>7</v>
      </c>
      <c r="AH719" s="9" t="str">
        <f t="shared" si="146"/>
        <v/>
      </c>
      <c r="AI719" s="9" t="str">
        <f t="shared" si="147"/>
        <v/>
      </c>
      <c r="AJ719" s="9" t="str">
        <f t="shared" si="148"/>
        <v/>
      </c>
      <c r="AK719" s="9" t="str">
        <f t="shared" si="149"/>
        <v/>
      </c>
      <c r="AL719" s="9" t="str">
        <f t="shared" si="150"/>
        <v/>
      </c>
      <c r="AM719" s="9" t="str">
        <f t="shared" si="151"/>
        <v/>
      </c>
      <c r="AN719" s="9" t="str">
        <f t="shared" si="152"/>
        <v/>
      </c>
      <c r="AO719" s="9" t="str">
        <f t="shared" si="153"/>
        <v/>
      </c>
      <c r="AP719" s="9" t="str">
        <f t="shared" si="154"/>
        <v/>
      </c>
      <c r="AQ719" s="10" t="str">
        <f t="shared" si="155"/>
        <v/>
      </c>
    </row>
    <row r="720" spans="1:43">
      <c r="A720">
        <v>719</v>
      </c>
      <c r="B720" t="s">
        <v>31</v>
      </c>
      <c r="C720" t="s">
        <v>1100</v>
      </c>
      <c r="D720" t="s">
        <v>1101</v>
      </c>
      <c r="E720" t="s">
        <v>97</v>
      </c>
      <c r="G720" t="s">
        <v>18</v>
      </c>
      <c r="H720" s="4">
        <v>7155000</v>
      </c>
      <c r="I720" s="5">
        <v>0</v>
      </c>
      <c r="J720" s="5">
        <v>32</v>
      </c>
      <c r="K720" s="5">
        <v>4</v>
      </c>
      <c r="L720">
        <v>1.34</v>
      </c>
      <c r="M720">
        <v>3.5</v>
      </c>
      <c r="N720">
        <v>7.4</v>
      </c>
      <c r="O720" s="6">
        <v>14</v>
      </c>
      <c r="P720" s="7">
        <v>1.4</v>
      </c>
      <c r="U720" t="s">
        <v>84</v>
      </c>
      <c r="V720" t="s">
        <v>1102</v>
      </c>
      <c r="W720">
        <v>1.92</v>
      </c>
      <c r="X720" t="s">
        <v>84</v>
      </c>
      <c r="Y720" t="s">
        <v>154</v>
      </c>
      <c r="Z720" t="s">
        <v>1103</v>
      </c>
      <c r="AA720" t="s">
        <v>1104</v>
      </c>
      <c r="AB720" t="s">
        <v>115</v>
      </c>
      <c r="AC720">
        <v>265</v>
      </c>
      <c r="AD720" s="8" t="b">
        <f>AND(
 H720&gt;=Filters!$B$3,
 H720&lt;=Filters!$B$4,
 I720&gt;=Filters!$B$5,
 OR(Filters!$B$6="All",B720=Filters!$B$6),
 F720&gt;=Filters!$B$7,
 F720&lt;=Filters!$B$8,
 OR(Filters!$B$9="All",G720=Filters!$B$9)
)</f>
        <v>0</v>
      </c>
      <c r="AE720">
        <f t="shared" si="143"/>
        <v>6</v>
      </c>
      <c r="AF720">
        <f t="shared" si="144"/>
        <v>7</v>
      </c>
      <c r="AG720">
        <f t="shared" si="145"/>
        <v>7</v>
      </c>
      <c r="AH720" s="9" t="str">
        <f t="shared" si="146"/>
        <v/>
      </c>
      <c r="AI720" s="9" t="str">
        <f t="shared" si="147"/>
        <v/>
      </c>
      <c r="AJ720" s="9" t="str">
        <f t="shared" si="148"/>
        <v/>
      </c>
      <c r="AK720" s="9" t="str">
        <f t="shared" si="149"/>
        <v/>
      </c>
      <c r="AL720" s="9" t="str">
        <f t="shared" si="150"/>
        <v/>
      </c>
      <c r="AM720" s="9" t="str">
        <f t="shared" si="151"/>
        <v/>
      </c>
      <c r="AN720" s="9" t="str">
        <f t="shared" si="152"/>
        <v/>
      </c>
      <c r="AO720" s="9" t="str">
        <f t="shared" si="153"/>
        <v/>
      </c>
      <c r="AP720" s="9" t="str">
        <f t="shared" si="154"/>
        <v/>
      </c>
      <c r="AQ720" s="10" t="str">
        <f t="shared" si="155"/>
        <v/>
      </c>
    </row>
    <row r="721" spans="1:43">
      <c r="A721">
        <v>720</v>
      </c>
      <c r="B721" t="s">
        <v>26</v>
      </c>
      <c r="C721" t="s">
        <v>181</v>
      </c>
      <c r="D721" t="s">
        <v>182</v>
      </c>
      <c r="E721" t="s">
        <v>97</v>
      </c>
      <c r="G721" t="s">
        <v>18</v>
      </c>
      <c r="H721" s="4">
        <v>32400000</v>
      </c>
      <c r="I721" s="5">
        <v>256</v>
      </c>
      <c r="J721" s="5">
        <v>0</v>
      </c>
      <c r="K721" s="5">
        <v>8</v>
      </c>
      <c r="L721">
        <v>9.4</v>
      </c>
      <c r="M721">
        <v>6.5</v>
      </c>
      <c r="N721">
        <v>5.83</v>
      </c>
      <c r="O721" s="6">
        <v>17.3</v>
      </c>
      <c r="P721" s="7">
        <v>2.63</v>
      </c>
      <c r="U721" t="s">
        <v>84</v>
      </c>
      <c r="V721" t="s">
        <v>140</v>
      </c>
      <c r="W721">
        <v>2.7</v>
      </c>
      <c r="X721" t="s">
        <v>122</v>
      </c>
      <c r="Y721" t="s">
        <v>183</v>
      </c>
      <c r="Z721" t="s">
        <v>100</v>
      </c>
      <c r="AA721" t="s">
        <v>101</v>
      </c>
      <c r="AB721" t="s">
        <v>115</v>
      </c>
      <c r="AC721">
        <v>1200</v>
      </c>
      <c r="AD721" s="8" t="b">
        <f>AND(
 H721&gt;=Filters!$B$3,
 H721&lt;=Filters!$B$4,
 I721&gt;=Filters!$B$5,
 OR(Filters!$B$6="All",B721=Filters!$B$6),
 F721&gt;=Filters!$B$7,
 F721&lt;=Filters!$B$8,
 OR(Filters!$B$9="All",G721=Filters!$B$9)
)</f>
        <v>0</v>
      </c>
      <c r="AE721">
        <f t="shared" si="143"/>
        <v>6</v>
      </c>
      <c r="AF721">
        <f t="shared" si="144"/>
        <v>7</v>
      </c>
      <c r="AG721">
        <f t="shared" si="145"/>
        <v>7</v>
      </c>
      <c r="AH721" s="9" t="str">
        <f t="shared" si="146"/>
        <v/>
      </c>
      <c r="AI721" s="9" t="str">
        <f t="shared" si="147"/>
        <v/>
      </c>
      <c r="AJ721" s="9" t="str">
        <f t="shared" si="148"/>
        <v/>
      </c>
      <c r="AK721" s="9" t="str">
        <f t="shared" si="149"/>
        <v/>
      </c>
      <c r="AL721" s="9" t="str">
        <f t="shared" si="150"/>
        <v/>
      </c>
      <c r="AM721" s="9" t="str">
        <f t="shared" si="151"/>
        <v/>
      </c>
      <c r="AN721" s="9" t="str">
        <f t="shared" si="152"/>
        <v/>
      </c>
      <c r="AO721" s="9" t="str">
        <f t="shared" si="153"/>
        <v/>
      </c>
      <c r="AP721" s="9" t="str">
        <f t="shared" si="154"/>
        <v/>
      </c>
      <c r="AQ721" s="10" t="str">
        <f t="shared" si="155"/>
        <v/>
      </c>
    </row>
    <row r="722" spans="1:43">
      <c r="A722">
        <v>721</v>
      </c>
      <c r="B722" t="s">
        <v>29</v>
      </c>
      <c r="C722" t="s">
        <v>1003</v>
      </c>
      <c r="D722" t="s">
        <v>547</v>
      </c>
      <c r="E722" t="s">
        <v>83</v>
      </c>
      <c r="G722" t="s">
        <v>18</v>
      </c>
      <c r="H722" s="4">
        <v>45539280</v>
      </c>
      <c r="I722" s="5">
        <v>512</v>
      </c>
      <c r="J722" s="5">
        <v>0</v>
      </c>
      <c r="K722" s="5">
        <v>8</v>
      </c>
      <c r="L722">
        <v>9</v>
      </c>
      <c r="M722">
        <v>3.5</v>
      </c>
      <c r="N722">
        <v>7.4</v>
      </c>
      <c r="O722" s="6">
        <v>14</v>
      </c>
      <c r="P722" s="7">
        <v>1.17</v>
      </c>
      <c r="U722" t="s">
        <v>84</v>
      </c>
      <c r="V722" t="s">
        <v>485</v>
      </c>
      <c r="W722">
        <v>2.5</v>
      </c>
      <c r="X722" t="s">
        <v>84</v>
      </c>
      <c r="Y722" t="s">
        <v>130</v>
      </c>
      <c r="Z722" t="s">
        <v>106</v>
      </c>
      <c r="AA722" t="s">
        <v>803</v>
      </c>
      <c r="AB722" t="s">
        <v>115</v>
      </c>
      <c r="AC722">
        <v>1686.64</v>
      </c>
      <c r="AD722" s="8" t="b">
        <f>AND(
 H722&gt;=Filters!$B$3,
 H722&lt;=Filters!$B$4,
 I722&gt;=Filters!$B$5,
 OR(Filters!$B$6="All",B722=Filters!$B$6),
 F722&gt;=Filters!$B$7,
 F722&lt;=Filters!$B$8,
 OR(Filters!$B$9="All",G722=Filters!$B$9)
)</f>
        <v>0</v>
      </c>
      <c r="AE722">
        <f t="shared" si="143"/>
        <v>6</v>
      </c>
      <c r="AF722">
        <f t="shared" si="144"/>
        <v>7</v>
      </c>
      <c r="AG722">
        <f t="shared" si="145"/>
        <v>7</v>
      </c>
      <c r="AH722" s="9" t="str">
        <f t="shared" si="146"/>
        <v/>
      </c>
      <c r="AI722" s="9" t="str">
        <f t="shared" si="147"/>
        <v/>
      </c>
      <c r="AJ722" s="9" t="str">
        <f t="shared" si="148"/>
        <v/>
      </c>
      <c r="AK722" s="9" t="str">
        <f t="shared" si="149"/>
        <v/>
      </c>
      <c r="AL722" s="9" t="str">
        <f t="shared" si="150"/>
        <v/>
      </c>
      <c r="AM722" s="9" t="str">
        <f t="shared" si="151"/>
        <v/>
      </c>
      <c r="AN722" s="9" t="str">
        <f t="shared" si="152"/>
        <v/>
      </c>
      <c r="AO722" s="9" t="str">
        <f t="shared" si="153"/>
        <v/>
      </c>
      <c r="AP722" s="9" t="str">
        <f t="shared" si="154"/>
        <v/>
      </c>
      <c r="AQ722" s="10" t="str">
        <f t="shared" si="155"/>
        <v/>
      </c>
    </row>
    <row r="723" spans="1:43">
      <c r="A723">
        <v>722</v>
      </c>
      <c r="B723" t="s">
        <v>26</v>
      </c>
      <c r="C723" t="s">
        <v>1043</v>
      </c>
      <c r="D723" t="s">
        <v>1044</v>
      </c>
      <c r="E723" t="s">
        <v>168</v>
      </c>
      <c r="G723" t="s">
        <v>18</v>
      </c>
      <c r="H723" s="4">
        <v>22588200</v>
      </c>
      <c r="I723" s="5">
        <v>256</v>
      </c>
      <c r="J723" s="5">
        <v>0</v>
      </c>
      <c r="K723" s="5">
        <v>8</v>
      </c>
      <c r="L723">
        <v>7</v>
      </c>
      <c r="M723">
        <v>3.5</v>
      </c>
      <c r="N723">
        <v>4.67</v>
      </c>
      <c r="O723" s="6">
        <v>13.3</v>
      </c>
      <c r="P723" s="7">
        <v>1.58</v>
      </c>
      <c r="U723" t="s">
        <v>84</v>
      </c>
      <c r="V723" t="s">
        <v>98</v>
      </c>
      <c r="W723">
        <v>2.5</v>
      </c>
      <c r="X723" t="s">
        <v>84</v>
      </c>
      <c r="Y723" t="s">
        <v>99</v>
      </c>
      <c r="Z723" t="s">
        <v>100</v>
      </c>
      <c r="AA723" t="s">
        <v>984</v>
      </c>
      <c r="AB723" t="s">
        <v>115</v>
      </c>
      <c r="AC723">
        <v>836.6</v>
      </c>
      <c r="AD723" s="8" t="b">
        <f>AND(
 H723&gt;=Filters!$B$3,
 H723&lt;=Filters!$B$4,
 I723&gt;=Filters!$B$5,
 OR(Filters!$B$6="All",B723=Filters!$B$6),
 F723&gt;=Filters!$B$7,
 F723&lt;=Filters!$B$8,
 OR(Filters!$B$9="All",G723=Filters!$B$9)
)</f>
        <v>1</v>
      </c>
      <c r="AE723">
        <f t="shared" si="143"/>
        <v>6</v>
      </c>
      <c r="AF723">
        <f t="shared" si="144"/>
        <v>7</v>
      </c>
      <c r="AG723">
        <f t="shared" si="145"/>
        <v>7</v>
      </c>
      <c r="AH723" s="9">
        <f t="shared" si="146"/>
        <v>0.69047619047619047</v>
      </c>
      <c r="AI723" s="9">
        <f t="shared" si="147"/>
        <v>0.80952380952380942</v>
      </c>
      <c r="AJ723" s="9">
        <f t="shared" si="148"/>
        <v>0.27380952380952378</v>
      </c>
      <c r="AK723" s="9">
        <f t="shared" si="149"/>
        <v>0.41309523809523807</v>
      </c>
      <c r="AL723" s="9">
        <f t="shared" si="150"/>
        <v>0.9547619047619047</v>
      </c>
      <c r="AM723" s="9">
        <f t="shared" si="151"/>
        <v>0.5714285714285714</v>
      </c>
      <c r="AN723" s="9">
        <f t="shared" si="152"/>
        <v>0.69047619047619047</v>
      </c>
      <c r="AO723" s="9">
        <f t="shared" si="153"/>
        <v>0.69047619047619047</v>
      </c>
      <c r="AP723" s="9">
        <f t="shared" si="154"/>
        <v>0.65862055716569134</v>
      </c>
      <c r="AQ723" s="10">
        <f t="shared" si="155"/>
        <v>0.65862128016569133</v>
      </c>
    </row>
    <row r="724" spans="1:43">
      <c r="A724">
        <v>723</v>
      </c>
      <c r="B724" t="s">
        <v>29</v>
      </c>
      <c r="C724" t="s">
        <v>761</v>
      </c>
      <c r="D724" t="s">
        <v>762</v>
      </c>
      <c r="E724" t="s">
        <v>83</v>
      </c>
      <c r="G724" t="s">
        <v>18</v>
      </c>
      <c r="H724" s="4">
        <v>40473000</v>
      </c>
      <c r="I724" s="5">
        <v>256</v>
      </c>
      <c r="J724" s="5">
        <v>0</v>
      </c>
      <c r="K724" s="5">
        <v>8</v>
      </c>
      <c r="L724">
        <v>7</v>
      </c>
      <c r="M724">
        <v>3.5</v>
      </c>
      <c r="N724">
        <v>6.4</v>
      </c>
      <c r="O724" s="6">
        <v>14</v>
      </c>
      <c r="P724" s="7">
        <v>1.32</v>
      </c>
      <c r="U724" t="s">
        <v>84</v>
      </c>
      <c r="V724" t="s">
        <v>98</v>
      </c>
      <c r="W724">
        <v>2.5</v>
      </c>
      <c r="X724" t="s">
        <v>84</v>
      </c>
      <c r="Y724" t="s">
        <v>99</v>
      </c>
      <c r="Z724" t="s">
        <v>100</v>
      </c>
      <c r="AA724" t="s">
        <v>128</v>
      </c>
      <c r="AB724" t="s">
        <v>115</v>
      </c>
      <c r="AC724">
        <v>1499</v>
      </c>
      <c r="AD724" s="8" t="b">
        <f>AND(
 H724&gt;=Filters!$B$3,
 H724&lt;=Filters!$B$4,
 I724&gt;=Filters!$B$5,
 OR(Filters!$B$6="All",B724=Filters!$B$6),
 F724&gt;=Filters!$B$7,
 F724&lt;=Filters!$B$8,
 OR(Filters!$B$9="All",G724=Filters!$B$9)
)</f>
        <v>0</v>
      </c>
      <c r="AE724">
        <f t="shared" si="143"/>
        <v>6</v>
      </c>
      <c r="AF724">
        <f t="shared" si="144"/>
        <v>7</v>
      </c>
      <c r="AG724">
        <f t="shared" si="145"/>
        <v>7</v>
      </c>
      <c r="AH724" s="9" t="str">
        <f t="shared" si="146"/>
        <v/>
      </c>
      <c r="AI724" s="9" t="str">
        <f t="shared" si="147"/>
        <v/>
      </c>
      <c r="AJ724" s="9" t="str">
        <f t="shared" si="148"/>
        <v/>
      </c>
      <c r="AK724" s="9" t="str">
        <f t="shared" si="149"/>
        <v/>
      </c>
      <c r="AL724" s="9" t="str">
        <f t="shared" si="150"/>
        <v/>
      </c>
      <c r="AM724" s="9" t="str">
        <f t="shared" si="151"/>
        <v/>
      </c>
      <c r="AN724" s="9" t="str">
        <f t="shared" si="152"/>
        <v/>
      </c>
      <c r="AO724" s="9" t="str">
        <f t="shared" si="153"/>
        <v/>
      </c>
      <c r="AP724" s="9" t="str">
        <f t="shared" si="154"/>
        <v/>
      </c>
      <c r="AQ724" s="10" t="str">
        <f t="shared" si="155"/>
        <v/>
      </c>
    </row>
    <row r="725" spans="1:43">
      <c r="A725">
        <v>724</v>
      </c>
      <c r="B725" t="s">
        <v>23</v>
      </c>
      <c r="C725" t="s">
        <v>486</v>
      </c>
      <c r="D725" t="s">
        <v>487</v>
      </c>
      <c r="E725" t="s">
        <v>158</v>
      </c>
      <c r="G725" t="s">
        <v>18</v>
      </c>
      <c r="H725" s="4">
        <v>98803800</v>
      </c>
      <c r="I725" s="5">
        <v>1024</v>
      </c>
      <c r="J725" s="5">
        <v>1024</v>
      </c>
      <c r="K725" s="5">
        <v>32</v>
      </c>
      <c r="L725">
        <v>9.6</v>
      </c>
      <c r="M725">
        <v>9.1999999999999993</v>
      </c>
      <c r="N725">
        <v>9.34</v>
      </c>
      <c r="O725" s="6">
        <v>17.3</v>
      </c>
      <c r="P725" s="7">
        <v>4.3600000000000003</v>
      </c>
      <c r="U725" t="s">
        <v>84</v>
      </c>
      <c r="V725" t="s">
        <v>210</v>
      </c>
      <c r="W725">
        <v>2.8</v>
      </c>
      <c r="X725" t="s">
        <v>122</v>
      </c>
      <c r="Y725" t="s">
        <v>248</v>
      </c>
      <c r="Z725" t="s">
        <v>1105</v>
      </c>
      <c r="AA725" t="s">
        <v>471</v>
      </c>
      <c r="AB725" t="s">
        <v>115</v>
      </c>
      <c r="AC725">
        <v>3659.4</v>
      </c>
      <c r="AD725" s="8" t="b">
        <f>AND(
 H725&gt;=Filters!$B$3,
 H725&lt;=Filters!$B$4,
 I725&gt;=Filters!$B$5,
 OR(Filters!$B$6="All",B725=Filters!$B$6),
 F725&gt;=Filters!$B$7,
 F725&lt;=Filters!$B$8,
 OR(Filters!$B$9="All",G725=Filters!$B$9)
)</f>
        <v>0</v>
      </c>
      <c r="AE725">
        <f t="shared" si="143"/>
        <v>6</v>
      </c>
      <c r="AF725">
        <f t="shared" si="144"/>
        <v>7</v>
      </c>
      <c r="AG725">
        <f t="shared" si="145"/>
        <v>7</v>
      </c>
      <c r="AH725" s="9" t="str">
        <f t="shared" si="146"/>
        <v/>
      </c>
      <c r="AI725" s="9" t="str">
        <f t="shared" si="147"/>
        <v/>
      </c>
      <c r="AJ725" s="9" t="str">
        <f t="shared" si="148"/>
        <v/>
      </c>
      <c r="AK725" s="9" t="str">
        <f t="shared" si="149"/>
        <v/>
      </c>
      <c r="AL725" s="9" t="str">
        <f t="shared" si="150"/>
        <v/>
      </c>
      <c r="AM725" s="9" t="str">
        <f t="shared" si="151"/>
        <v/>
      </c>
      <c r="AN725" s="9" t="str">
        <f t="shared" si="152"/>
        <v/>
      </c>
      <c r="AO725" s="9" t="str">
        <f t="shared" si="153"/>
        <v/>
      </c>
      <c r="AP725" s="9" t="str">
        <f t="shared" si="154"/>
        <v/>
      </c>
      <c r="AQ725" s="10" t="str">
        <f t="shared" si="155"/>
        <v/>
      </c>
    </row>
    <row r="726" spans="1:43">
      <c r="A726">
        <v>725</v>
      </c>
      <c r="B726" t="s">
        <v>30</v>
      </c>
      <c r="C726" t="s">
        <v>624</v>
      </c>
      <c r="D726" t="s">
        <v>625</v>
      </c>
      <c r="E726" t="s">
        <v>158</v>
      </c>
      <c r="G726" t="s">
        <v>18</v>
      </c>
      <c r="H726" s="4">
        <v>36408960</v>
      </c>
      <c r="I726" s="5">
        <v>128</v>
      </c>
      <c r="J726" s="5">
        <v>1024</v>
      </c>
      <c r="K726" s="5">
        <v>8</v>
      </c>
      <c r="L726">
        <v>9.6</v>
      </c>
      <c r="M726">
        <v>9.1999999999999993</v>
      </c>
      <c r="N726">
        <v>5.83</v>
      </c>
      <c r="O726" s="6">
        <v>17.3</v>
      </c>
      <c r="P726" s="7">
        <v>2.7</v>
      </c>
      <c r="U726" t="s">
        <v>84</v>
      </c>
      <c r="V726" t="s">
        <v>210</v>
      </c>
      <c r="W726">
        <v>2.8</v>
      </c>
      <c r="X726" t="s">
        <v>122</v>
      </c>
      <c r="Y726" t="s">
        <v>260</v>
      </c>
      <c r="Z726" t="s">
        <v>161</v>
      </c>
      <c r="AA726" t="s">
        <v>101</v>
      </c>
      <c r="AB726" t="s">
        <v>115</v>
      </c>
      <c r="AC726">
        <v>1348.48</v>
      </c>
      <c r="AD726" s="8" t="b">
        <f>AND(
 H726&gt;=Filters!$B$3,
 H726&lt;=Filters!$B$4,
 I726&gt;=Filters!$B$5,
 OR(Filters!$B$6="All",B726=Filters!$B$6),
 F726&gt;=Filters!$B$7,
 F726&lt;=Filters!$B$8,
 OR(Filters!$B$9="All",G726=Filters!$B$9)
)</f>
        <v>0</v>
      </c>
      <c r="AE726">
        <f t="shared" si="143"/>
        <v>6</v>
      </c>
      <c r="AF726">
        <f t="shared" si="144"/>
        <v>7</v>
      </c>
      <c r="AG726">
        <f t="shared" si="145"/>
        <v>7</v>
      </c>
      <c r="AH726" s="9" t="str">
        <f t="shared" si="146"/>
        <v/>
      </c>
      <c r="AI726" s="9" t="str">
        <f t="shared" si="147"/>
        <v/>
      </c>
      <c r="AJ726" s="9" t="str">
        <f t="shared" si="148"/>
        <v/>
      </c>
      <c r="AK726" s="9" t="str">
        <f t="shared" si="149"/>
        <v/>
      </c>
      <c r="AL726" s="9" t="str">
        <f t="shared" si="150"/>
        <v/>
      </c>
      <c r="AM726" s="9" t="str">
        <f t="shared" si="151"/>
        <v/>
      </c>
      <c r="AN726" s="9" t="str">
        <f t="shared" si="152"/>
        <v/>
      </c>
      <c r="AO726" s="9" t="str">
        <f t="shared" si="153"/>
        <v/>
      </c>
      <c r="AP726" s="9" t="str">
        <f t="shared" si="154"/>
        <v/>
      </c>
      <c r="AQ726" s="10" t="str">
        <f t="shared" si="155"/>
        <v/>
      </c>
    </row>
    <row r="727" spans="1:43">
      <c r="A727">
        <v>726</v>
      </c>
      <c r="B727" t="s">
        <v>29</v>
      </c>
      <c r="C727" t="s">
        <v>1106</v>
      </c>
      <c r="D727" t="s">
        <v>1107</v>
      </c>
      <c r="E727" t="s">
        <v>97</v>
      </c>
      <c r="G727" t="s">
        <v>18</v>
      </c>
      <c r="H727" s="4">
        <v>13227300</v>
      </c>
      <c r="I727" s="5">
        <v>0</v>
      </c>
      <c r="J727" s="5">
        <v>1024</v>
      </c>
      <c r="K727" s="5">
        <v>4</v>
      </c>
      <c r="L727">
        <v>7</v>
      </c>
      <c r="M727">
        <v>3.5</v>
      </c>
      <c r="N727">
        <v>3.92</v>
      </c>
      <c r="O727" s="6">
        <v>15.6</v>
      </c>
      <c r="P727" s="7">
        <v>1.9</v>
      </c>
      <c r="U727" t="s">
        <v>84</v>
      </c>
      <c r="V727" t="s">
        <v>98</v>
      </c>
      <c r="W727">
        <v>2.5</v>
      </c>
      <c r="X727" t="s">
        <v>84</v>
      </c>
      <c r="Y727" t="s">
        <v>99</v>
      </c>
      <c r="Z727" t="s">
        <v>146</v>
      </c>
      <c r="AA727" t="s">
        <v>114</v>
      </c>
      <c r="AB727" t="s">
        <v>102</v>
      </c>
      <c r="AC727">
        <v>489.9</v>
      </c>
      <c r="AD727" s="8" t="b">
        <f>AND(
 H727&gt;=Filters!$B$3,
 H727&lt;=Filters!$B$4,
 I727&gt;=Filters!$B$5,
 OR(Filters!$B$6="All",B727=Filters!$B$6),
 F727&gt;=Filters!$B$7,
 F727&lt;=Filters!$B$8,
 OR(Filters!$B$9="All",G727=Filters!$B$9)
)</f>
        <v>0</v>
      </c>
      <c r="AE727">
        <f t="shared" si="143"/>
        <v>6</v>
      </c>
      <c r="AF727">
        <f t="shared" si="144"/>
        <v>7</v>
      </c>
      <c r="AG727">
        <f t="shared" si="145"/>
        <v>7</v>
      </c>
      <c r="AH727" s="9" t="str">
        <f t="shared" si="146"/>
        <v/>
      </c>
      <c r="AI727" s="9" t="str">
        <f t="shared" si="147"/>
        <v/>
      </c>
      <c r="AJ727" s="9" t="str">
        <f t="shared" si="148"/>
        <v/>
      </c>
      <c r="AK727" s="9" t="str">
        <f t="shared" si="149"/>
        <v/>
      </c>
      <c r="AL727" s="9" t="str">
        <f t="shared" si="150"/>
        <v/>
      </c>
      <c r="AM727" s="9" t="str">
        <f t="shared" si="151"/>
        <v/>
      </c>
      <c r="AN727" s="9" t="str">
        <f t="shared" si="152"/>
        <v/>
      </c>
      <c r="AO727" s="9" t="str">
        <f t="shared" si="153"/>
        <v/>
      </c>
      <c r="AP727" s="9" t="str">
        <f t="shared" si="154"/>
        <v/>
      </c>
      <c r="AQ727" s="10" t="str">
        <f t="shared" si="155"/>
        <v/>
      </c>
    </row>
    <row r="728" spans="1:43">
      <c r="A728">
        <v>727</v>
      </c>
      <c r="B728" t="s">
        <v>23</v>
      </c>
      <c r="C728" t="s">
        <v>174</v>
      </c>
      <c r="D728" t="s">
        <v>175</v>
      </c>
      <c r="E728" t="s">
        <v>97</v>
      </c>
      <c r="G728" t="s">
        <v>18</v>
      </c>
      <c r="H728" s="4">
        <v>19413000</v>
      </c>
      <c r="I728" s="5">
        <v>128</v>
      </c>
      <c r="J728" s="5">
        <v>1024</v>
      </c>
      <c r="K728" s="5">
        <v>8</v>
      </c>
      <c r="L728">
        <v>5.2</v>
      </c>
      <c r="M728">
        <v>6.5</v>
      </c>
      <c r="N728">
        <v>5.92</v>
      </c>
      <c r="O728" s="6">
        <v>15.6</v>
      </c>
      <c r="P728" s="7">
        <v>2.2000000000000002</v>
      </c>
      <c r="U728" t="s">
        <v>84</v>
      </c>
      <c r="V728" t="s">
        <v>126</v>
      </c>
      <c r="W728">
        <v>1.6</v>
      </c>
      <c r="X728" t="s">
        <v>104</v>
      </c>
      <c r="Y728" t="s">
        <v>176</v>
      </c>
      <c r="Z728" t="s">
        <v>161</v>
      </c>
      <c r="AA728" t="s">
        <v>101</v>
      </c>
      <c r="AB728" t="s">
        <v>115</v>
      </c>
      <c r="AC728">
        <v>719</v>
      </c>
      <c r="AD728" s="8" t="b">
        <f>AND(
 H728&gt;=Filters!$B$3,
 H728&lt;=Filters!$B$4,
 I728&gt;=Filters!$B$5,
 OR(Filters!$B$6="All",B728=Filters!$B$6),
 F728&gt;=Filters!$B$7,
 F728&lt;=Filters!$B$8,
 OR(Filters!$B$9="All",G728=Filters!$B$9)
)</f>
        <v>0</v>
      </c>
      <c r="AE728">
        <f t="shared" si="143"/>
        <v>6</v>
      </c>
      <c r="AF728">
        <f t="shared" si="144"/>
        <v>7</v>
      </c>
      <c r="AG728">
        <f t="shared" si="145"/>
        <v>7</v>
      </c>
      <c r="AH728" s="9" t="str">
        <f t="shared" si="146"/>
        <v/>
      </c>
      <c r="AI728" s="9" t="str">
        <f t="shared" si="147"/>
        <v/>
      </c>
      <c r="AJ728" s="9" t="str">
        <f t="shared" si="148"/>
        <v/>
      </c>
      <c r="AK728" s="9" t="str">
        <f t="shared" si="149"/>
        <v/>
      </c>
      <c r="AL728" s="9" t="str">
        <f t="shared" si="150"/>
        <v/>
      </c>
      <c r="AM728" s="9" t="str">
        <f t="shared" si="151"/>
        <v/>
      </c>
      <c r="AN728" s="9" t="str">
        <f t="shared" si="152"/>
        <v/>
      </c>
      <c r="AO728" s="9" t="str">
        <f t="shared" si="153"/>
        <v/>
      </c>
      <c r="AP728" s="9" t="str">
        <f t="shared" si="154"/>
        <v/>
      </c>
      <c r="AQ728" s="10" t="str">
        <f t="shared" si="155"/>
        <v/>
      </c>
    </row>
    <row r="729" spans="1:43">
      <c r="A729">
        <v>728</v>
      </c>
      <c r="B729" t="s">
        <v>23</v>
      </c>
      <c r="C729" t="s">
        <v>1108</v>
      </c>
      <c r="D729" t="s">
        <v>1109</v>
      </c>
      <c r="E729" t="s">
        <v>168</v>
      </c>
      <c r="G729" t="s">
        <v>18</v>
      </c>
      <c r="H729" s="4">
        <v>17523000</v>
      </c>
      <c r="I729" s="5">
        <v>0</v>
      </c>
      <c r="J729" s="5">
        <v>1024</v>
      </c>
      <c r="K729" s="5">
        <v>4</v>
      </c>
      <c r="L729">
        <v>4.8</v>
      </c>
      <c r="M729">
        <v>3.5</v>
      </c>
      <c r="N729">
        <v>6.26</v>
      </c>
      <c r="O729" s="6">
        <v>13.3</v>
      </c>
      <c r="P729" s="7">
        <v>1.71</v>
      </c>
      <c r="U729" t="s">
        <v>84</v>
      </c>
      <c r="V729" t="s">
        <v>144</v>
      </c>
      <c r="W729">
        <v>2.4</v>
      </c>
      <c r="X729" t="s">
        <v>84</v>
      </c>
      <c r="Y729" t="s">
        <v>99</v>
      </c>
      <c r="Z729" t="s">
        <v>146</v>
      </c>
      <c r="AA729" t="s">
        <v>169</v>
      </c>
      <c r="AB729" t="s">
        <v>115</v>
      </c>
      <c r="AC729">
        <v>649</v>
      </c>
      <c r="AD729" s="8" t="b">
        <f>AND(
 H729&gt;=Filters!$B$3,
 H729&lt;=Filters!$B$4,
 I729&gt;=Filters!$B$5,
 OR(Filters!$B$6="All",B729=Filters!$B$6),
 F729&gt;=Filters!$B$7,
 F729&lt;=Filters!$B$8,
 OR(Filters!$B$9="All",G729=Filters!$B$9)
)</f>
        <v>0</v>
      </c>
      <c r="AE729">
        <f t="shared" si="143"/>
        <v>6</v>
      </c>
      <c r="AF729">
        <f t="shared" si="144"/>
        <v>7</v>
      </c>
      <c r="AG729">
        <f t="shared" si="145"/>
        <v>7</v>
      </c>
      <c r="AH729" s="9" t="str">
        <f t="shared" si="146"/>
        <v/>
      </c>
      <c r="AI729" s="9" t="str">
        <f t="shared" si="147"/>
        <v/>
      </c>
      <c r="AJ729" s="9" t="str">
        <f t="shared" si="148"/>
        <v/>
      </c>
      <c r="AK729" s="9" t="str">
        <f t="shared" si="149"/>
        <v/>
      </c>
      <c r="AL729" s="9" t="str">
        <f t="shared" si="150"/>
        <v/>
      </c>
      <c r="AM729" s="9" t="str">
        <f t="shared" si="151"/>
        <v/>
      </c>
      <c r="AN729" s="9" t="str">
        <f t="shared" si="152"/>
        <v/>
      </c>
      <c r="AO729" s="9" t="str">
        <f t="shared" si="153"/>
        <v/>
      </c>
      <c r="AP729" s="9" t="str">
        <f t="shared" si="154"/>
        <v/>
      </c>
      <c r="AQ729" s="10" t="str">
        <f t="shared" si="155"/>
        <v/>
      </c>
    </row>
    <row r="730" spans="1:43">
      <c r="A730">
        <v>729</v>
      </c>
      <c r="B730" t="s">
        <v>23</v>
      </c>
      <c r="C730" t="s">
        <v>356</v>
      </c>
      <c r="D730" t="s">
        <v>357</v>
      </c>
      <c r="E730" t="s">
        <v>97</v>
      </c>
      <c r="G730" t="s">
        <v>18</v>
      </c>
      <c r="H730" s="4">
        <v>15917040</v>
      </c>
      <c r="I730" s="5">
        <v>0</v>
      </c>
      <c r="J730" s="5">
        <v>1024</v>
      </c>
      <c r="K730" s="5">
        <v>8</v>
      </c>
      <c r="L730">
        <v>7</v>
      </c>
      <c r="M730">
        <v>6.5</v>
      </c>
      <c r="N730">
        <v>3.92</v>
      </c>
      <c r="O730" s="6">
        <v>15.6</v>
      </c>
      <c r="P730" s="7">
        <v>2.3199999999999998</v>
      </c>
      <c r="U730" t="s">
        <v>84</v>
      </c>
      <c r="V730" t="s">
        <v>98</v>
      </c>
      <c r="W730">
        <v>2.5</v>
      </c>
      <c r="X730" t="s">
        <v>104</v>
      </c>
      <c r="Y730" t="s">
        <v>358</v>
      </c>
      <c r="Z730" t="s">
        <v>146</v>
      </c>
      <c r="AA730" t="s">
        <v>114</v>
      </c>
      <c r="AB730" t="s">
        <v>201</v>
      </c>
      <c r="AC730">
        <v>589.52</v>
      </c>
      <c r="AD730" s="8" t="b">
        <f>AND(
 H730&gt;=Filters!$B$3,
 H730&lt;=Filters!$B$4,
 I730&gt;=Filters!$B$5,
 OR(Filters!$B$6="All",B730=Filters!$B$6),
 F730&gt;=Filters!$B$7,
 F730&lt;=Filters!$B$8,
 OR(Filters!$B$9="All",G730=Filters!$B$9)
)</f>
        <v>0</v>
      </c>
      <c r="AE730">
        <f t="shared" si="143"/>
        <v>6</v>
      </c>
      <c r="AF730">
        <f t="shared" si="144"/>
        <v>7</v>
      </c>
      <c r="AG730">
        <f t="shared" si="145"/>
        <v>7</v>
      </c>
      <c r="AH730" s="9" t="str">
        <f t="shared" si="146"/>
        <v/>
      </c>
      <c r="AI730" s="9" t="str">
        <f t="shared" si="147"/>
        <v/>
      </c>
      <c r="AJ730" s="9" t="str">
        <f t="shared" si="148"/>
        <v/>
      </c>
      <c r="AK730" s="9" t="str">
        <f t="shared" si="149"/>
        <v/>
      </c>
      <c r="AL730" s="9" t="str">
        <f t="shared" si="150"/>
        <v/>
      </c>
      <c r="AM730" s="9" t="str">
        <f t="shared" si="151"/>
        <v/>
      </c>
      <c r="AN730" s="9" t="str">
        <f t="shared" si="152"/>
        <v/>
      </c>
      <c r="AO730" s="9" t="str">
        <f t="shared" si="153"/>
        <v/>
      </c>
      <c r="AP730" s="9" t="str">
        <f t="shared" si="154"/>
        <v/>
      </c>
      <c r="AQ730" s="10" t="str">
        <f t="shared" si="155"/>
        <v/>
      </c>
    </row>
    <row r="731" spans="1:43">
      <c r="A731">
        <v>730</v>
      </c>
      <c r="B731" t="s">
        <v>26</v>
      </c>
      <c r="C731" t="s">
        <v>1110</v>
      </c>
      <c r="D731" t="s">
        <v>1111</v>
      </c>
      <c r="E731" t="s">
        <v>97</v>
      </c>
      <c r="G731" t="s">
        <v>18</v>
      </c>
      <c r="H731" s="4">
        <v>13203000</v>
      </c>
      <c r="I731" s="5">
        <v>0</v>
      </c>
      <c r="J731" s="5">
        <v>1024</v>
      </c>
      <c r="K731" s="5">
        <v>4</v>
      </c>
      <c r="L731">
        <v>7</v>
      </c>
      <c r="M731">
        <v>6.5</v>
      </c>
      <c r="N731">
        <v>5.92</v>
      </c>
      <c r="O731" s="6">
        <v>15.6</v>
      </c>
      <c r="P731" s="7">
        <v>2.1</v>
      </c>
      <c r="U731" t="s">
        <v>104</v>
      </c>
      <c r="V731" t="s">
        <v>111</v>
      </c>
      <c r="W731">
        <v>3</v>
      </c>
      <c r="X731" t="s">
        <v>104</v>
      </c>
      <c r="Y731" t="s">
        <v>241</v>
      </c>
      <c r="Z731" t="s">
        <v>146</v>
      </c>
      <c r="AA731" t="s">
        <v>101</v>
      </c>
      <c r="AB731" t="s">
        <v>115</v>
      </c>
      <c r="AC731">
        <v>489</v>
      </c>
      <c r="AD731" s="8" t="b">
        <f>AND(
 H731&gt;=Filters!$B$3,
 H731&lt;=Filters!$B$4,
 I731&gt;=Filters!$B$5,
 OR(Filters!$B$6="All",B731=Filters!$B$6),
 F731&gt;=Filters!$B$7,
 F731&lt;=Filters!$B$8,
 OR(Filters!$B$9="All",G731=Filters!$B$9)
)</f>
        <v>0</v>
      </c>
      <c r="AE731">
        <f t="shared" si="143"/>
        <v>6</v>
      </c>
      <c r="AF731">
        <f t="shared" si="144"/>
        <v>7</v>
      </c>
      <c r="AG731">
        <f t="shared" si="145"/>
        <v>7</v>
      </c>
      <c r="AH731" s="9" t="str">
        <f t="shared" si="146"/>
        <v/>
      </c>
      <c r="AI731" s="9" t="str">
        <f t="shared" si="147"/>
        <v/>
      </c>
      <c r="AJ731" s="9" t="str">
        <f t="shared" si="148"/>
        <v/>
      </c>
      <c r="AK731" s="9" t="str">
        <f t="shared" si="149"/>
        <v/>
      </c>
      <c r="AL731" s="9" t="str">
        <f t="shared" si="150"/>
        <v/>
      </c>
      <c r="AM731" s="9" t="str">
        <f t="shared" si="151"/>
        <v/>
      </c>
      <c r="AN731" s="9" t="str">
        <f t="shared" si="152"/>
        <v/>
      </c>
      <c r="AO731" s="9" t="str">
        <f t="shared" si="153"/>
        <v/>
      </c>
      <c r="AP731" s="9" t="str">
        <f t="shared" si="154"/>
        <v/>
      </c>
      <c r="AQ731" s="10" t="str">
        <f t="shared" si="155"/>
        <v/>
      </c>
    </row>
    <row r="732" spans="1:43">
      <c r="A732">
        <v>731</v>
      </c>
      <c r="B732" t="s">
        <v>17</v>
      </c>
      <c r="C732" t="s">
        <v>1112</v>
      </c>
      <c r="D732" t="s">
        <v>1113</v>
      </c>
      <c r="E732" t="s">
        <v>158</v>
      </c>
      <c r="G732" t="s">
        <v>18</v>
      </c>
      <c r="H732" s="4">
        <v>52245000</v>
      </c>
      <c r="I732" s="5">
        <v>128</v>
      </c>
      <c r="J732" s="5">
        <v>1024</v>
      </c>
      <c r="K732" s="5">
        <v>16</v>
      </c>
      <c r="L732">
        <v>9.1999999999999993</v>
      </c>
      <c r="M732">
        <v>9.1999999999999993</v>
      </c>
      <c r="N732">
        <v>6.24</v>
      </c>
      <c r="O732" s="6">
        <v>17.3</v>
      </c>
      <c r="P732" s="7">
        <v>4.2</v>
      </c>
      <c r="U732" t="s">
        <v>84</v>
      </c>
      <c r="V732" t="s">
        <v>808</v>
      </c>
      <c r="W732">
        <v>2.6</v>
      </c>
      <c r="X732" t="s">
        <v>122</v>
      </c>
      <c r="Y732" t="s">
        <v>211</v>
      </c>
      <c r="Z732" t="s">
        <v>161</v>
      </c>
      <c r="AA732" t="s">
        <v>128</v>
      </c>
      <c r="AB732" t="s">
        <v>115</v>
      </c>
      <c r="AC732">
        <v>1935</v>
      </c>
      <c r="AD732" s="8" t="b">
        <f>AND(
 H732&gt;=Filters!$B$3,
 H732&lt;=Filters!$B$4,
 I732&gt;=Filters!$B$5,
 OR(Filters!$B$6="All",B732=Filters!$B$6),
 F732&gt;=Filters!$B$7,
 F732&lt;=Filters!$B$8,
 OR(Filters!$B$9="All",G732=Filters!$B$9)
)</f>
        <v>0</v>
      </c>
      <c r="AE732">
        <f t="shared" si="143"/>
        <v>6</v>
      </c>
      <c r="AF732">
        <f t="shared" si="144"/>
        <v>7</v>
      </c>
      <c r="AG732">
        <f t="shared" si="145"/>
        <v>7</v>
      </c>
      <c r="AH732" s="9" t="str">
        <f t="shared" si="146"/>
        <v/>
      </c>
      <c r="AI732" s="9" t="str">
        <f t="shared" si="147"/>
        <v/>
      </c>
      <c r="AJ732" s="9" t="str">
        <f t="shared" si="148"/>
        <v/>
      </c>
      <c r="AK732" s="9" t="str">
        <f t="shared" si="149"/>
        <v/>
      </c>
      <c r="AL732" s="9" t="str">
        <f t="shared" si="150"/>
        <v/>
      </c>
      <c r="AM732" s="9" t="str">
        <f t="shared" si="151"/>
        <v/>
      </c>
      <c r="AN732" s="9" t="str">
        <f t="shared" si="152"/>
        <v/>
      </c>
      <c r="AO732" s="9" t="str">
        <f t="shared" si="153"/>
        <v/>
      </c>
      <c r="AP732" s="9" t="str">
        <f t="shared" si="154"/>
        <v/>
      </c>
      <c r="AQ732" s="10" t="str">
        <f t="shared" si="155"/>
        <v/>
      </c>
    </row>
    <row r="733" spans="1:43">
      <c r="A733">
        <v>732</v>
      </c>
      <c r="B733" t="s">
        <v>23</v>
      </c>
      <c r="C733" t="s">
        <v>132</v>
      </c>
      <c r="D733" t="s">
        <v>133</v>
      </c>
      <c r="E733" t="s">
        <v>97</v>
      </c>
      <c r="G733" t="s">
        <v>18</v>
      </c>
      <c r="H733" s="4">
        <v>17523000</v>
      </c>
      <c r="I733" s="5">
        <v>0</v>
      </c>
      <c r="J733" s="5">
        <v>1024</v>
      </c>
      <c r="K733" s="5">
        <v>12</v>
      </c>
      <c r="L733">
        <v>7</v>
      </c>
      <c r="M733">
        <v>3.5</v>
      </c>
      <c r="N733">
        <v>3.92</v>
      </c>
      <c r="O733" s="6">
        <v>15.6</v>
      </c>
      <c r="P733" s="7">
        <v>2.25</v>
      </c>
      <c r="U733" t="s">
        <v>84</v>
      </c>
      <c r="V733" t="s">
        <v>98</v>
      </c>
      <c r="W733">
        <v>2.5</v>
      </c>
      <c r="X733" t="s">
        <v>84</v>
      </c>
      <c r="Y733" t="s">
        <v>99</v>
      </c>
      <c r="Z733" t="s">
        <v>146</v>
      </c>
      <c r="AA733" t="s">
        <v>114</v>
      </c>
      <c r="AB733" t="s">
        <v>115</v>
      </c>
      <c r="AC733">
        <v>649</v>
      </c>
      <c r="AD733" s="8" t="b">
        <f>AND(
 H733&gt;=Filters!$B$3,
 H733&lt;=Filters!$B$4,
 I733&gt;=Filters!$B$5,
 OR(Filters!$B$6="All",B733=Filters!$B$6),
 F733&gt;=Filters!$B$7,
 F733&lt;=Filters!$B$8,
 OR(Filters!$B$9="All",G733=Filters!$B$9)
)</f>
        <v>0</v>
      </c>
      <c r="AE733">
        <f t="shared" si="143"/>
        <v>6</v>
      </c>
      <c r="AF733">
        <f t="shared" si="144"/>
        <v>7</v>
      </c>
      <c r="AG733">
        <f t="shared" si="145"/>
        <v>7</v>
      </c>
      <c r="AH733" s="9" t="str">
        <f t="shared" si="146"/>
        <v/>
      </c>
      <c r="AI733" s="9" t="str">
        <f t="shared" si="147"/>
        <v/>
      </c>
      <c r="AJ733" s="9" t="str">
        <f t="shared" si="148"/>
        <v/>
      </c>
      <c r="AK733" s="9" t="str">
        <f t="shared" si="149"/>
        <v/>
      </c>
      <c r="AL733" s="9" t="str">
        <f t="shared" si="150"/>
        <v/>
      </c>
      <c r="AM733" s="9" t="str">
        <f t="shared" si="151"/>
        <v/>
      </c>
      <c r="AN733" s="9" t="str">
        <f t="shared" si="152"/>
        <v/>
      </c>
      <c r="AO733" s="9" t="str">
        <f t="shared" si="153"/>
        <v/>
      </c>
      <c r="AP733" s="9" t="str">
        <f t="shared" si="154"/>
        <v/>
      </c>
      <c r="AQ733" s="10" t="str">
        <f t="shared" si="155"/>
        <v/>
      </c>
    </row>
    <row r="734" spans="1:43">
      <c r="A734">
        <v>733</v>
      </c>
      <c r="B734" t="s">
        <v>26</v>
      </c>
      <c r="C734" t="s">
        <v>1114</v>
      </c>
      <c r="D734" t="s">
        <v>1115</v>
      </c>
      <c r="E734" t="s">
        <v>97</v>
      </c>
      <c r="G734" t="s">
        <v>18</v>
      </c>
      <c r="H734" s="4">
        <v>17550000</v>
      </c>
      <c r="I734" s="5">
        <v>128</v>
      </c>
      <c r="J734" s="5">
        <v>1024</v>
      </c>
      <c r="K734" s="5">
        <v>6</v>
      </c>
      <c r="L734">
        <v>7</v>
      </c>
      <c r="M734">
        <v>6.5</v>
      </c>
      <c r="N734">
        <v>5.92</v>
      </c>
      <c r="O734" s="6">
        <v>15.6</v>
      </c>
      <c r="P734" s="7">
        <v>2.1</v>
      </c>
      <c r="U734" t="s">
        <v>104</v>
      </c>
      <c r="V734" t="s">
        <v>923</v>
      </c>
      <c r="W734">
        <v>3</v>
      </c>
      <c r="X734" t="s">
        <v>104</v>
      </c>
      <c r="Y734" t="s">
        <v>241</v>
      </c>
      <c r="Z734" t="s">
        <v>161</v>
      </c>
      <c r="AA734" t="s">
        <v>101</v>
      </c>
      <c r="AB734" t="s">
        <v>115</v>
      </c>
      <c r="AC734">
        <v>650</v>
      </c>
      <c r="AD734" s="8" t="b">
        <f>AND(
 H734&gt;=Filters!$B$3,
 H734&lt;=Filters!$B$4,
 I734&gt;=Filters!$B$5,
 OR(Filters!$B$6="All",B734=Filters!$B$6),
 F734&gt;=Filters!$B$7,
 F734&lt;=Filters!$B$8,
 OR(Filters!$B$9="All",G734=Filters!$B$9)
)</f>
        <v>0</v>
      </c>
      <c r="AE734">
        <f t="shared" si="143"/>
        <v>6</v>
      </c>
      <c r="AF734">
        <f t="shared" si="144"/>
        <v>7</v>
      </c>
      <c r="AG734">
        <f t="shared" si="145"/>
        <v>7</v>
      </c>
      <c r="AH734" s="9" t="str">
        <f t="shared" si="146"/>
        <v/>
      </c>
      <c r="AI734" s="9" t="str">
        <f t="shared" si="147"/>
        <v/>
      </c>
      <c r="AJ734" s="9" t="str">
        <f t="shared" si="148"/>
        <v/>
      </c>
      <c r="AK734" s="9" t="str">
        <f t="shared" si="149"/>
        <v/>
      </c>
      <c r="AL734" s="9" t="str">
        <f t="shared" si="150"/>
        <v/>
      </c>
      <c r="AM734" s="9" t="str">
        <f t="shared" si="151"/>
        <v/>
      </c>
      <c r="AN734" s="9" t="str">
        <f t="shared" si="152"/>
        <v/>
      </c>
      <c r="AO734" s="9" t="str">
        <f t="shared" si="153"/>
        <v/>
      </c>
      <c r="AP734" s="9" t="str">
        <f t="shared" si="154"/>
        <v/>
      </c>
      <c r="AQ734" s="10" t="str">
        <f t="shared" si="155"/>
        <v/>
      </c>
    </row>
    <row r="735" spans="1:43">
      <c r="A735">
        <v>734</v>
      </c>
      <c r="B735" t="s">
        <v>17</v>
      </c>
      <c r="C735" t="s">
        <v>1116</v>
      </c>
      <c r="D735" t="s">
        <v>1117</v>
      </c>
      <c r="E735" t="s">
        <v>97</v>
      </c>
      <c r="G735" t="s">
        <v>18</v>
      </c>
      <c r="H735" s="4">
        <v>15093000</v>
      </c>
      <c r="I735" s="5">
        <v>0</v>
      </c>
      <c r="J735" s="5">
        <v>500</v>
      </c>
      <c r="K735" s="5">
        <v>4</v>
      </c>
      <c r="L735">
        <v>7</v>
      </c>
      <c r="M735">
        <v>3.5</v>
      </c>
      <c r="N735">
        <v>3.92</v>
      </c>
      <c r="O735" s="6">
        <v>15.6</v>
      </c>
      <c r="P735" s="7">
        <v>2.4</v>
      </c>
      <c r="U735" t="s">
        <v>84</v>
      </c>
      <c r="V735" t="s">
        <v>98</v>
      </c>
      <c r="W735">
        <v>2.5</v>
      </c>
      <c r="X735" t="s">
        <v>84</v>
      </c>
      <c r="Y735" t="s">
        <v>99</v>
      </c>
      <c r="Z735" t="s">
        <v>113</v>
      </c>
      <c r="AA735" t="s">
        <v>114</v>
      </c>
      <c r="AB735" t="s">
        <v>115</v>
      </c>
      <c r="AC735">
        <v>559</v>
      </c>
      <c r="AD735" s="8" t="b">
        <f>AND(
 H735&gt;=Filters!$B$3,
 H735&lt;=Filters!$B$4,
 I735&gt;=Filters!$B$5,
 OR(Filters!$B$6="All",B735=Filters!$B$6),
 F735&gt;=Filters!$B$7,
 F735&lt;=Filters!$B$8,
 OR(Filters!$B$9="All",G735=Filters!$B$9)
)</f>
        <v>0</v>
      </c>
      <c r="AE735">
        <f t="shared" si="143"/>
        <v>6</v>
      </c>
      <c r="AF735">
        <f t="shared" si="144"/>
        <v>7</v>
      </c>
      <c r="AG735">
        <f t="shared" si="145"/>
        <v>7</v>
      </c>
      <c r="AH735" s="9" t="str">
        <f t="shared" si="146"/>
        <v/>
      </c>
      <c r="AI735" s="9" t="str">
        <f t="shared" si="147"/>
        <v/>
      </c>
      <c r="AJ735" s="9" t="str">
        <f t="shared" si="148"/>
        <v/>
      </c>
      <c r="AK735" s="9" t="str">
        <f t="shared" si="149"/>
        <v/>
      </c>
      <c r="AL735" s="9" t="str">
        <f t="shared" si="150"/>
        <v/>
      </c>
      <c r="AM735" s="9" t="str">
        <f t="shared" si="151"/>
        <v/>
      </c>
      <c r="AN735" s="9" t="str">
        <f t="shared" si="152"/>
        <v/>
      </c>
      <c r="AO735" s="9" t="str">
        <f t="shared" si="153"/>
        <v/>
      </c>
      <c r="AP735" s="9" t="str">
        <f t="shared" si="154"/>
        <v/>
      </c>
      <c r="AQ735" s="10" t="str">
        <f t="shared" si="155"/>
        <v/>
      </c>
    </row>
    <row r="736" spans="1:43">
      <c r="A736">
        <v>735</v>
      </c>
      <c r="B736" t="s">
        <v>29</v>
      </c>
      <c r="C736" t="s">
        <v>602</v>
      </c>
      <c r="D736" t="s">
        <v>603</v>
      </c>
      <c r="E736" t="s">
        <v>97</v>
      </c>
      <c r="G736" t="s">
        <v>18</v>
      </c>
      <c r="H736" s="4">
        <v>25920000</v>
      </c>
      <c r="I736" s="5">
        <v>256</v>
      </c>
      <c r="J736" s="5">
        <v>0</v>
      </c>
      <c r="K736" s="5">
        <v>8</v>
      </c>
      <c r="L736">
        <v>7</v>
      </c>
      <c r="M736">
        <v>3.5</v>
      </c>
      <c r="N736">
        <v>6.37</v>
      </c>
      <c r="O736" s="6">
        <v>13.3</v>
      </c>
      <c r="P736" s="7">
        <v>1.44</v>
      </c>
      <c r="U736" t="s">
        <v>84</v>
      </c>
      <c r="V736" t="s">
        <v>98</v>
      </c>
      <c r="W736">
        <v>2.5</v>
      </c>
      <c r="X736" t="s">
        <v>84</v>
      </c>
      <c r="Y736" t="s">
        <v>99</v>
      </c>
      <c r="Z736" t="s">
        <v>100</v>
      </c>
      <c r="AA736" t="s">
        <v>128</v>
      </c>
      <c r="AB736" t="s">
        <v>115</v>
      </c>
      <c r="AC736">
        <v>960</v>
      </c>
      <c r="AD736" s="8" t="b">
        <f>AND(
 H736&gt;=Filters!$B$3,
 H736&lt;=Filters!$B$4,
 I736&gt;=Filters!$B$5,
 OR(Filters!$B$6="All",B736=Filters!$B$6),
 F736&gt;=Filters!$B$7,
 F736&lt;=Filters!$B$8,
 OR(Filters!$B$9="All",G736=Filters!$B$9)
)</f>
        <v>0</v>
      </c>
      <c r="AE736">
        <f t="shared" si="143"/>
        <v>6</v>
      </c>
      <c r="AF736">
        <f t="shared" si="144"/>
        <v>7</v>
      </c>
      <c r="AG736">
        <f t="shared" si="145"/>
        <v>7</v>
      </c>
      <c r="AH736" s="9" t="str">
        <f t="shared" si="146"/>
        <v/>
      </c>
      <c r="AI736" s="9" t="str">
        <f t="shared" si="147"/>
        <v/>
      </c>
      <c r="AJ736" s="9" t="str">
        <f t="shared" si="148"/>
        <v/>
      </c>
      <c r="AK736" s="9" t="str">
        <f t="shared" si="149"/>
        <v/>
      </c>
      <c r="AL736" s="9" t="str">
        <f t="shared" si="150"/>
        <v/>
      </c>
      <c r="AM736" s="9" t="str">
        <f t="shared" si="151"/>
        <v/>
      </c>
      <c r="AN736" s="9" t="str">
        <f t="shared" si="152"/>
        <v/>
      </c>
      <c r="AO736" s="9" t="str">
        <f t="shared" si="153"/>
        <v/>
      </c>
      <c r="AP736" s="9" t="str">
        <f t="shared" si="154"/>
        <v/>
      </c>
      <c r="AQ736" s="10" t="str">
        <f t="shared" si="155"/>
        <v/>
      </c>
    </row>
    <row r="737" spans="1:43">
      <c r="A737">
        <v>736</v>
      </c>
      <c r="B737" t="s">
        <v>29</v>
      </c>
      <c r="C737" t="s">
        <v>1118</v>
      </c>
      <c r="D737" t="s">
        <v>1119</v>
      </c>
      <c r="E737" t="s">
        <v>97</v>
      </c>
      <c r="G737" t="s">
        <v>18</v>
      </c>
      <c r="H737" s="4">
        <v>21033000</v>
      </c>
      <c r="I737" s="5">
        <v>0</v>
      </c>
      <c r="J737" s="5">
        <v>1024</v>
      </c>
      <c r="K737" s="5">
        <v>4</v>
      </c>
      <c r="L737">
        <v>9.4</v>
      </c>
      <c r="M737">
        <v>3.5</v>
      </c>
      <c r="N737">
        <v>5.92</v>
      </c>
      <c r="O737" s="6">
        <v>15.6</v>
      </c>
      <c r="P737" s="7">
        <v>1.85</v>
      </c>
      <c r="U737" t="s">
        <v>84</v>
      </c>
      <c r="V737" t="s">
        <v>140</v>
      </c>
      <c r="W737">
        <v>2.7</v>
      </c>
      <c r="X737" t="s">
        <v>84</v>
      </c>
      <c r="Y737" t="s">
        <v>99</v>
      </c>
      <c r="Z737" t="s">
        <v>146</v>
      </c>
      <c r="AA737" t="s">
        <v>101</v>
      </c>
      <c r="AB737" t="s">
        <v>115</v>
      </c>
      <c r="AC737">
        <v>779</v>
      </c>
      <c r="AD737" s="8" t="b">
        <f>AND(
 H737&gt;=Filters!$B$3,
 H737&lt;=Filters!$B$4,
 I737&gt;=Filters!$B$5,
 OR(Filters!$B$6="All",B737=Filters!$B$6),
 F737&gt;=Filters!$B$7,
 F737&lt;=Filters!$B$8,
 OR(Filters!$B$9="All",G737=Filters!$B$9)
)</f>
        <v>0</v>
      </c>
      <c r="AE737">
        <f t="shared" si="143"/>
        <v>6</v>
      </c>
      <c r="AF737">
        <f t="shared" si="144"/>
        <v>7</v>
      </c>
      <c r="AG737">
        <f t="shared" si="145"/>
        <v>7</v>
      </c>
      <c r="AH737" s="9" t="str">
        <f t="shared" si="146"/>
        <v/>
      </c>
      <c r="AI737" s="9" t="str">
        <f t="shared" si="147"/>
        <v/>
      </c>
      <c r="AJ737" s="9" t="str">
        <f t="shared" si="148"/>
        <v/>
      </c>
      <c r="AK737" s="9" t="str">
        <f t="shared" si="149"/>
        <v/>
      </c>
      <c r="AL737" s="9" t="str">
        <f t="shared" si="150"/>
        <v/>
      </c>
      <c r="AM737" s="9" t="str">
        <f t="shared" si="151"/>
        <v/>
      </c>
      <c r="AN737" s="9" t="str">
        <f t="shared" si="152"/>
        <v/>
      </c>
      <c r="AO737" s="9" t="str">
        <f t="shared" si="153"/>
        <v/>
      </c>
      <c r="AP737" s="9" t="str">
        <f t="shared" si="154"/>
        <v/>
      </c>
      <c r="AQ737" s="10" t="str">
        <f t="shared" si="155"/>
        <v/>
      </c>
    </row>
    <row r="738" spans="1:43">
      <c r="A738">
        <v>737</v>
      </c>
      <c r="B738" t="s">
        <v>26</v>
      </c>
      <c r="C738" t="s">
        <v>1120</v>
      </c>
      <c r="D738" t="s">
        <v>1121</v>
      </c>
      <c r="E738" t="s">
        <v>468</v>
      </c>
      <c r="G738" t="s">
        <v>18</v>
      </c>
      <c r="H738" s="4">
        <v>65313000</v>
      </c>
      <c r="I738" s="5">
        <v>256</v>
      </c>
      <c r="J738" s="5">
        <v>0</v>
      </c>
      <c r="K738" s="5">
        <v>16</v>
      </c>
      <c r="L738">
        <v>9.6</v>
      </c>
      <c r="M738">
        <v>8</v>
      </c>
      <c r="N738">
        <v>5.92</v>
      </c>
      <c r="O738" s="6">
        <v>15.6</v>
      </c>
      <c r="P738" s="7">
        <v>2.6</v>
      </c>
      <c r="U738" t="s">
        <v>84</v>
      </c>
      <c r="V738" t="s">
        <v>210</v>
      </c>
      <c r="W738">
        <v>2.8</v>
      </c>
      <c r="X738" t="s">
        <v>122</v>
      </c>
      <c r="Y738" t="s">
        <v>1122</v>
      </c>
      <c r="Z738" t="s">
        <v>100</v>
      </c>
      <c r="AA738" t="s">
        <v>101</v>
      </c>
      <c r="AB738" t="s">
        <v>115</v>
      </c>
      <c r="AC738">
        <v>2419</v>
      </c>
      <c r="AD738" s="8" t="b">
        <f>AND(
 H738&gt;=Filters!$B$3,
 H738&lt;=Filters!$B$4,
 I738&gt;=Filters!$B$5,
 OR(Filters!$B$6="All",B738=Filters!$B$6),
 F738&gt;=Filters!$B$7,
 F738&lt;=Filters!$B$8,
 OR(Filters!$B$9="All",G738=Filters!$B$9)
)</f>
        <v>0</v>
      </c>
      <c r="AE738">
        <f t="shared" si="143"/>
        <v>6</v>
      </c>
      <c r="AF738">
        <f t="shared" si="144"/>
        <v>7</v>
      </c>
      <c r="AG738">
        <f t="shared" si="145"/>
        <v>7</v>
      </c>
      <c r="AH738" s="9" t="str">
        <f t="shared" si="146"/>
        <v/>
      </c>
      <c r="AI738" s="9" t="str">
        <f t="shared" si="147"/>
        <v/>
      </c>
      <c r="AJ738" s="9" t="str">
        <f t="shared" si="148"/>
        <v/>
      </c>
      <c r="AK738" s="9" t="str">
        <f t="shared" si="149"/>
        <v/>
      </c>
      <c r="AL738" s="9" t="str">
        <f t="shared" si="150"/>
        <v/>
      </c>
      <c r="AM738" s="9" t="str">
        <f t="shared" si="151"/>
        <v/>
      </c>
      <c r="AN738" s="9" t="str">
        <f t="shared" si="152"/>
        <v/>
      </c>
      <c r="AO738" s="9" t="str">
        <f t="shared" si="153"/>
        <v/>
      </c>
      <c r="AP738" s="9" t="str">
        <f t="shared" si="154"/>
        <v/>
      </c>
      <c r="AQ738" s="10" t="str">
        <f t="shared" si="155"/>
        <v/>
      </c>
    </row>
    <row r="739" spans="1:43">
      <c r="A739">
        <v>738</v>
      </c>
      <c r="B739" t="s">
        <v>23</v>
      </c>
      <c r="C739" t="s">
        <v>166</v>
      </c>
      <c r="D739" t="s">
        <v>167</v>
      </c>
      <c r="E739" t="s">
        <v>168</v>
      </c>
      <c r="G739" t="s">
        <v>18</v>
      </c>
      <c r="H739" s="4">
        <v>17793000</v>
      </c>
      <c r="I739" s="5">
        <v>0</v>
      </c>
      <c r="J739" s="5">
        <v>1024</v>
      </c>
      <c r="K739" s="5">
        <v>8</v>
      </c>
      <c r="L739">
        <v>5.2</v>
      </c>
      <c r="M739">
        <v>3.8</v>
      </c>
      <c r="N739">
        <v>6.26</v>
      </c>
      <c r="O739" s="6">
        <v>13.3</v>
      </c>
      <c r="P739" s="7">
        <v>1.55</v>
      </c>
      <c r="U739" t="s">
        <v>84</v>
      </c>
      <c r="V739" t="s">
        <v>126</v>
      </c>
      <c r="W739">
        <v>1.6</v>
      </c>
      <c r="X739" t="s">
        <v>84</v>
      </c>
      <c r="Y739" t="s">
        <v>127</v>
      </c>
      <c r="Z739" t="s">
        <v>146</v>
      </c>
      <c r="AA739" t="s">
        <v>169</v>
      </c>
      <c r="AB739" t="s">
        <v>115</v>
      </c>
      <c r="AC739">
        <v>659</v>
      </c>
      <c r="AD739" s="8" t="b">
        <f>AND(
 H739&gt;=Filters!$B$3,
 H739&lt;=Filters!$B$4,
 I739&gt;=Filters!$B$5,
 OR(Filters!$B$6="All",B739=Filters!$B$6),
 F739&gt;=Filters!$B$7,
 F739&lt;=Filters!$B$8,
 OR(Filters!$B$9="All",G739=Filters!$B$9)
)</f>
        <v>0</v>
      </c>
      <c r="AE739">
        <f t="shared" si="143"/>
        <v>6</v>
      </c>
      <c r="AF739">
        <f t="shared" si="144"/>
        <v>7</v>
      </c>
      <c r="AG739">
        <f t="shared" si="145"/>
        <v>7</v>
      </c>
      <c r="AH739" s="9" t="str">
        <f t="shared" si="146"/>
        <v/>
      </c>
      <c r="AI739" s="9" t="str">
        <f t="shared" si="147"/>
        <v/>
      </c>
      <c r="AJ739" s="9" t="str">
        <f t="shared" si="148"/>
        <v/>
      </c>
      <c r="AK739" s="9" t="str">
        <f t="shared" si="149"/>
        <v/>
      </c>
      <c r="AL739" s="9" t="str">
        <f t="shared" si="150"/>
        <v/>
      </c>
      <c r="AM739" s="9" t="str">
        <f t="shared" si="151"/>
        <v/>
      </c>
      <c r="AN739" s="9" t="str">
        <f t="shared" si="152"/>
        <v/>
      </c>
      <c r="AO739" s="9" t="str">
        <f t="shared" si="153"/>
        <v/>
      </c>
      <c r="AP739" s="9" t="str">
        <f t="shared" si="154"/>
        <v/>
      </c>
      <c r="AQ739" s="10" t="str">
        <f t="shared" si="155"/>
        <v/>
      </c>
    </row>
    <row r="740" spans="1:43">
      <c r="A740">
        <v>739</v>
      </c>
      <c r="B740" t="s">
        <v>30</v>
      </c>
      <c r="C740" t="s">
        <v>964</v>
      </c>
      <c r="D740" t="s">
        <v>965</v>
      </c>
      <c r="E740" t="s">
        <v>158</v>
      </c>
      <c r="G740" t="s">
        <v>18</v>
      </c>
      <c r="H740" s="4">
        <v>56550960</v>
      </c>
      <c r="I740" s="5">
        <v>256</v>
      </c>
      <c r="J740" s="5">
        <v>1024</v>
      </c>
      <c r="K740" s="5">
        <v>16</v>
      </c>
      <c r="L740">
        <v>9.6</v>
      </c>
      <c r="M740">
        <v>9.1999999999999993</v>
      </c>
      <c r="N740">
        <v>5.92</v>
      </c>
      <c r="O740" s="6">
        <v>15.6</v>
      </c>
      <c r="P740" s="7">
        <v>1.8</v>
      </c>
      <c r="U740" t="s">
        <v>84</v>
      </c>
      <c r="V740" t="s">
        <v>210</v>
      </c>
      <c r="W740">
        <v>2.8</v>
      </c>
      <c r="X740" t="s">
        <v>122</v>
      </c>
      <c r="Y740" t="s">
        <v>211</v>
      </c>
      <c r="Z740" t="s">
        <v>212</v>
      </c>
      <c r="AA740" t="s">
        <v>101</v>
      </c>
      <c r="AB740" t="s">
        <v>115</v>
      </c>
      <c r="AC740">
        <v>2094.48</v>
      </c>
      <c r="AD740" s="8" t="b">
        <f>AND(
 H740&gt;=Filters!$B$3,
 H740&lt;=Filters!$B$4,
 I740&gt;=Filters!$B$5,
 OR(Filters!$B$6="All",B740=Filters!$B$6),
 F740&gt;=Filters!$B$7,
 F740&lt;=Filters!$B$8,
 OR(Filters!$B$9="All",G740=Filters!$B$9)
)</f>
        <v>0</v>
      </c>
      <c r="AE740">
        <f t="shared" si="143"/>
        <v>6</v>
      </c>
      <c r="AF740">
        <f t="shared" si="144"/>
        <v>7</v>
      </c>
      <c r="AG740">
        <f t="shared" si="145"/>
        <v>7</v>
      </c>
      <c r="AH740" s="9" t="str">
        <f t="shared" si="146"/>
        <v/>
      </c>
      <c r="AI740" s="9" t="str">
        <f t="shared" si="147"/>
        <v/>
      </c>
      <c r="AJ740" s="9" t="str">
        <f t="shared" si="148"/>
        <v/>
      </c>
      <c r="AK740" s="9" t="str">
        <f t="shared" si="149"/>
        <v/>
      </c>
      <c r="AL740" s="9" t="str">
        <f t="shared" si="150"/>
        <v/>
      </c>
      <c r="AM740" s="9" t="str">
        <f t="shared" si="151"/>
        <v/>
      </c>
      <c r="AN740" s="9" t="str">
        <f t="shared" si="152"/>
        <v/>
      </c>
      <c r="AO740" s="9" t="str">
        <f t="shared" si="153"/>
        <v/>
      </c>
      <c r="AP740" s="9" t="str">
        <f t="shared" si="154"/>
        <v/>
      </c>
      <c r="AQ740" s="10" t="str">
        <f t="shared" si="155"/>
        <v/>
      </c>
    </row>
    <row r="741" spans="1:43">
      <c r="A741">
        <v>740</v>
      </c>
      <c r="B741" t="s">
        <v>17</v>
      </c>
      <c r="C741" t="s">
        <v>771</v>
      </c>
      <c r="D741" t="s">
        <v>772</v>
      </c>
      <c r="E741" t="s">
        <v>97</v>
      </c>
      <c r="G741" t="s">
        <v>18</v>
      </c>
      <c r="H741" s="4">
        <v>11091600</v>
      </c>
      <c r="I741" s="5">
        <v>0</v>
      </c>
      <c r="J741" s="5">
        <v>500</v>
      </c>
      <c r="K741" s="5">
        <v>4</v>
      </c>
      <c r="L741">
        <v>4</v>
      </c>
      <c r="M741">
        <v>3.5</v>
      </c>
      <c r="N741">
        <v>3.92</v>
      </c>
      <c r="O741" s="6">
        <v>15.6</v>
      </c>
      <c r="P741" s="7">
        <v>2.4</v>
      </c>
      <c r="U741" t="s">
        <v>84</v>
      </c>
      <c r="V741" t="s">
        <v>129</v>
      </c>
      <c r="W741">
        <v>2</v>
      </c>
      <c r="X741" t="s">
        <v>84</v>
      </c>
      <c r="Y741" t="s">
        <v>130</v>
      </c>
      <c r="Z741" t="s">
        <v>113</v>
      </c>
      <c r="AA741" t="s">
        <v>114</v>
      </c>
      <c r="AB741" t="s">
        <v>115</v>
      </c>
      <c r="AC741">
        <v>410.8</v>
      </c>
      <c r="AD741" s="8" t="b">
        <f>AND(
 H741&gt;=Filters!$B$3,
 H741&lt;=Filters!$B$4,
 I741&gt;=Filters!$B$5,
 OR(Filters!$B$6="All",B741=Filters!$B$6),
 F741&gt;=Filters!$B$7,
 F741&lt;=Filters!$B$8,
 OR(Filters!$B$9="All",G741=Filters!$B$9)
)</f>
        <v>0</v>
      </c>
      <c r="AE741">
        <f t="shared" si="143"/>
        <v>6</v>
      </c>
      <c r="AF741">
        <f t="shared" si="144"/>
        <v>7</v>
      </c>
      <c r="AG741">
        <f t="shared" si="145"/>
        <v>7</v>
      </c>
      <c r="AH741" s="9" t="str">
        <f t="shared" si="146"/>
        <v/>
      </c>
      <c r="AI741" s="9" t="str">
        <f t="shared" si="147"/>
        <v/>
      </c>
      <c r="AJ741" s="9" t="str">
        <f t="shared" si="148"/>
        <v/>
      </c>
      <c r="AK741" s="9" t="str">
        <f t="shared" si="149"/>
        <v/>
      </c>
      <c r="AL741" s="9" t="str">
        <f t="shared" si="150"/>
        <v/>
      </c>
      <c r="AM741" s="9" t="str">
        <f t="shared" si="151"/>
        <v/>
      </c>
      <c r="AN741" s="9" t="str">
        <f t="shared" si="152"/>
        <v/>
      </c>
      <c r="AO741" s="9" t="str">
        <f t="shared" si="153"/>
        <v/>
      </c>
      <c r="AP741" s="9" t="str">
        <f t="shared" si="154"/>
        <v/>
      </c>
      <c r="AQ741" s="10" t="str">
        <f t="shared" si="155"/>
        <v/>
      </c>
    </row>
    <row r="742" spans="1:43">
      <c r="A742">
        <v>741</v>
      </c>
      <c r="B742" t="s">
        <v>23</v>
      </c>
      <c r="C742" t="s">
        <v>1123</v>
      </c>
      <c r="D742" t="s">
        <v>1124</v>
      </c>
      <c r="E742" t="s">
        <v>97</v>
      </c>
      <c r="G742" t="s">
        <v>18</v>
      </c>
      <c r="H742" s="4">
        <v>32589000</v>
      </c>
      <c r="I742" s="5">
        <v>128</v>
      </c>
      <c r="J742" s="5">
        <v>1024</v>
      </c>
      <c r="K742" s="5">
        <v>8</v>
      </c>
      <c r="L742">
        <v>9.4</v>
      </c>
      <c r="M742">
        <v>6.5</v>
      </c>
      <c r="N742">
        <v>5.92</v>
      </c>
      <c r="O742" s="6">
        <v>15.6</v>
      </c>
      <c r="P742" s="7">
        <v>2</v>
      </c>
      <c r="U742" t="s">
        <v>84</v>
      </c>
      <c r="V742" t="s">
        <v>140</v>
      </c>
      <c r="W742">
        <v>2.7</v>
      </c>
      <c r="X742" t="s">
        <v>122</v>
      </c>
      <c r="Y742" t="s">
        <v>145</v>
      </c>
      <c r="Z742" t="s">
        <v>161</v>
      </c>
      <c r="AA742" t="s">
        <v>101</v>
      </c>
      <c r="AB742" t="s">
        <v>115</v>
      </c>
      <c r="AC742">
        <v>1207</v>
      </c>
      <c r="AD742" s="8" t="b">
        <f>AND(
 H742&gt;=Filters!$B$3,
 H742&lt;=Filters!$B$4,
 I742&gt;=Filters!$B$5,
 OR(Filters!$B$6="All",B742=Filters!$B$6),
 F742&gt;=Filters!$B$7,
 F742&lt;=Filters!$B$8,
 OR(Filters!$B$9="All",G742=Filters!$B$9)
)</f>
        <v>0</v>
      </c>
      <c r="AE742">
        <f t="shared" si="143"/>
        <v>6</v>
      </c>
      <c r="AF742">
        <f t="shared" si="144"/>
        <v>7</v>
      </c>
      <c r="AG742">
        <f t="shared" si="145"/>
        <v>7</v>
      </c>
      <c r="AH742" s="9" t="str">
        <f t="shared" si="146"/>
        <v/>
      </c>
      <c r="AI742" s="9" t="str">
        <f t="shared" si="147"/>
        <v/>
      </c>
      <c r="AJ742" s="9" t="str">
        <f t="shared" si="148"/>
        <v/>
      </c>
      <c r="AK742" s="9" t="str">
        <f t="shared" si="149"/>
        <v/>
      </c>
      <c r="AL742" s="9" t="str">
        <f t="shared" si="150"/>
        <v/>
      </c>
      <c r="AM742" s="9" t="str">
        <f t="shared" si="151"/>
        <v/>
      </c>
      <c r="AN742" s="9" t="str">
        <f t="shared" si="152"/>
        <v/>
      </c>
      <c r="AO742" s="9" t="str">
        <f t="shared" si="153"/>
        <v/>
      </c>
      <c r="AP742" s="9" t="str">
        <f t="shared" si="154"/>
        <v/>
      </c>
      <c r="AQ742" s="10" t="str">
        <f t="shared" si="155"/>
        <v/>
      </c>
    </row>
    <row r="743" spans="1:43">
      <c r="A743">
        <v>742</v>
      </c>
      <c r="B743" t="s">
        <v>23</v>
      </c>
      <c r="C743" t="s">
        <v>540</v>
      </c>
      <c r="D743" t="s">
        <v>541</v>
      </c>
      <c r="E743" t="s">
        <v>97</v>
      </c>
      <c r="G743" t="s">
        <v>18</v>
      </c>
      <c r="H743" s="4">
        <v>17955000</v>
      </c>
      <c r="I743" s="5">
        <v>256</v>
      </c>
      <c r="J743" s="5">
        <v>0</v>
      </c>
      <c r="K743" s="5">
        <v>8</v>
      </c>
      <c r="L743">
        <v>4</v>
      </c>
      <c r="M743">
        <v>3.5</v>
      </c>
      <c r="N743">
        <v>3.92</v>
      </c>
      <c r="O743" s="6">
        <v>15.6</v>
      </c>
      <c r="P743" s="7">
        <v>2</v>
      </c>
      <c r="U743" t="s">
        <v>84</v>
      </c>
      <c r="V743" t="s">
        <v>129</v>
      </c>
      <c r="W743">
        <v>2</v>
      </c>
      <c r="X743" t="s">
        <v>84</v>
      </c>
      <c r="Y743" t="s">
        <v>130</v>
      </c>
      <c r="Z743" t="s">
        <v>100</v>
      </c>
      <c r="AA743" t="s">
        <v>114</v>
      </c>
      <c r="AB743" t="s">
        <v>115</v>
      </c>
      <c r="AC743">
        <v>665</v>
      </c>
      <c r="AD743" s="8" t="b">
        <f>AND(
 H743&gt;=Filters!$B$3,
 H743&lt;=Filters!$B$4,
 I743&gt;=Filters!$B$5,
 OR(Filters!$B$6="All",B743=Filters!$B$6),
 F743&gt;=Filters!$B$7,
 F743&lt;=Filters!$B$8,
 OR(Filters!$B$9="All",G743=Filters!$B$9)
)</f>
        <v>1</v>
      </c>
      <c r="AE743">
        <f t="shared" si="143"/>
        <v>6</v>
      </c>
      <c r="AF743">
        <f t="shared" si="144"/>
        <v>7</v>
      </c>
      <c r="AG743">
        <f t="shared" si="145"/>
        <v>7</v>
      </c>
      <c r="AH743" s="9">
        <f t="shared" si="146"/>
        <v>0.33333333333333331</v>
      </c>
      <c r="AI743" s="9">
        <f t="shared" si="147"/>
        <v>0.80952380952380942</v>
      </c>
      <c r="AJ743" s="9">
        <f t="shared" si="148"/>
        <v>0.27380952380952378</v>
      </c>
      <c r="AK743" s="9">
        <f t="shared" si="149"/>
        <v>0.32380952380952377</v>
      </c>
      <c r="AL743" s="9">
        <f t="shared" si="150"/>
        <v>0.90476190476190466</v>
      </c>
      <c r="AM743" s="9">
        <f t="shared" si="151"/>
        <v>0.5714285714285714</v>
      </c>
      <c r="AN743" s="9">
        <f t="shared" si="152"/>
        <v>0.69047619047619047</v>
      </c>
      <c r="AO743" s="9">
        <f t="shared" si="153"/>
        <v>0.69047619047619047</v>
      </c>
      <c r="AP743" s="9">
        <f t="shared" si="154"/>
        <v>0.57413720113102851</v>
      </c>
      <c r="AQ743" s="10">
        <f t="shared" si="155"/>
        <v>0.57413794413102848</v>
      </c>
    </row>
    <row r="744" spans="1:43">
      <c r="A744">
        <v>743</v>
      </c>
      <c r="B744" t="s">
        <v>35</v>
      </c>
      <c r="C744" t="s">
        <v>1125</v>
      </c>
      <c r="D744" t="s">
        <v>1126</v>
      </c>
      <c r="E744" t="s">
        <v>97</v>
      </c>
      <c r="G744" t="s">
        <v>18</v>
      </c>
      <c r="H744" s="4">
        <v>41445000</v>
      </c>
      <c r="I744" s="5">
        <v>256</v>
      </c>
      <c r="J744" s="5">
        <v>0</v>
      </c>
      <c r="K744" s="5">
        <v>8</v>
      </c>
      <c r="L744">
        <v>7</v>
      </c>
      <c r="M744">
        <v>3.5</v>
      </c>
      <c r="N744">
        <v>6.7</v>
      </c>
      <c r="O744" s="6">
        <v>14</v>
      </c>
      <c r="P744" s="7">
        <v>1.25</v>
      </c>
      <c r="U744" t="s">
        <v>84</v>
      </c>
      <c r="V744" t="s">
        <v>98</v>
      </c>
      <c r="W744">
        <v>2.5</v>
      </c>
      <c r="X744" t="s">
        <v>84</v>
      </c>
      <c r="Y744" t="s">
        <v>99</v>
      </c>
      <c r="Z744" t="s">
        <v>100</v>
      </c>
      <c r="AA744" t="s">
        <v>149</v>
      </c>
      <c r="AB744" t="s">
        <v>115</v>
      </c>
      <c r="AC744">
        <v>1535</v>
      </c>
      <c r="AD744" s="8" t="b">
        <f>AND(
 H744&gt;=Filters!$B$3,
 H744&lt;=Filters!$B$4,
 I744&gt;=Filters!$B$5,
 OR(Filters!$B$6="All",B744=Filters!$B$6),
 F744&gt;=Filters!$B$7,
 F744&lt;=Filters!$B$8,
 OR(Filters!$B$9="All",G744=Filters!$B$9)
)</f>
        <v>0</v>
      </c>
      <c r="AE744">
        <f t="shared" si="143"/>
        <v>6</v>
      </c>
      <c r="AF744">
        <f t="shared" si="144"/>
        <v>7</v>
      </c>
      <c r="AG744">
        <f t="shared" si="145"/>
        <v>7</v>
      </c>
      <c r="AH744" s="9" t="str">
        <f t="shared" si="146"/>
        <v/>
      </c>
      <c r="AI744" s="9" t="str">
        <f t="shared" si="147"/>
        <v/>
      </c>
      <c r="AJ744" s="9" t="str">
        <f t="shared" si="148"/>
        <v/>
      </c>
      <c r="AK744" s="9" t="str">
        <f t="shared" si="149"/>
        <v/>
      </c>
      <c r="AL744" s="9" t="str">
        <f t="shared" si="150"/>
        <v/>
      </c>
      <c r="AM744" s="9" t="str">
        <f t="shared" si="151"/>
        <v/>
      </c>
      <c r="AN744" s="9" t="str">
        <f t="shared" si="152"/>
        <v/>
      </c>
      <c r="AO744" s="9" t="str">
        <f t="shared" si="153"/>
        <v/>
      </c>
      <c r="AP744" s="9" t="str">
        <f t="shared" si="154"/>
        <v/>
      </c>
      <c r="AQ744" s="10" t="str">
        <f t="shared" si="155"/>
        <v/>
      </c>
    </row>
    <row r="745" spans="1:43">
      <c r="A745">
        <v>744</v>
      </c>
      <c r="B745" t="s">
        <v>29</v>
      </c>
      <c r="C745" t="s">
        <v>1127</v>
      </c>
      <c r="D745" t="s">
        <v>1128</v>
      </c>
      <c r="E745" t="s">
        <v>168</v>
      </c>
      <c r="G745" t="s">
        <v>18</v>
      </c>
      <c r="H745" s="4">
        <v>26973000</v>
      </c>
      <c r="I745" s="5">
        <v>256</v>
      </c>
      <c r="J745" s="5">
        <v>0</v>
      </c>
      <c r="K745" s="5">
        <v>8</v>
      </c>
      <c r="L745">
        <v>7</v>
      </c>
      <c r="M745">
        <v>3.5</v>
      </c>
      <c r="N745">
        <v>6.3</v>
      </c>
      <c r="O745" s="6">
        <v>14</v>
      </c>
      <c r="P745" s="7">
        <v>1.7</v>
      </c>
      <c r="U745" t="s">
        <v>84</v>
      </c>
      <c r="V745" t="s">
        <v>98</v>
      </c>
      <c r="W745">
        <v>2.5</v>
      </c>
      <c r="X745" t="s">
        <v>84</v>
      </c>
      <c r="Y745" t="s">
        <v>99</v>
      </c>
      <c r="Z745" t="s">
        <v>100</v>
      </c>
      <c r="AA745" t="s">
        <v>169</v>
      </c>
      <c r="AB745" t="s">
        <v>115</v>
      </c>
      <c r="AC745">
        <v>999</v>
      </c>
      <c r="AD745" s="8" t="b">
        <f>AND(
 H745&gt;=Filters!$B$3,
 H745&lt;=Filters!$B$4,
 I745&gt;=Filters!$B$5,
 OR(Filters!$B$6="All",B745=Filters!$B$6),
 F745&gt;=Filters!$B$7,
 F745&lt;=Filters!$B$8,
 OR(Filters!$B$9="All",G745=Filters!$B$9)
)</f>
        <v>0</v>
      </c>
      <c r="AE745">
        <f t="shared" si="143"/>
        <v>6</v>
      </c>
      <c r="AF745">
        <f t="shared" si="144"/>
        <v>7</v>
      </c>
      <c r="AG745">
        <f t="shared" si="145"/>
        <v>7</v>
      </c>
      <c r="AH745" s="9" t="str">
        <f t="shared" si="146"/>
        <v/>
      </c>
      <c r="AI745" s="9" t="str">
        <f t="shared" si="147"/>
        <v/>
      </c>
      <c r="AJ745" s="9" t="str">
        <f t="shared" si="148"/>
        <v/>
      </c>
      <c r="AK745" s="9" t="str">
        <f t="shared" si="149"/>
        <v/>
      </c>
      <c r="AL745" s="9" t="str">
        <f t="shared" si="150"/>
        <v/>
      </c>
      <c r="AM745" s="9" t="str">
        <f t="shared" si="151"/>
        <v/>
      </c>
      <c r="AN745" s="9" t="str">
        <f t="shared" si="152"/>
        <v/>
      </c>
      <c r="AO745" s="9" t="str">
        <f t="shared" si="153"/>
        <v/>
      </c>
      <c r="AP745" s="9" t="str">
        <f t="shared" si="154"/>
        <v/>
      </c>
      <c r="AQ745" s="10" t="str">
        <f t="shared" si="155"/>
        <v/>
      </c>
    </row>
    <row r="746" spans="1:43">
      <c r="A746">
        <v>745</v>
      </c>
      <c r="B746" t="s">
        <v>29</v>
      </c>
      <c r="C746" t="s">
        <v>1129</v>
      </c>
      <c r="D746" t="s">
        <v>1130</v>
      </c>
      <c r="E746" t="s">
        <v>468</v>
      </c>
      <c r="G746" t="s">
        <v>18</v>
      </c>
      <c r="H746" s="4">
        <v>89073000</v>
      </c>
      <c r="I746" s="5">
        <v>1024</v>
      </c>
      <c r="J746" s="5">
        <v>0</v>
      </c>
      <c r="K746" s="5">
        <v>16</v>
      </c>
      <c r="L746">
        <v>9.6</v>
      </c>
      <c r="M746">
        <v>8</v>
      </c>
      <c r="N746">
        <v>9.82</v>
      </c>
      <c r="O746" s="6">
        <v>15.6</v>
      </c>
      <c r="P746" s="7">
        <v>2.5</v>
      </c>
      <c r="U746" t="s">
        <v>84</v>
      </c>
      <c r="V746" t="s">
        <v>592</v>
      </c>
      <c r="W746">
        <v>2.8</v>
      </c>
      <c r="X746" t="s">
        <v>122</v>
      </c>
      <c r="Y746" t="s">
        <v>1091</v>
      </c>
      <c r="Z746" t="s">
        <v>445</v>
      </c>
      <c r="AA746" t="s">
        <v>459</v>
      </c>
      <c r="AB746" t="s">
        <v>115</v>
      </c>
      <c r="AC746">
        <v>3299</v>
      </c>
      <c r="AD746" s="8" t="b">
        <f>AND(
 H746&gt;=Filters!$B$3,
 H746&lt;=Filters!$B$4,
 I746&gt;=Filters!$B$5,
 OR(Filters!$B$6="All",B746=Filters!$B$6),
 F746&gt;=Filters!$B$7,
 F746&lt;=Filters!$B$8,
 OR(Filters!$B$9="All",G746=Filters!$B$9)
)</f>
        <v>0</v>
      </c>
      <c r="AE746">
        <f t="shared" si="143"/>
        <v>6</v>
      </c>
      <c r="AF746">
        <f t="shared" si="144"/>
        <v>7</v>
      </c>
      <c r="AG746">
        <f t="shared" si="145"/>
        <v>7</v>
      </c>
      <c r="AH746" s="9" t="str">
        <f t="shared" si="146"/>
        <v/>
      </c>
      <c r="AI746" s="9" t="str">
        <f t="shared" si="147"/>
        <v/>
      </c>
      <c r="AJ746" s="9" t="str">
        <f t="shared" si="148"/>
        <v/>
      </c>
      <c r="AK746" s="9" t="str">
        <f t="shared" si="149"/>
        <v/>
      </c>
      <c r="AL746" s="9" t="str">
        <f t="shared" si="150"/>
        <v/>
      </c>
      <c r="AM746" s="9" t="str">
        <f t="shared" si="151"/>
        <v/>
      </c>
      <c r="AN746" s="9" t="str">
        <f t="shared" si="152"/>
        <v/>
      </c>
      <c r="AO746" s="9" t="str">
        <f t="shared" si="153"/>
        <v/>
      </c>
      <c r="AP746" s="9" t="str">
        <f t="shared" si="154"/>
        <v/>
      </c>
      <c r="AQ746" s="10" t="str">
        <f t="shared" si="155"/>
        <v/>
      </c>
    </row>
    <row r="747" spans="1:43">
      <c r="A747">
        <v>746</v>
      </c>
      <c r="B747" t="s">
        <v>17</v>
      </c>
      <c r="C747" t="s">
        <v>1069</v>
      </c>
      <c r="D747" t="s">
        <v>1070</v>
      </c>
      <c r="E747" t="s">
        <v>97</v>
      </c>
      <c r="G747" t="s">
        <v>18</v>
      </c>
      <c r="H747" s="4">
        <v>8910000</v>
      </c>
      <c r="I747" s="5">
        <v>32</v>
      </c>
      <c r="J747" s="5">
        <v>0</v>
      </c>
      <c r="K747" s="5">
        <v>2</v>
      </c>
      <c r="L747">
        <v>1.2</v>
      </c>
      <c r="M747">
        <v>3.5</v>
      </c>
      <c r="N747">
        <v>4</v>
      </c>
      <c r="O747" s="6">
        <v>14</v>
      </c>
      <c r="P747" s="7">
        <v>1.68</v>
      </c>
      <c r="U747" t="s">
        <v>84</v>
      </c>
      <c r="V747" t="s">
        <v>263</v>
      </c>
      <c r="W747">
        <v>1.6</v>
      </c>
      <c r="X747" t="s">
        <v>84</v>
      </c>
      <c r="Y747" t="s">
        <v>154</v>
      </c>
      <c r="Z747" t="s">
        <v>155</v>
      </c>
      <c r="AA747" t="s">
        <v>114</v>
      </c>
      <c r="AB747" t="s">
        <v>563</v>
      </c>
      <c r="AC747">
        <v>330</v>
      </c>
      <c r="AD747" s="8" t="b">
        <f>AND(
 H747&gt;=Filters!$B$3,
 H747&lt;=Filters!$B$4,
 I747&gt;=Filters!$B$5,
 OR(Filters!$B$6="All",B747=Filters!$B$6),
 F747&gt;=Filters!$B$7,
 F747&lt;=Filters!$B$8,
 OR(Filters!$B$9="All",G747=Filters!$B$9)
)</f>
        <v>0</v>
      </c>
      <c r="AE747">
        <f t="shared" si="143"/>
        <v>6</v>
      </c>
      <c r="AF747">
        <f t="shared" si="144"/>
        <v>7</v>
      </c>
      <c r="AG747">
        <f t="shared" si="145"/>
        <v>7</v>
      </c>
      <c r="AH747" s="9" t="str">
        <f t="shared" si="146"/>
        <v/>
      </c>
      <c r="AI747" s="9" t="str">
        <f t="shared" si="147"/>
        <v/>
      </c>
      <c r="AJ747" s="9" t="str">
        <f t="shared" si="148"/>
        <v/>
      </c>
      <c r="AK747" s="9" t="str">
        <f t="shared" si="149"/>
        <v/>
      </c>
      <c r="AL747" s="9" t="str">
        <f t="shared" si="150"/>
        <v/>
      </c>
      <c r="AM747" s="9" t="str">
        <f t="shared" si="151"/>
        <v/>
      </c>
      <c r="AN747" s="9" t="str">
        <f t="shared" si="152"/>
        <v/>
      </c>
      <c r="AO747" s="9" t="str">
        <f t="shared" si="153"/>
        <v/>
      </c>
      <c r="AP747" s="9" t="str">
        <f t="shared" si="154"/>
        <v/>
      </c>
      <c r="AQ747" s="10" t="str">
        <f t="shared" si="155"/>
        <v/>
      </c>
    </row>
    <row r="748" spans="1:43">
      <c r="A748">
        <v>747</v>
      </c>
      <c r="B748" t="s">
        <v>34</v>
      </c>
      <c r="C748" t="s">
        <v>1131</v>
      </c>
      <c r="D748" t="s">
        <v>1132</v>
      </c>
      <c r="E748" t="s">
        <v>83</v>
      </c>
      <c r="G748" t="s">
        <v>18</v>
      </c>
      <c r="H748" s="4">
        <v>44523000</v>
      </c>
      <c r="I748" s="5">
        <v>256</v>
      </c>
      <c r="J748" s="5">
        <v>0</v>
      </c>
      <c r="K748" s="5">
        <v>16</v>
      </c>
      <c r="L748">
        <v>9.4</v>
      </c>
      <c r="M748">
        <v>3.5</v>
      </c>
      <c r="N748">
        <v>5.96</v>
      </c>
      <c r="O748" s="6">
        <v>13.3</v>
      </c>
      <c r="P748" s="7">
        <v>0.81</v>
      </c>
      <c r="U748" t="s">
        <v>84</v>
      </c>
      <c r="V748" t="s">
        <v>140</v>
      </c>
      <c r="W748">
        <v>2.7</v>
      </c>
      <c r="X748" t="s">
        <v>84</v>
      </c>
      <c r="Y748" t="s">
        <v>99</v>
      </c>
      <c r="Z748" t="s">
        <v>100</v>
      </c>
      <c r="AA748" t="s">
        <v>101</v>
      </c>
      <c r="AB748" t="s">
        <v>115</v>
      </c>
      <c r="AC748">
        <v>1649</v>
      </c>
      <c r="AD748" s="8" t="b">
        <f>AND(
 H748&gt;=Filters!$B$3,
 H748&lt;=Filters!$B$4,
 I748&gt;=Filters!$B$5,
 OR(Filters!$B$6="All",B748=Filters!$B$6),
 F748&gt;=Filters!$B$7,
 F748&lt;=Filters!$B$8,
 OR(Filters!$B$9="All",G748=Filters!$B$9)
)</f>
        <v>0</v>
      </c>
      <c r="AE748">
        <f t="shared" si="143"/>
        <v>6</v>
      </c>
      <c r="AF748">
        <f t="shared" si="144"/>
        <v>7</v>
      </c>
      <c r="AG748">
        <f t="shared" si="145"/>
        <v>7</v>
      </c>
      <c r="AH748" s="9" t="str">
        <f t="shared" si="146"/>
        <v/>
      </c>
      <c r="AI748" s="9" t="str">
        <f t="shared" si="147"/>
        <v/>
      </c>
      <c r="AJ748" s="9" t="str">
        <f t="shared" si="148"/>
        <v/>
      </c>
      <c r="AK748" s="9" t="str">
        <f t="shared" si="149"/>
        <v/>
      </c>
      <c r="AL748" s="9" t="str">
        <f t="shared" si="150"/>
        <v/>
      </c>
      <c r="AM748" s="9" t="str">
        <f t="shared" si="151"/>
        <v/>
      </c>
      <c r="AN748" s="9" t="str">
        <f t="shared" si="152"/>
        <v/>
      </c>
      <c r="AO748" s="9" t="str">
        <f t="shared" si="153"/>
        <v/>
      </c>
      <c r="AP748" s="9" t="str">
        <f t="shared" si="154"/>
        <v/>
      </c>
      <c r="AQ748" s="10" t="str">
        <f t="shared" si="155"/>
        <v/>
      </c>
    </row>
    <row r="749" spans="1:43">
      <c r="A749">
        <v>748</v>
      </c>
      <c r="B749" t="s">
        <v>26</v>
      </c>
      <c r="C749" t="s">
        <v>95</v>
      </c>
      <c r="D749" t="s">
        <v>96</v>
      </c>
      <c r="E749" t="s">
        <v>97</v>
      </c>
      <c r="G749" t="s">
        <v>18</v>
      </c>
      <c r="H749" s="4">
        <v>14553000</v>
      </c>
      <c r="I749" s="5">
        <v>256</v>
      </c>
      <c r="J749" s="5">
        <v>0</v>
      </c>
      <c r="K749" s="5">
        <v>8</v>
      </c>
      <c r="L749">
        <v>4</v>
      </c>
      <c r="M749">
        <v>3.5</v>
      </c>
      <c r="N749">
        <v>5.92</v>
      </c>
      <c r="O749" s="6">
        <v>15.6</v>
      </c>
      <c r="P749" s="7">
        <v>1.86</v>
      </c>
      <c r="U749" t="s">
        <v>84</v>
      </c>
      <c r="V749" t="s">
        <v>129</v>
      </c>
      <c r="W749">
        <v>2</v>
      </c>
      <c r="X749" t="s">
        <v>84</v>
      </c>
      <c r="Y749" t="s">
        <v>130</v>
      </c>
      <c r="Z749" t="s">
        <v>100</v>
      </c>
      <c r="AA749" t="s">
        <v>101</v>
      </c>
      <c r="AB749" t="s">
        <v>115</v>
      </c>
      <c r="AC749">
        <v>539</v>
      </c>
      <c r="AD749" s="8" t="b">
        <f>AND(
 H749&gt;=Filters!$B$3,
 H749&lt;=Filters!$B$4,
 I749&gt;=Filters!$B$5,
 OR(Filters!$B$6="All",B749=Filters!$B$6),
 F749&gt;=Filters!$B$7,
 F749&lt;=Filters!$B$8,
 OR(Filters!$B$9="All",G749=Filters!$B$9)
)</f>
        <v>1</v>
      </c>
      <c r="AE749">
        <f t="shared" si="143"/>
        <v>6</v>
      </c>
      <c r="AF749">
        <f t="shared" si="144"/>
        <v>7</v>
      </c>
      <c r="AG749">
        <f t="shared" si="145"/>
        <v>7</v>
      </c>
      <c r="AH749" s="9">
        <f t="shared" si="146"/>
        <v>0.33333333333333331</v>
      </c>
      <c r="AI749" s="9">
        <f t="shared" si="147"/>
        <v>0.80952380952380942</v>
      </c>
      <c r="AJ749" s="9">
        <f t="shared" si="148"/>
        <v>0.27380952380952378</v>
      </c>
      <c r="AK749" s="9">
        <f t="shared" si="149"/>
        <v>0.56190476190476191</v>
      </c>
      <c r="AL749" s="9">
        <f t="shared" si="150"/>
        <v>0.92142857142857126</v>
      </c>
      <c r="AM749" s="9">
        <f t="shared" si="151"/>
        <v>0.5714285714285714</v>
      </c>
      <c r="AN749" s="9">
        <f t="shared" si="152"/>
        <v>0.69047619047619047</v>
      </c>
      <c r="AO749" s="9">
        <f t="shared" si="153"/>
        <v>0.69047619047619047</v>
      </c>
      <c r="AP749" s="9">
        <f t="shared" si="154"/>
        <v>0.59456945799200622</v>
      </c>
      <c r="AQ749" s="10">
        <f t="shared" si="155"/>
        <v>0.59457020699200624</v>
      </c>
    </row>
    <row r="750" spans="1:43">
      <c r="A750">
        <v>749</v>
      </c>
      <c r="B750" t="s">
        <v>23</v>
      </c>
      <c r="C750" t="s">
        <v>769</v>
      </c>
      <c r="D750" t="s">
        <v>739</v>
      </c>
      <c r="E750" t="s">
        <v>97</v>
      </c>
      <c r="G750" t="s">
        <v>18</v>
      </c>
      <c r="H750" s="4">
        <v>30421170</v>
      </c>
      <c r="I750" s="5">
        <v>256</v>
      </c>
      <c r="J750" s="5">
        <v>0</v>
      </c>
      <c r="K750" s="5">
        <v>8</v>
      </c>
      <c r="L750">
        <v>7</v>
      </c>
      <c r="M750">
        <v>3.5</v>
      </c>
      <c r="N750">
        <v>4</v>
      </c>
      <c r="O750" s="6">
        <v>14</v>
      </c>
      <c r="P750" s="7">
        <v>1.6</v>
      </c>
      <c r="U750" t="s">
        <v>84</v>
      </c>
      <c r="V750" t="s">
        <v>98</v>
      </c>
      <c r="W750">
        <v>2.5</v>
      </c>
      <c r="X750" t="s">
        <v>84</v>
      </c>
      <c r="Y750" t="s">
        <v>99</v>
      </c>
      <c r="Z750" t="s">
        <v>100</v>
      </c>
      <c r="AA750" t="s">
        <v>114</v>
      </c>
      <c r="AB750" t="s">
        <v>115</v>
      </c>
      <c r="AC750">
        <v>1126.71</v>
      </c>
      <c r="AD750" s="8" t="b">
        <f>AND(
 H750&gt;=Filters!$B$3,
 H750&lt;=Filters!$B$4,
 I750&gt;=Filters!$B$5,
 OR(Filters!$B$6="All",B750=Filters!$B$6),
 F750&gt;=Filters!$B$7,
 F750&lt;=Filters!$B$8,
 OR(Filters!$B$9="All",G750=Filters!$B$9)
)</f>
        <v>0</v>
      </c>
      <c r="AE750">
        <f t="shared" si="143"/>
        <v>6</v>
      </c>
      <c r="AF750">
        <f t="shared" si="144"/>
        <v>7</v>
      </c>
      <c r="AG750">
        <f t="shared" si="145"/>
        <v>7</v>
      </c>
      <c r="AH750" s="9" t="str">
        <f t="shared" si="146"/>
        <v/>
      </c>
      <c r="AI750" s="9" t="str">
        <f t="shared" si="147"/>
        <v/>
      </c>
      <c r="AJ750" s="9" t="str">
        <f t="shared" si="148"/>
        <v/>
      </c>
      <c r="AK750" s="9" t="str">
        <f t="shared" si="149"/>
        <v/>
      </c>
      <c r="AL750" s="9" t="str">
        <f t="shared" si="150"/>
        <v/>
      </c>
      <c r="AM750" s="9" t="str">
        <f t="shared" si="151"/>
        <v/>
      </c>
      <c r="AN750" s="9" t="str">
        <f t="shared" si="152"/>
        <v/>
      </c>
      <c r="AO750" s="9" t="str">
        <f t="shared" si="153"/>
        <v/>
      </c>
      <c r="AP750" s="9" t="str">
        <f t="shared" si="154"/>
        <v/>
      </c>
      <c r="AQ750" s="10" t="str">
        <f t="shared" si="155"/>
        <v/>
      </c>
    </row>
    <row r="751" spans="1:43">
      <c r="A751">
        <v>750</v>
      </c>
      <c r="B751" t="s">
        <v>26</v>
      </c>
      <c r="C751" t="s">
        <v>1133</v>
      </c>
      <c r="D751" t="s">
        <v>1134</v>
      </c>
      <c r="E751" t="s">
        <v>468</v>
      </c>
      <c r="G751" t="s">
        <v>18</v>
      </c>
      <c r="H751" s="4">
        <v>118503000</v>
      </c>
      <c r="I751" s="5">
        <v>256</v>
      </c>
      <c r="J751" s="5">
        <v>0</v>
      </c>
      <c r="K751" s="5">
        <v>16</v>
      </c>
      <c r="L751">
        <v>9.8000000000000007</v>
      </c>
      <c r="M751">
        <v>8</v>
      </c>
      <c r="N751">
        <v>6.24</v>
      </c>
      <c r="O751" s="6">
        <v>17.3</v>
      </c>
      <c r="P751" s="7">
        <v>3</v>
      </c>
      <c r="U751" t="s">
        <v>84</v>
      </c>
      <c r="V751" t="s">
        <v>1135</v>
      </c>
      <c r="W751">
        <v>2.9</v>
      </c>
      <c r="X751" t="s">
        <v>122</v>
      </c>
      <c r="Y751" t="s">
        <v>1136</v>
      </c>
      <c r="Z751" t="s">
        <v>100</v>
      </c>
      <c r="AA751" t="s">
        <v>128</v>
      </c>
      <c r="AB751" t="s">
        <v>869</v>
      </c>
      <c r="AC751">
        <v>4389</v>
      </c>
      <c r="AD751" s="8" t="b">
        <f>AND(
 H751&gt;=Filters!$B$3,
 H751&lt;=Filters!$B$4,
 I751&gt;=Filters!$B$5,
 OR(Filters!$B$6="All",B751=Filters!$B$6),
 F751&gt;=Filters!$B$7,
 F751&lt;=Filters!$B$8,
 OR(Filters!$B$9="All",G751=Filters!$B$9)
)</f>
        <v>0</v>
      </c>
      <c r="AE751">
        <f t="shared" si="143"/>
        <v>6</v>
      </c>
      <c r="AF751">
        <f t="shared" si="144"/>
        <v>7</v>
      </c>
      <c r="AG751">
        <f t="shared" si="145"/>
        <v>7</v>
      </c>
      <c r="AH751" s="9" t="str">
        <f t="shared" si="146"/>
        <v/>
      </c>
      <c r="AI751" s="9" t="str">
        <f t="shared" si="147"/>
        <v/>
      </c>
      <c r="AJ751" s="9" t="str">
        <f t="shared" si="148"/>
        <v/>
      </c>
      <c r="AK751" s="9" t="str">
        <f t="shared" si="149"/>
        <v/>
      </c>
      <c r="AL751" s="9" t="str">
        <f t="shared" si="150"/>
        <v/>
      </c>
      <c r="AM751" s="9" t="str">
        <f t="shared" si="151"/>
        <v/>
      </c>
      <c r="AN751" s="9" t="str">
        <f t="shared" si="152"/>
        <v/>
      </c>
      <c r="AO751" s="9" t="str">
        <f t="shared" si="153"/>
        <v/>
      </c>
      <c r="AP751" s="9" t="str">
        <f t="shared" si="154"/>
        <v/>
      </c>
      <c r="AQ751" s="10" t="str">
        <f t="shared" si="155"/>
        <v/>
      </c>
    </row>
    <row r="752" spans="1:43">
      <c r="A752">
        <v>751</v>
      </c>
      <c r="B752" t="s">
        <v>29</v>
      </c>
      <c r="C752" t="s">
        <v>1137</v>
      </c>
      <c r="D752" t="s">
        <v>1138</v>
      </c>
      <c r="E752" t="s">
        <v>152</v>
      </c>
      <c r="G752" t="s">
        <v>18</v>
      </c>
      <c r="H752" s="4">
        <v>12825000</v>
      </c>
      <c r="I752" s="5">
        <v>128</v>
      </c>
      <c r="J752" s="5">
        <v>0</v>
      </c>
      <c r="K752" s="5">
        <v>4</v>
      </c>
      <c r="L752">
        <v>1.2</v>
      </c>
      <c r="M752">
        <v>3.5</v>
      </c>
      <c r="N752">
        <v>4.18</v>
      </c>
      <c r="O752" s="6">
        <v>11.6</v>
      </c>
      <c r="P752" s="7">
        <v>1.4</v>
      </c>
      <c r="U752" t="s">
        <v>84</v>
      </c>
      <c r="V752" t="s">
        <v>263</v>
      </c>
      <c r="W752">
        <v>1.6</v>
      </c>
      <c r="X752" t="s">
        <v>84</v>
      </c>
      <c r="Y752" t="s">
        <v>154</v>
      </c>
      <c r="Z752" t="s">
        <v>87</v>
      </c>
      <c r="AA752" t="s">
        <v>472</v>
      </c>
      <c r="AB752" t="s">
        <v>115</v>
      </c>
      <c r="AC752">
        <v>475</v>
      </c>
      <c r="AD752" s="8" t="b">
        <f>AND(
 H752&gt;=Filters!$B$3,
 H752&lt;=Filters!$B$4,
 I752&gt;=Filters!$B$5,
 OR(Filters!$B$6="All",B752=Filters!$B$6),
 F752&gt;=Filters!$B$7,
 F752&lt;=Filters!$B$8,
 OR(Filters!$B$9="All",G752=Filters!$B$9)
)</f>
        <v>0</v>
      </c>
      <c r="AE752">
        <f t="shared" si="143"/>
        <v>6</v>
      </c>
      <c r="AF752">
        <f t="shared" si="144"/>
        <v>7</v>
      </c>
      <c r="AG752">
        <f t="shared" si="145"/>
        <v>7</v>
      </c>
      <c r="AH752" s="9" t="str">
        <f t="shared" si="146"/>
        <v/>
      </c>
      <c r="AI752" s="9" t="str">
        <f t="shared" si="147"/>
        <v/>
      </c>
      <c r="AJ752" s="9" t="str">
        <f t="shared" si="148"/>
        <v/>
      </c>
      <c r="AK752" s="9" t="str">
        <f t="shared" si="149"/>
        <v/>
      </c>
      <c r="AL752" s="9" t="str">
        <f t="shared" si="150"/>
        <v/>
      </c>
      <c r="AM752" s="9" t="str">
        <f t="shared" si="151"/>
        <v/>
      </c>
      <c r="AN752" s="9" t="str">
        <f t="shared" si="152"/>
        <v/>
      </c>
      <c r="AO752" s="9" t="str">
        <f t="shared" si="153"/>
        <v/>
      </c>
      <c r="AP752" s="9" t="str">
        <f t="shared" si="154"/>
        <v/>
      </c>
      <c r="AQ752" s="10" t="str">
        <f t="shared" si="155"/>
        <v/>
      </c>
    </row>
    <row r="753" spans="1:43">
      <c r="A753">
        <v>752</v>
      </c>
      <c r="B753" t="s">
        <v>26</v>
      </c>
      <c r="C753" t="s">
        <v>957</v>
      </c>
      <c r="D753" t="s">
        <v>958</v>
      </c>
      <c r="E753" t="s">
        <v>97</v>
      </c>
      <c r="G753" t="s">
        <v>18</v>
      </c>
      <c r="H753" s="4">
        <v>51300000</v>
      </c>
      <c r="I753" s="5">
        <v>256</v>
      </c>
      <c r="J753" s="5">
        <v>0</v>
      </c>
      <c r="K753" s="5">
        <v>8</v>
      </c>
      <c r="L753">
        <v>6.8</v>
      </c>
      <c r="M753">
        <v>3.5</v>
      </c>
      <c r="N753">
        <v>5.92</v>
      </c>
      <c r="O753" s="6">
        <v>15.6</v>
      </c>
      <c r="P753" s="7">
        <v>1.84</v>
      </c>
      <c r="U753" t="s">
        <v>84</v>
      </c>
      <c r="V753" t="s">
        <v>1024</v>
      </c>
      <c r="W753">
        <v>2.4</v>
      </c>
      <c r="X753" t="s">
        <v>84</v>
      </c>
      <c r="Y753" t="s">
        <v>130</v>
      </c>
      <c r="Z753" t="s">
        <v>100</v>
      </c>
      <c r="AA753" t="s">
        <v>101</v>
      </c>
      <c r="AB753" t="s">
        <v>115</v>
      </c>
      <c r="AC753">
        <v>1900</v>
      </c>
      <c r="AD753" s="8" t="b">
        <f>AND(
 H753&gt;=Filters!$B$3,
 H753&lt;=Filters!$B$4,
 I753&gt;=Filters!$B$5,
 OR(Filters!$B$6="All",B753=Filters!$B$6),
 F753&gt;=Filters!$B$7,
 F753&lt;=Filters!$B$8,
 OR(Filters!$B$9="All",G753=Filters!$B$9)
)</f>
        <v>0</v>
      </c>
      <c r="AE753">
        <f t="shared" si="143"/>
        <v>6</v>
      </c>
      <c r="AF753">
        <f t="shared" si="144"/>
        <v>7</v>
      </c>
      <c r="AG753">
        <f t="shared" si="145"/>
        <v>7</v>
      </c>
      <c r="AH753" s="9" t="str">
        <f t="shared" si="146"/>
        <v/>
      </c>
      <c r="AI753" s="9" t="str">
        <f t="shared" si="147"/>
        <v/>
      </c>
      <c r="AJ753" s="9" t="str">
        <f t="shared" si="148"/>
        <v/>
      </c>
      <c r="AK753" s="9" t="str">
        <f t="shared" si="149"/>
        <v/>
      </c>
      <c r="AL753" s="9" t="str">
        <f t="shared" si="150"/>
        <v/>
      </c>
      <c r="AM753" s="9" t="str">
        <f t="shared" si="151"/>
        <v/>
      </c>
      <c r="AN753" s="9" t="str">
        <f t="shared" si="152"/>
        <v/>
      </c>
      <c r="AO753" s="9" t="str">
        <f t="shared" si="153"/>
        <v/>
      </c>
      <c r="AP753" s="9" t="str">
        <f t="shared" si="154"/>
        <v/>
      </c>
      <c r="AQ753" s="10" t="str">
        <f t="shared" si="155"/>
        <v/>
      </c>
    </row>
    <row r="754" spans="1:43">
      <c r="A754">
        <v>753</v>
      </c>
      <c r="B754" t="s">
        <v>21</v>
      </c>
      <c r="C754" t="s">
        <v>1139</v>
      </c>
      <c r="D754" t="s">
        <v>1140</v>
      </c>
      <c r="E754" t="s">
        <v>97</v>
      </c>
      <c r="G754" t="s">
        <v>18</v>
      </c>
      <c r="H754" s="4">
        <v>15633000</v>
      </c>
      <c r="I754" s="5">
        <v>0</v>
      </c>
      <c r="J754" s="5">
        <v>1024</v>
      </c>
      <c r="K754" s="5">
        <v>4</v>
      </c>
      <c r="L754">
        <v>6.6</v>
      </c>
      <c r="M754">
        <v>9.1999999999999993</v>
      </c>
      <c r="N754">
        <v>3.92</v>
      </c>
      <c r="O754" s="6">
        <v>15.6</v>
      </c>
      <c r="P754" s="7">
        <v>2.4500000000000002</v>
      </c>
      <c r="U754" t="s">
        <v>84</v>
      </c>
      <c r="V754" t="s">
        <v>1094</v>
      </c>
      <c r="W754">
        <v>2.2999999999999998</v>
      </c>
      <c r="X754" t="s">
        <v>122</v>
      </c>
      <c r="Y754" t="s">
        <v>492</v>
      </c>
      <c r="Z754" t="s">
        <v>146</v>
      </c>
      <c r="AA754" t="s">
        <v>114</v>
      </c>
      <c r="AB754" t="s">
        <v>102</v>
      </c>
      <c r="AC754">
        <v>579</v>
      </c>
      <c r="AD754" s="8" t="b">
        <f>AND(
 H754&gt;=Filters!$B$3,
 H754&lt;=Filters!$B$4,
 I754&gt;=Filters!$B$5,
 OR(Filters!$B$6="All",B754=Filters!$B$6),
 F754&gt;=Filters!$B$7,
 F754&lt;=Filters!$B$8,
 OR(Filters!$B$9="All",G754=Filters!$B$9)
)</f>
        <v>0</v>
      </c>
      <c r="AE754">
        <f t="shared" si="143"/>
        <v>6</v>
      </c>
      <c r="AF754">
        <f t="shared" si="144"/>
        <v>7</v>
      </c>
      <c r="AG754">
        <f t="shared" si="145"/>
        <v>7</v>
      </c>
      <c r="AH754" s="9" t="str">
        <f t="shared" si="146"/>
        <v/>
      </c>
      <c r="AI754" s="9" t="str">
        <f t="shared" si="147"/>
        <v/>
      </c>
      <c r="AJ754" s="9" t="str">
        <f t="shared" si="148"/>
        <v/>
      </c>
      <c r="AK754" s="9" t="str">
        <f t="shared" si="149"/>
        <v/>
      </c>
      <c r="AL754" s="9" t="str">
        <f t="shared" si="150"/>
        <v/>
      </c>
      <c r="AM754" s="9" t="str">
        <f t="shared" si="151"/>
        <v/>
      </c>
      <c r="AN754" s="9" t="str">
        <f t="shared" si="152"/>
        <v/>
      </c>
      <c r="AO754" s="9" t="str">
        <f t="shared" si="153"/>
        <v/>
      </c>
      <c r="AP754" s="9" t="str">
        <f t="shared" si="154"/>
        <v/>
      </c>
      <c r="AQ754" s="10" t="str">
        <f t="shared" si="155"/>
        <v/>
      </c>
    </row>
    <row r="755" spans="1:43">
      <c r="A755">
        <v>754</v>
      </c>
      <c r="B755" t="s">
        <v>29</v>
      </c>
      <c r="C755" t="s">
        <v>1141</v>
      </c>
      <c r="D755" t="s">
        <v>1142</v>
      </c>
      <c r="E755" t="s">
        <v>83</v>
      </c>
      <c r="G755" t="s">
        <v>18</v>
      </c>
      <c r="H755" s="4">
        <v>29592000</v>
      </c>
      <c r="I755" s="5">
        <v>180</v>
      </c>
      <c r="J755" s="5">
        <v>0</v>
      </c>
      <c r="K755" s="5">
        <v>4</v>
      </c>
      <c r="L755">
        <v>6.6</v>
      </c>
      <c r="M755">
        <v>3.5</v>
      </c>
      <c r="N755">
        <v>6</v>
      </c>
      <c r="O755" s="6">
        <v>14</v>
      </c>
      <c r="P755" s="7">
        <v>1.7</v>
      </c>
      <c r="U755" t="s">
        <v>84</v>
      </c>
      <c r="V755" t="s">
        <v>375</v>
      </c>
      <c r="W755">
        <v>2.2999999999999998</v>
      </c>
      <c r="X755" t="s">
        <v>84</v>
      </c>
      <c r="Y755" t="s">
        <v>130</v>
      </c>
      <c r="Z755" t="s">
        <v>813</v>
      </c>
      <c r="AA755" t="s">
        <v>101</v>
      </c>
      <c r="AB755" t="s">
        <v>115</v>
      </c>
      <c r="AC755">
        <v>1096</v>
      </c>
      <c r="AD755" s="8" t="b">
        <f>AND(
 H755&gt;=Filters!$B$3,
 H755&lt;=Filters!$B$4,
 I755&gt;=Filters!$B$5,
 OR(Filters!$B$6="All",B755=Filters!$B$6),
 F755&gt;=Filters!$B$7,
 F755&lt;=Filters!$B$8,
 OR(Filters!$B$9="All",G755=Filters!$B$9)
)</f>
        <v>0</v>
      </c>
      <c r="AE755">
        <f t="shared" si="143"/>
        <v>6</v>
      </c>
      <c r="AF755">
        <f t="shared" si="144"/>
        <v>7</v>
      </c>
      <c r="AG755">
        <f t="shared" si="145"/>
        <v>7</v>
      </c>
      <c r="AH755" s="9" t="str">
        <f t="shared" si="146"/>
        <v/>
      </c>
      <c r="AI755" s="9" t="str">
        <f t="shared" si="147"/>
        <v/>
      </c>
      <c r="AJ755" s="9" t="str">
        <f t="shared" si="148"/>
        <v/>
      </c>
      <c r="AK755" s="9" t="str">
        <f t="shared" si="149"/>
        <v/>
      </c>
      <c r="AL755" s="9" t="str">
        <f t="shared" si="150"/>
        <v/>
      </c>
      <c r="AM755" s="9" t="str">
        <f t="shared" si="151"/>
        <v/>
      </c>
      <c r="AN755" s="9" t="str">
        <f t="shared" si="152"/>
        <v/>
      </c>
      <c r="AO755" s="9" t="str">
        <f t="shared" si="153"/>
        <v/>
      </c>
      <c r="AP755" s="9" t="str">
        <f t="shared" si="154"/>
        <v/>
      </c>
      <c r="AQ755" s="10" t="str">
        <f t="shared" si="155"/>
        <v/>
      </c>
    </row>
    <row r="756" spans="1:43">
      <c r="A756">
        <v>755</v>
      </c>
      <c r="B756" t="s">
        <v>21</v>
      </c>
      <c r="C756" t="s">
        <v>1143</v>
      </c>
      <c r="D756" t="s">
        <v>1144</v>
      </c>
      <c r="E756" t="s">
        <v>97</v>
      </c>
      <c r="G756" t="s">
        <v>18</v>
      </c>
      <c r="H756" s="4">
        <v>22947300</v>
      </c>
      <c r="I756" s="5">
        <v>256</v>
      </c>
      <c r="J756" s="5">
        <v>0</v>
      </c>
      <c r="K756" s="5">
        <v>4</v>
      </c>
      <c r="L756">
        <v>9.4</v>
      </c>
      <c r="M756">
        <v>3.5</v>
      </c>
      <c r="N756">
        <v>3.92</v>
      </c>
      <c r="O756" s="6">
        <v>15.6</v>
      </c>
      <c r="P756" s="7">
        <v>2.37</v>
      </c>
      <c r="U756" t="s">
        <v>84</v>
      </c>
      <c r="V756" t="s">
        <v>140</v>
      </c>
      <c r="W756">
        <v>2.7</v>
      </c>
      <c r="X756" t="s">
        <v>84</v>
      </c>
      <c r="Y756" t="s">
        <v>99</v>
      </c>
      <c r="Z756" t="s">
        <v>100</v>
      </c>
      <c r="AA756" t="s">
        <v>114</v>
      </c>
      <c r="AB756" t="s">
        <v>115</v>
      </c>
      <c r="AC756">
        <v>849.9</v>
      </c>
      <c r="AD756" s="8" t="b">
        <f>AND(
 H756&gt;=Filters!$B$3,
 H756&lt;=Filters!$B$4,
 I756&gt;=Filters!$B$5,
 OR(Filters!$B$6="All",B756=Filters!$B$6),
 F756&gt;=Filters!$B$7,
 F756&lt;=Filters!$B$8,
 OR(Filters!$B$9="All",G756=Filters!$B$9)
)</f>
        <v>1</v>
      </c>
      <c r="AE756">
        <f t="shared" si="143"/>
        <v>6</v>
      </c>
      <c r="AF756">
        <f t="shared" si="144"/>
        <v>7</v>
      </c>
      <c r="AG756">
        <f t="shared" si="145"/>
        <v>7</v>
      </c>
      <c r="AH756" s="9">
        <f t="shared" si="146"/>
        <v>0.97619047619047628</v>
      </c>
      <c r="AI756" s="9">
        <f t="shared" si="147"/>
        <v>0.33333333333333331</v>
      </c>
      <c r="AJ756" s="9">
        <f t="shared" si="148"/>
        <v>0.27380952380952378</v>
      </c>
      <c r="AK756" s="9">
        <f t="shared" si="149"/>
        <v>0.32380952380952377</v>
      </c>
      <c r="AL756" s="9">
        <f t="shared" si="150"/>
        <v>0.86071428571428565</v>
      </c>
      <c r="AM756" s="9">
        <f t="shared" si="151"/>
        <v>0.5714285714285714</v>
      </c>
      <c r="AN756" s="9">
        <f t="shared" si="152"/>
        <v>0.69047619047619047</v>
      </c>
      <c r="AO756" s="9">
        <f t="shared" si="153"/>
        <v>0.69047619047619047</v>
      </c>
      <c r="AP756" s="9">
        <f t="shared" si="154"/>
        <v>0.61948184918149762</v>
      </c>
      <c r="AQ756" s="10">
        <f t="shared" si="155"/>
        <v>0.61948260518149767</v>
      </c>
    </row>
    <row r="757" spans="1:43">
      <c r="A757">
        <v>756</v>
      </c>
      <c r="B757" t="s">
        <v>29</v>
      </c>
      <c r="C757" t="s">
        <v>1145</v>
      </c>
      <c r="D757" t="s">
        <v>1146</v>
      </c>
      <c r="E757" t="s">
        <v>168</v>
      </c>
      <c r="G757" t="s">
        <v>18</v>
      </c>
      <c r="H757" s="4">
        <v>32373000</v>
      </c>
      <c r="I757" s="5">
        <v>256</v>
      </c>
      <c r="J757" s="5">
        <v>0</v>
      </c>
      <c r="K757" s="5">
        <v>8</v>
      </c>
      <c r="L757">
        <v>5.6</v>
      </c>
      <c r="M757">
        <v>3.5</v>
      </c>
      <c r="N757">
        <v>8.8699999999999992</v>
      </c>
      <c r="O757" s="6">
        <v>13.3</v>
      </c>
      <c r="P757" s="7">
        <v>1.3</v>
      </c>
      <c r="U757" t="s">
        <v>84</v>
      </c>
      <c r="V757" t="s">
        <v>1147</v>
      </c>
      <c r="W757">
        <v>1.8</v>
      </c>
      <c r="X757" t="s">
        <v>84</v>
      </c>
      <c r="Y757" t="s">
        <v>1148</v>
      </c>
      <c r="Z757" t="s">
        <v>100</v>
      </c>
      <c r="AA757" t="s">
        <v>909</v>
      </c>
      <c r="AB757" t="s">
        <v>115</v>
      </c>
      <c r="AC757">
        <v>1199</v>
      </c>
      <c r="AD757" s="8" t="b">
        <f>AND(
 H757&gt;=Filters!$B$3,
 H757&lt;=Filters!$B$4,
 I757&gt;=Filters!$B$5,
 OR(Filters!$B$6="All",B757=Filters!$B$6),
 F757&gt;=Filters!$B$7,
 F757&lt;=Filters!$B$8,
 OR(Filters!$B$9="All",G757=Filters!$B$9)
)</f>
        <v>0</v>
      </c>
      <c r="AE757">
        <f t="shared" si="143"/>
        <v>6</v>
      </c>
      <c r="AF757">
        <f t="shared" si="144"/>
        <v>7</v>
      </c>
      <c r="AG757">
        <f t="shared" si="145"/>
        <v>7</v>
      </c>
      <c r="AH757" s="9" t="str">
        <f t="shared" si="146"/>
        <v/>
      </c>
      <c r="AI757" s="9" t="str">
        <f t="shared" si="147"/>
        <v/>
      </c>
      <c r="AJ757" s="9" t="str">
        <f t="shared" si="148"/>
        <v/>
      </c>
      <c r="AK757" s="9" t="str">
        <f t="shared" si="149"/>
        <v/>
      </c>
      <c r="AL757" s="9" t="str">
        <f t="shared" si="150"/>
        <v/>
      </c>
      <c r="AM757" s="9" t="str">
        <f t="shared" si="151"/>
        <v/>
      </c>
      <c r="AN757" s="9" t="str">
        <f t="shared" si="152"/>
        <v/>
      </c>
      <c r="AO757" s="9" t="str">
        <f t="shared" si="153"/>
        <v/>
      </c>
      <c r="AP757" s="9" t="str">
        <f t="shared" si="154"/>
        <v/>
      </c>
      <c r="AQ757" s="10" t="str">
        <f t="shared" si="155"/>
        <v/>
      </c>
    </row>
    <row r="758" spans="1:43">
      <c r="A758">
        <v>757</v>
      </c>
      <c r="B758" t="s">
        <v>26</v>
      </c>
      <c r="C758" t="s">
        <v>1149</v>
      </c>
      <c r="D758" t="s">
        <v>1150</v>
      </c>
      <c r="E758" t="s">
        <v>97</v>
      </c>
      <c r="G758" t="s">
        <v>18</v>
      </c>
      <c r="H758" s="4">
        <v>29673000</v>
      </c>
      <c r="I758" s="5">
        <v>128</v>
      </c>
      <c r="J758" s="5">
        <v>1024</v>
      </c>
      <c r="K758" s="5">
        <v>8</v>
      </c>
      <c r="L758">
        <v>7</v>
      </c>
      <c r="M758">
        <v>9.1999999999999993</v>
      </c>
      <c r="N758">
        <v>6.32</v>
      </c>
      <c r="O758" s="6">
        <v>15.6</v>
      </c>
      <c r="P758" s="7">
        <v>2.2000000000000002</v>
      </c>
      <c r="U758" t="s">
        <v>84</v>
      </c>
      <c r="V758" t="s">
        <v>159</v>
      </c>
      <c r="W758">
        <v>2.5</v>
      </c>
      <c r="X758" t="s">
        <v>122</v>
      </c>
      <c r="Y758" t="s">
        <v>160</v>
      </c>
      <c r="Z758" t="s">
        <v>161</v>
      </c>
      <c r="AA758" t="s">
        <v>128</v>
      </c>
      <c r="AB758" t="s">
        <v>115</v>
      </c>
      <c r="AC758">
        <v>1099</v>
      </c>
      <c r="AD758" s="8" t="b">
        <f>AND(
 H758&gt;=Filters!$B$3,
 H758&lt;=Filters!$B$4,
 I758&gt;=Filters!$B$5,
 OR(Filters!$B$6="All",B758=Filters!$B$6),
 F758&gt;=Filters!$B$7,
 F758&lt;=Filters!$B$8,
 OR(Filters!$B$9="All",G758=Filters!$B$9)
)</f>
        <v>0</v>
      </c>
      <c r="AE758">
        <f t="shared" si="143"/>
        <v>6</v>
      </c>
      <c r="AF758">
        <f t="shared" si="144"/>
        <v>7</v>
      </c>
      <c r="AG758">
        <f t="shared" si="145"/>
        <v>7</v>
      </c>
      <c r="AH758" s="9" t="str">
        <f t="shared" si="146"/>
        <v/>
      </c>
      <c r="AI758" s="9" t="str">
        <f t="shared" si="147"/>
        <v/>
      </c>
      <c r="AJ758" s="9" t="str">
        <f t="shared" si="148"/>
        <v/>
      </c>
      <c r="AK758" s="9" t="str">
        <f t="shared" si="149"/>
        <v/>
      </c>
      <c r="AL758" s="9" t="str">
        <f t="shared" si="150"/>
        <v/>
      </c>
      <c r="AM758" s="9" t="str">
        <f t="shared" si="151"/>
        <v/>
      </c>
      <c r="AN758" s="9" t="str">
        <f t="shared" si="152"/>
        <v/>
      </c>
      <c r="AO758" s="9" t="str">
        <f t="shared" si="153"/>
        <v/>
      </c>
      <c r="AP758" s="9" t="str">
        <f t="shared" si="154"/>
        <v/>
      </c>
      <c r="AQ758" s="10" t="str">
        <f t="shared" si="155"/>
        <v/>
      </c>
    </row>
    <row r="759" spans="1:43">
      <c r="A759">
        <v>758</v>
      </c>
      <c r="B759" t="s">
        <v>26</v>
      </c>
      <c r="C759" t="s">
        <v>1120</v>
      </c>
      <c r="D759" t="s">
        <v>1121</v>
      </c>
      <c r="E759" t="s">
        <v>468</v>
      </c>
      <c r="G759" t="s">
        <v>18</v>
      </c>
      <c r="H759" s="4">
        <v>42147000</v>
      </c>
      <c r="I759" s="5">
        <v>256</v>
      </c>
      <c r="J759" s="5">
        <v>0</v>
      </c>
      <c r="K759" s="5">
        <v>8</v>
      </c>
      <c r="L759">
        <v>9.1999999999999993</v>
      </c>
      <c r="M759">
        <v>8</v>
      </c>
      <c r="N759">
        <v>5.92</v>
      </c>
      <c r="O759" s="6">
        <v>15.6</v>
      </c>
      <c r="P759" s="7">
        <v>2.59</v>
      </c>
      <c r="U759" t="s">
        <v>84</v>
      </c>
      <c r="V759" t="s">
        <v>808</v>
      </c>
      <c r="W759">
        <v>2.6</v>
      </c>
      <c r="X759" t="s">
        <v>122</v>
      </c>
      <c r="Y759" t="s">
        <v>1151</v>
      </c>
      <c r="Z759" t="s">
        <v>100</v>
      </c>
      <c r="AA759" t="s">
        <v>101</v>
      </c>
      <c r="AB759" t="s">
        <v>869</v>
      </c>
      <c r="AC759">
        <v>1561</v>
      </c>
      <c r="AD759" s="8" t="b">
        <f>AND(
 H759&gt;=Filters!$B$3,
 H759&lt;=Filters!$B$4,
 I759&gt;=Filters!$B$5,
 OR(Filters!$B$6="All",B759=Filters!$B$6),
 F759&gt;=Filters!$B$7,
 F759&lt;=Filters!$B$8,
 OR(Filters!$B$9="All",G759=Filters!$B$9)
)</f>
        <v>0</v>
      </c>
      <c r="AE759">
        <f t="shared" si="143"/>
        <v>6</v>
      </c>
      <c r="AF759">
        <f t="shared" si="144"/>
        <v>7</v>
      </c>
      <c r="AG759">
        <f t="shared" si="145"/>
        <v>7</v>
      </c>
      <c r="AH759" s="9" t="str">
        <f t="shared" si="146"/>
        <v/>
      </c>
      <c r="AI759" s="9" t="str">
        <f t="shared" si="147"/>
        <v/>
      </c>
      <c r="AJ759" s="9" t="str">
        <f t="shared" si="148"/>
        <v/>
      </c>
      <c r="AK759" s="9" t="str">
        <f t="shared" si="149"/>
        <v/>
      </c>
      <c r="AL759" s="9" t="str">
        <f t="shared" si="150"/>
        <v/>
      </c>
      <c r="AM759" s="9" t="str">
        <f t="shared" si="151"/>
        <v/>
      </c>
      <c r="AN759" s="9" t="str">
        <f t="shared" si="152"/>
        <v/>
      </c>
      <c r="AO759" s="9" t="str">
        <f t="shared" si="153"/>
        <v/>
      </c>
      <c r="AP759" s="9" t="str">
        <f t="shared" si="154"/>
        <v/>
      </c>
      <c r="AQ759" s="10" t="str">
        <f t="shared" si="155"/>
        <v/>
      </c>
    </row>
    <row r="760" spans="1:43">
      <c r="A760">
        <v>759</v>
      </c>
      <c r="B760" t="s">
        <v>23</v>
      </c>
      <c r="C760" t="s">
        <v>486</v>
      </c>
      <c r="D760" t="s">
        <v>487</v>
      </c>
      <c r="E760" t="s">
        <v>158</v>
      </c>
      <c r="G760" t="s">
        <v>18</v>
      </c>
      <c r="H760" s="4">
        <v>77462730</v>
      </c>
      <c r="I760" s="5">
        <v>256</v>
      </c>
      <c r="J760" s="5">
        <v>1024</v>
      </c>
      <c r="K760" s="5">
        <v>16</v>
      </c>
      <c r="L760">
        <v>9.6</v>
      </c>
      <c r="M760">
        <v>9.1999999999999993</v>
      </c>
      <c r="N760">
        <v>9.82</v>
      </c>
      <c r="O760" s="6">
        <v>15.6</v>
      </c>
      <c r="P760" s="7">
        <v>4.42</v>
      </c>
      <c r="U760" t="s">
        <v>84</v>
      </c>
      <c r="V760" t="s">
        <v>210</v>
      </c>
      <c r="W760">
        <v>2.8</v>
      </c>
      <c r="X760" t="s">
        <v>122</v>
      </c>
      <c r="Y760" t="s">
        <v>248</v>
      </c>
      <c r="Z760" t="s">
        <v>212</v>
      </c>
      <c r="AA760" t="s">
        <v>459</v>
      </c>
      <c r="AB760" t="s">
        <v>115</v>
      </c>
      <c r="AC760">
        <v>2868.99</v>
      </c>
      <c r="AD760" s="8" t="b">
        <f>AND(
 H760&gt;=Filters!$B$3,
 H760&lt;=Filters!$B$4,
 I760&gt;=Filters!$B$5,
 OR(Filters!$B$6="All",B760=Filters!$B$6),
 F760&gt;=Filters!$B$7,
 F760&lt;=Filters!$B$8,
 OR(Filters!$B$9="All",G760=Filters!$B$9)
)</f>
        <v>0</v>
      </c>
      <c r="AE760">
        <f t="shared" si="143"/>
        <v>6</v>
      </c>
      <c r="AF760">
        <f t="shared" si="144"/>
        <v>7</v>
      </c>
      <c r="AG760">
        <f t="shared" si="145"/>
        <v>7</v>
      </c>
      <c r="AH760" s="9" t="str">
        <f t="shared" si="146"/>
        <v/>
      </c>
      <c r="AI760" s="9" t="str">
        <f t="shared" si="147"/>
        <v/>
      </c>
      <c r="AJ760" s="9" t="str">
        <f t="shared" si="148"/>
        <v/>
      </c>
      <c r="AK760" s="9" t="str">
        <f t="shared" si="149"/>
        <v/>
      </c>
      <c r="AL760" s="9" t="str">
        <f t="shared" si="150"/>
        <v/>
      </c>
      <c r="AM760" s="9" t="str">
        <f t="shared" si="151"/>
        <v/>
      </c>
      <c r="AN760" s="9" t="str">
        <f t="shared" si="152"/>
        <v/>
      </c>
      <c r="AO760" s="9" t="str">
        <f t="shared" si="153"/>
        <v/>
      </c>
      <c r="AP760" s="9" t="str">
        <f t="shared" si="154"/>
        <v/>
      </c>
      <c r="AQ760" s="10" t="str">
        <f t="shared" si="155"/>
        <v/>
      </c>
    </row>
    <row r="761" spans="1:43">
      <c r="A761">
        <v>760</v>
      </c>
      <c r="B761" t="s">
        <v>17</v>
      </c>
      <c r="C761" t="s">
        <v>109</v>
      </c>
      <c r="D761" t="s">
        <v>110</v>
      </c>
      <c r="E761" t="s">
        <v>97</v>
      </c>
      <c r="G761" t="s">
        <v>18</v>
      </c>
      <c r="H761" s="4">
        <v>16173000</v>
      </c>
      <c r="I761" s="5">
        <v>256</v>
      </c>
      <c r="J761" s="5">
        <v>0</v>
      </c>
      <c r="K761" s="5">
        <v>4</v>
      </c>
      <c r="L761">
        <v>7</v>
      </c>
      <c r="M761">
        <v>3.5</v>
      </c>
      <c r="N761">
        <v>3.92</v>
      </c>
      <c r="O761" s="6">
        <v>15.6</v>
      </c>
      <c r="P761" s="7">
        <v>2.1</v>
      </c>
      <c r="U761" t="s">
        <v>84</v>
      </c>
      <c r="V761" t="s">
        <v>98</v>
      </c>
      <c r="W761">
        <v>2.5</v>
      </c>
      <c r="X761" t="s">
        <v>84</v>
      </c>
      <c r="Y761" t="s">
        <v>99</v>
      </c>
      <c r="Z761" t="s">
        <v>100</v>
      </c>
      <c r="AA761" t="s">
        <v>114</v>
      </c>
      <c r="AB761" t="s">
        <v>115</v>
      </c>
      <c r="AC761">
        <v>599</v>
      </c>
      <c r="AD761" s="8" t="b">
        <f>AND(
 H761&gt;=Filters!$B$3,
 H761&lt;=Filters!$B$4,
 I761&gt;=Filters!$B$5,
 OR(Filters!$B$6="All",B761=Filters!$B$6),
 F761&gt;=Filters!$B$7,
 F761&lt;=Filters!$B$8,
 OR(Filters!$B$9="All",G761=Filters!$B$9)
)</f>
        <v>1</v>
      </c>
      <c r="AE761">
        <f t="shared" si="143"/>
        <v>6</v>
      </c>
      <c r="AF761">
        <f t="shared" si="144"/>
        <v>7</v>
      </c>
      <c r="AG761">
        <f t="shared" si="145"/>
        <v>7</v>
      </c>
      <c r="AH761" s="9">
        <f t="shared" si="146"/>
        <v>0.69047619047619047</v>
      </c>
      <c r="AI761" s="9">
        <f t="shared" si="147"/>
        <v>0.33333333333333331</v>
      </c>
      <c r="AJ761" s="9">
        <f t="shared" si="148"/>
        <v>0.27380952380952378</v>
      </c>
      <c r="AK761" s="9">
        <f t="shared" si="149"/>
        <v>0.32380952380952377</v>
      </c>
      <c r="AL761" s="9">
        <f t="shared" si="150"/>
        <v>0.89285714285714279</v>
      </c>
      <c r="AM761" s="9">
        <f t="shared" si="151"/>
        <v>0.5714285714285714</v>
      </c>
      <c r="AN761" s="9">
        <f t="shared" si="152"/>
        <v>0.69047619047619047</v>
      </c>
      <c r="AO761" s="9">
        <f t="shared" si="153"/>
        <v>0.69047619047619047</v>
      </c>
      <c r="AP761" s="9">
        <f t="shared" si="154"/>
        <v>0.56142943360673125</v>
      </c>
      <c r="AQ761" s="10">
        <f t="shared" si="155"/>
        <v>0.56143019460673127</v>
      </c>
    </row>
    <row r="762" spans="1:43">
      <c r="A762">
        <v>761</v>
      </c>
      <c r="B762" t="s">
        <v>29</v>
      </c>
      <c r="C762" t="s">
        <v>156</v>
      </c>
      <c r="D762" t="s">
        <v>157</v>
      </c>
      <c r="E762" t="s">
        <v>158</v>
      </c>
      <c r="G762" t="s">
        <v>18</v>
      </c>
      <c r="H762" s="4">
        <v>28296000</v>
      </c>
      <c r="I762" s="5">
        <v>128</v>
      </c>
      <c r="J762" s="5">
        <v>1024</v>
      </c>
      <c r="K762" s="5">
        <v>8</v>
      </c>
      <c r="L762">
        <v>9.6</v>
      </c>
      <c r="M762">
        <v>9.1999999999999993</v>
      </c>
      <c r="N762">
        <v>6.32</v>
      </c>
      <c r="O762" s="6">
        <v>15.6</v>
      </c>
      <c r="P762" s="7">
        <v>2.5</v>
      </c>
      <c r="U762" t="s">
        <v>84</v>
      </c>
      <c r="V762" t="s">
        <v>210</v>
      </c>
      <c r="W762">
        <v>2.8</v>
      </c>
      <c r="X762" t="s">
        <v>122</v>
      </c>
      <c r="Y762" t="s">
        <v>160</v>
      </c>
      <c r="Z762" t="s">
        <v>161</v>
      </c>
      <c r="AA762" t="s">
        <v>128</v>
      </c>
      <c r="AB762" t="s">
        <v>115</v>
      </c>
      <c r="AC762">
        <v>1048</v>
      </c>
      <c r="AD762" s="8" t="b">
        <f>AND(
 H762&gt;=Filters!$B$3,
 H762&lt;=Filters!$B$4,
 I762&gt;=Filters!$B$5,
 OR(Filters!$B$6="All",B762=Filters!$B$6),
 F762&gt;=Filters!$B$7,
 F762&lt;=Filters!$B$8,
 OR(Filters!$B$9="All",G762=Filters!$B$9)
)</f>
        <v>0</v>
      </c>
      <c r="AE762">
        <f t="shared" si="143"/>
        <v>6</v>
      </c>
      <c r="AF762">
        <f t="shared" si="144"/>
        <v>7</v>
      </c>
      <c r="AG762">
        <f t="shared" si="145"/>
        <v>7</v>
      </c>
      <c r="AH762" s="9" t="str">
        <f t="shared" si="146"/>
        <v/>
      </c>
      <c r="AI762" s="9" t="str">
        <f t="shared" si="147"/>
        <v/>
      </c>
      <c r="AJ762" s="9" t="str">
        <f t="shared" si="148"/>
        <v/>
      </c>
      <c r="AK762" s="9" t="str">
        <f t="shared" si="149"/>
        <v/>
      </c>
      <c r="AL762" s="9" t="str">
        <f t="shared" si="150"/>
        <v/>
      </c>
      <c r="AM762" s="9" t="str">
        <f t="shared" si="151"/>
        <v/>
      </c>
      <c r="AN762" s="9" t="str">
        <f t="shared" si="152"/>
        <v/>
      </c>
      <c r="AO762" s="9" t="str">
        <f t="shared" si="153"/>
        <v/>
      </c>
      <c r="AP762" s="9" t="str">
        <f t="shared" si="154"/>
        <v/>
      </c>
      <c r="AQ762" s="10" t="str">
        <f t="shared" si="155"/>
        <v/>
      </c>
    </row>
    <row r="763" spans="1:43">
      <c r="A763">
        <v>762</v>
      </c>
      <c r="B763" t="s">
        <v>23</v>
      </c>
      <c r="C763" t="s">
        <v>1152</v>
      </c>
      <c r="D763" t="s">
        <v>1153</v>
      </c>
      <c r="E763" t="s">
        <v>83</v>
      </c>
      <c r="G763" t="s">
        <v>18</v>
      </c>
      <c r="H763" s="4">
        <v>50193000</v>
      </c>
      <c r="I763" s="5">
        <v>256</v>
      </c>
      <c r="J763" s="5">
        <v>0</v>
      </c>
      <c r="K763" s="5">
        <v>16</v>
      </c>
      <c r="L763">
        <v>9.6</v>
      </c>
      <c r="M763">
        <v>3.5</v>
      </c>
      <c r="N763">
        <v>5.92</v>
      </c>
      <c r="O763" s="6">
        <v>12.5</v>
      </c>
      <c r="P763" s="7">
        <v>1.18</v>
      </c>
      <c r="U763" t="s">
        <v>84</v>
      </c>
      <c r="V763" t="s">
        <v>592</v>
      </c>
      <c r="W763">
        <v>2.8</v>
      </c>
      <c r="X763" t="s">
        <v>84</v>
      </c>
      <c r="Y763" t="s">
        <v>99</v>
      </c>
      <c r="Z763" t="s">
        <v>100</v>
      </c>
      <c r="AA763" t="s">
        <v>101</v>
      </c>
      <c r="AB763" t="s">
        <v>115</v>
      </c>
      <c r="AC763">
        <v>1859</v>
      </c>
      <c r="AD763" s="8" t="b">
        <f>AND(
 H763&gt;=Filters!$B$3,
 H763&lt;=Filters!$B$4,
 I763&gt;=Filters!$B$5,
 OR(Filters!$B$6="All",B763=Filters!$B$6),
 F763&gt;=Filters!$B$7,
 F763&lt;=Filters!$B$8,
 OR(Filters!$B$9="All",G763=Filters!$B$9)
)</f>
        <v>0</v>
      </c>
      <c r="AE763">
        <f t="shared" si="143"/>
        <v>6</v>
      </c>
      <c r="AF763">
        <f t="shared" si="144"/>
        <v>7</v>
      </c>
      <c r="AG763">
        <f t="shared" si="145"/>
        <v>7</v>
      </c>
      <c r="AH763" s="9" t="str">
        <f t="shared" si="146"/>
        <v/>
      </c>
      <c r="AI763" s="9" t="str">
        <f t="shared" si="147"/>
        <v/>
      </c>
      <c r="AJ763" s="9" t="str">
        <f t="shared" si="148"/>
        <v/>
      </c>
      <c r="AK763" s="9" t="str">
        <f t="shared" si="149"/>
        <v/>
      </c>
      <c r="AL763" s="9" t="str">
        <f t="shared" si="150"/>
        <v/>
      </c>
      <c r="AM763" s="9" t="str">
        <f t="shared" si="151"/>
        <v/>
      </c>
      <c r="AN763" s="9" t="str">
        <f t="shared" si="152"/>
        <v/>
      </c>
      <c r="AO763" s="9" t="str">
        <f t="shared" si="153"/>
        <v/>
      </c>
      <c r="AP763" s="9" t="str">
        <f t="shared" si="154"/>
        <v/>
      </c>
      <c r="AQ763" s="10" t="str">
        <f t="shared" si="155"/>
        <v/>
      </c>
    </row>
    <row r="764" spans="1:43">
      <c r="A764">
        <v>763</v>
      </c>
      <c r="B764" t="s">
        <v>25</v>
      </c>
      <c r="C764" t="s">
        <v>757</v>
      </c>
      <c r="D764" t="s">
        <v>758</v>
      </c>
      <c r="E764" t="s">
        <v>83</v>
      </c>
      <c r="G764" t="s">
        <v>18</v>
      </c>
      <c r="H764" s="4">
        <v>42093000</v>
      </c>
      <c r="I764" s="5">
        <v>256</v>
      </c>
      <c r="J764" s="5">
        <v>0</v>
      </c>
      <c r="K764" s="5">
        <v>8</v>
      </c>
      <c r="L764">
        <v>4.4000000000000004</v>
      </c>
      <c r="M764">
        <v>3.5</v>
      </c>
      <c r="N764">
        <v>8.02</v>
      </c>
      <c r="O764" s="6">
        <v>12.3</v>
      </c>
      <c r="P764" s="7">
        <v>1.1000000000000001</v>
      </c>
      <c r="U764" t="s">
        <v>84</v>
      </c>
      <c r="V764" t="s">
        <v>804</v>
      </c>
      <c r="W764">
        <v>1.2</v>
      </c>
      <c r="X764" t="s">
        <v>84</v>
      </c>
      <c r="Y764" t="s">
        <v>138</v>
      </c>
      <c r="Z764" t="s">
        <v>100</v>
      </c>
      <c r="AA764" t="s">
        <v>760</v>
      </c>
      <c r="AB764" t="s">
        <v>563</v>
      </c>
      <c r="AC764">
        <v>1559</v>
      </c>
      <c r="AD764" s="8" t="b">
        <f>AND(
 H764&gt;=Filters!$B$3,
 H764&lt;=Filters!$B$4,
 I764&gt;=Filters!$B$5,
 OR(Filters!$B$6="All",B764=Filters!$B$6),
 F764&gt;=Filters!$B$7,
 F764&lt;=Filters!$B$8,
 OR(Filters!$B$9="All",G764=Filters!$B$9)
)</f>
        <v>0</v>
      </c>
      <c r="AE764">
        <f t="shared" si="143"/>
        <v>6</v>
      </c>
      <c r="AF764">
        <f t="shared" si="144"/>
        <v>7</v>
      </c>
      <c r="AG764">
        <f t="shared" si="145"/>
        <v>7</v>
      </c>
      <c r="AH764" s="9" t="str">
        <f t="shared" si="146"/>
        <v/>
      </c>
      <c r="AI764" s="9" t="str">
        <f t="shared" si="147"/>
        <v/>
      </c>
      <c r="AJ764" s="9" t="str">
        <f t="shared" si="148"/>
        <v/>
      </c>
      <c r="AK764" s="9" t="str">
        <f t="shared" si="149"/>
        <v/>
      </c>
      <c r="AL764" s="9" t="str">
        <f t="shared" si="150"/>
        <v/>
      </c>
      <c r="AM764" s="9" t="str">
        <f t="shared" si="151"/>
        <v/>
      </c>
      <c r="AN764" s="9" t="str">
        <f t="shared" si="152"/>
        <v/>
      </c>
      <c r="AO764" s="9" t="str">
        <f t="shared" si="153"/>
        <v/>
      </c>
      <c r="AP764" s="9" t="str">
        <f t="shared" si="154"/>
        <v/>
      </c>
      <c r="AQ764" s="10" t="str">
        <f t="shared" si="155"/>
        <v/>
      </c>
    </row>
    <row r="765" spans="1:43">
      <c r="A765">
        <v>764</v>
      </c>
      <c r="B765" t="s">
        <v>21</v>
      </c>
      <c r="C765" t="s">
        <v>1154</v>
      </c>
      <c r="D765" t="s">
        <v>1155</v>
      </c>
      <c r="E765" t="s">
        <v>83</v>
      </c>
      <c r="G765" t="s">
        <v>18</v>
      </c>
      <c r="H765" s="4">
        <v>30483000</v>
      </c>
      <c r="I765" s="5">
        <v>256</v>
      </c>
      <c r="J765" s="5">
        <v>0</v>
      </c>
      <c r="K765" s="5">
        <v>8</v>
      </c>
      <c r="L765">
        <v>7</v>
      </c>
      <c r="M765">
        <v>3.5</v>
      </c>
      <c r="N765">
        <v>8.56</v>
      </c>
      <c r="O765" s="6">
        <v>13.3</v>
      </c>
      <c r="P765" s="7">
        <v>1.2</v>
      </c>
      <c r="U765" t="s">
        <v>84</v>
      </c>
      <c r="V765" t="s">
        <v>98</v>
      </c>
      <c r="W765">
        <v>2.5</v>
      </c>
      <c r="X765" t="s">
        <v>84</v>
      </c>
      <c r="Y765" t="s">
        <v>99</v>
      </c>
      <c r="Z765" t="s">
        <v>100</v>
      </c>
      <c r="AA765" t="s">
        <v>883</v>
      </c>
      <c r="AB765" t="s">
        <v>115</v>
      </c>
      <c r="AC765">
        <v>1129</v>
      </c>
      <c r="AD765" s="8" t="b">
        <f>AND(
 H765&gt;=Filters!$B$3,
 H765&lt;=Filters!$B$4,
 I765&gt;=Filters!$B$5,
 OR(Filters!$B$6="All",B765=Filters!$B$6),
 F765&gt;=Filters!$B$7,
 F765&lt;=Filters!$B$8,
 OR(Filters!$B$9="All",G765=Filters!$B$9)
)</f>
        <v>0</v>
      </c>
      <c r="AE765">
        <f t="shared" si="143"/>
        <v>6</v>
      </c>
      <c r="AF765">
        <f t="shared" si="144"/>
        <v>7</v>
      </c>
      <c r="AG765">
        <f t="shared" si="145"/>
        <v>7</v>
      </c>
      <c r="AH765" s="9" t="str">
        <f t="shared" si="146"/>
        <v/>
      </c>
      <c r="AI765" s="9" t="str">
        <f t="shared" si="147"/>
        <v/>
      </c>
      <c r="AJ765" s="9" t="str">
        <f t="shared" si="148"/>
        <v/>
      </c>
      <c r="AK765" s="9" t="str">
        <f t="shared" si="149"/>
        <v/>
      </c>
      <c r="AL765" s="9" t="str">
        <f t="shared" si="150"/>
        <v/>
      </c>
      <c r="AM765" s="9" t="str">
        <f t="shared" si="151"/>
        <v/>
      </c>
      <c r="AN765" s="9" t="str">
        <f t="shared" si="152"/>
        <v/>
      </c>
      <c r="AO765" s="9" t="str">
        <f t="shared" si="153"/>
        <v/>
      </c>
      <c r="AP765" s="9" t="str">
        <f t="shared" si="154"/>
        <v/>
      </c>
      <c r="AQ765" s="10" t="str">
        <f t="shared" si="155"/>
        <v/>
      </c>
    </row>
    <row r="766" spans="1:43">
      <c r="A766">
        <v>765</v>
      </c>
      <c r="B766" t="s">
        <v>23</v>
      </c>
      <c r="C766" t="s">
        <v>726</v>
      </c>
      <c r="D766" t="s">
        <v>727</v>
      </c>
      <c r="E766" t="s">
        <v>97</v>
      </c>
      <c r="G766" t="s">
        <v>18</v>
      </c>
      <c r="H766" s="4">
        <v>22923000</v>
      </c>
      <c r="I766" s="5">
        <v>0</v>
      </c>
      <c r="J766" s="5">
        <v>500</v>
      </c>
      <c r="K766" s="5">
        <v>4</v>
      </c>
      <c r="L766">
        <v>4</v>
      </c>
      <c r="M766">
        <v>3.5</v>
      </c>
      <c r="N766">
        <v>3.96</v>
      </c>
      <c r="O766" s="6">
        <v>13.3</v>
      </c>
      <c r="P766" s="7">
        <v>1.65</v>
      </c>
      <c r="U766" t="s">
        <v>84</v>
      </c>
      <c r="V766" t="s">
        <v>129</v>
      </c>
      <c r="W766">
        <v>2</v>
      </c>
      <c r="X766" t="s">
        <v>84</v>
      </c>
      <c r="Y766" t="s">
        <v>130</v>
      </c>
      <c r="Z766" t="s">
        <v>113</v>
      </c>
      <c r="AA766" t="s">
        <v>114</v>
      </c>
      <c r="AB766" t="s">
        <v>115</v>
      </c>
      <c r="AC766">
        <v>849</v>
      </c>
      <c r="AD766" s="8" t="b">
        <f>AND(
 H766&gt;=Filters!$B$3,
 H766&lt;=Filters!$B$4,
 I766&gt;=Filters!$B$5,
 OR(Filters!$B$6="All",B766=Filters!$B$6),
 F766&gt;=Filters!$B$7,
 F766&lt;=Filters!$B$8,
 OR(Filters!$B$9="All",G766=Filters!$B$9)
)</f>
        <v>0</v>
      </c>
      <c r="AE766">
        <f t="shared" si="143"/>
        <v>6</v>
      </c>
      <c r="AF766">
        <f t="shared" si="144"/>
        <v>7</v>
      </c>
      <c r="AG766">
        <f t="shared" si="145"/>
        <v>7</v>
      </c>
      <c r="AH766" s="9" t="str">
        <f t="shared" si="146"/>
        <v/>
      </c>
      <c r="AI766" s="9" t="str">
        <f t="shared" si="147"/>
        <v/>
      </c>
      <c r="AJ766" s="9" t="str">
        <f t="shared" si="148"/>
        <v/>
      </c>
      <c r="AK766" s="9" t="str">
        <f t="shared" si="149"/>
        <v/>
      </c>
      <c r="AL766" s="9" t="str">
        <f t="shared" si="150"/>
        <v/>
      </c>
      <c r="AM766" s="9" t="str">
        <f t="shared" si="151"/>
        <v/>
      </c>
      <c r="AN766" s="9" t="str">
        <f t="shared" si="152"/>
        <v/>
      </c>
      <c r="AO766" s="9" t="str">
        <f t="shared" si="153"/>
        <v/>
      </c>
      <c r="AP766" s="9" t="str">
        <f t="shared" si="154"/>
        <v/>
      </c>
      <c r="AQ766" s="10" t="str">
        <f t="shared" si="155"/>
        <v/>
      </c>
    </row>
    <row r="767" spans="1:43">
      <c r="A767">
        <v>766</v>
      </c>
      <c r="B767" t="s">
        <v>17</v>
      </c>
      <c r="C767" t="s">
        <v>1156</v>
      </c>
      <c r="D767" t="s">
        <v>1157</v>
      </c>
      <c r="E767" t="s">
        <v>97</v>
      </c>
      <c r="G767" t="s">
        <v>18</v>
      </c>
      <c r="H767" s="4">
        <v>17685000</v>
      </c>
      <c r="I767" s="5">
        <v>128</v>
      </c>
      <c r="J767" s="5">
        <v>0</v>
      </c>
      <c r="K767" s="5">
        <v>4</v>
      </c>
      <c r="L767">
        <v>6.6</v>
      </c>
      <c r="M767">
        <v>3.5</v>
      </c>
      <c r="N767">
        <v>3.96</v>
      </c>
      <c r="O767" s="6">
        <v>13.3</v>
      </c>
      <c r="P767" s="7">
        <v>1.6</v>
      </c>
      <c r="U767" t="s">
        <v>84</v>
      </c>
      <c r="V767" t="s">
        <v>375</v>
      </c>
      <c r="W767">
        <v>2.2999999999999998</v>
      </c>
      <c r="X767" t="s">
        <v>84</v>
      </c>
      <c r="Y767" t="s">
        <v>130</v>
      </c>
      <c r="Z767" t="s">
        <v>87</v>
      </c>
      <c r="AA767" t="s">
        <v>114</v>
      </c>
      <c r="AB767" t="s">
        <v>115</v>
      </c>
      <c r="AC767">
        <v>655</v>
      </c>
      <c r="AD767" s="8" t="b">
        <f>AND(
 H767&gt;=Filters!$B$3,
 H767&lt;=Filters!$B$4,
 I767&gt;=Filters!$B$5,
 OR(Filters!$B$6="All",B767=Filters!$B$6),
 F767&gt;=Filters!$B$7,
 F767&lt;=Filters!$B$8,
 OR(Filters!$B$9="All",G767=Filters!$B$9)
)</f>
        <v>0</v>
      </c>
      <c r="AE767">
        <f t="shared" si="143"/>
        <v>6</v>
      </c>
      <c r="AF767">
        <f t="shared" si="144"/>
        <v>7</v>
      </c>
      <c r="AG767">
        <f t="shared" si="145"/>
        <v>7</v>
      </c>
      <c r="AH767" s="9" t="str">
        <f t="shared" si="146"/>
        <v/>
      </c>
      <c r="AI767" s="9" t="str">
        <f t="shared" si="147"/>
        <v/>
      </c>
      <c r="AJ767" s="9" t="str">
        <f t="shared" si="148"/>
        <v/>
      </c>
      <c r="AK767" s="9" t="str">
        <f t="shared" si="149"/>
        <v/>
      </c>
      <c r="AL767" s="9" t="str">
        <f t="shared" si="150"/>
        <v/>
      </c>
      <c r="AM767" s="9" t="str">
        <f t="shared" si="151"/>
        <v/>
      </c>
      <c r="AN767" s="9" t="str">
        <f t="shared" si="152"/>
        <v/>
      </c>
      <c r="AO767" s="9" t="str">
        <f t="shared" si="153"/>
        <v/>
      </c>
      <c r="AP767" s="9" t="str">
        <f t="shared" si="154"/>
        <v/>
      </c>
      <c r="AQ767" s="10" t="str">
        <f t="shared" si="155"/>
        <v/>
      </c>
    </row>
    <row r="768" spans="1:43">
      <c r="A768">
        <v>767</v>
      </c>
      <c r="B768" t="s">
        <v>21</v>
      </c>
      <c r="C768" t="s">
        <v>1158</v>
      </c>
      <c r="D768" t="s">
        <v>1159</v>
      </c>
      <c r="E768" t="s">
        <v>97</v>
      </c>
      <c r="G768" t="s">
        <v>18</v>
      </c>
      <c r="H768" s="4">
        <v>12699180</v>
      </c>
      <c r="I768" s="5">
        <v>0</v>
      </c>
      <c r="J768" s="5">
        <v>1024</v>
      </c>
      <c r="K768" s="5">
        <v>4</v>
      </c>
      <c r="L768">
        <v>1.2</v>
      </c>
      <c r="M768">
        <v>6.5</v>
      </c>
      <c r="N768">
        <v>3.83</v>
      </c>
      <c r="O768" s="6">
        <v>17.3</v>
      </c>
      <c r="P768" s="7">
        <v>2.8</v>
      </c>
      <c r="U768" t="s">
        <v>84</v>
      </c>
      <c r="V768" t="s">
        <v>229</v>
      </c>
      <c r="W768">
        <v>1.1000000000000001</v>
      </c>
      <c r="X768" t="s">
        <v>122</v>
      </c>
      <c r="Y768" t="s">
        <v>230</v>
      </c>
      <c r="Z768" t="s">
        <v>146</v>
      </c>
      <c r="AA768" t="s">
        <v>114</v>
      </c>
      <c r="AB768" t="s">
        <v>115</v>
      </c>
      <c r="AC768">
        <v>470.34</v>
      </c>
      <c r="AD768" s="8" t="b">
        <f>AND(
 H768&gt;=Filters!$B$3,
 H768&lt;=Filters!$B$4,
 I768&gt;=Filters!$B$5,
 OR(Filters!$B$6="All",B768=Filters!$B$6),
 F768&gt;=Filters!$B$7,
 F768&lt;=Filters!$B$8,
 OR(Filters!$B$9="All",G768=Filters!$B$9)
)</f>
        <v>0</v>
      </c>
      <c r="AE768">
        <f t="shared" si="143"/>
        <v>6</v>
      </c>
      <c r="AF768">
        <f t="shared" si="144"/>
        <v>7</v>
      </c>
      <c r="AG768">
        <f t="shared" si="145"/>
        <v>7</v>
      </c>
      <c r="AH768" s="9" t="str">
        <f t="shared" si="146"/>
        <v/>
      </c>
      <c r="AI768" s="9" t="str">
        <f t="shared" si="147"/>
        <v/>
      </c>
      <c r="AJ768" s="9" t="str">
        <f t="shared" si="148"/>
        <v/>
      </c>
      <c r="AK768" s="9" t="str">
        <f t="shared" si="149"/>
        <v/>
      </c>
      <c r="AL768" s="9" t="str">
        <f t="shared" si="150"/>
        <v/>
      </c>
      <c r="AM768" s="9" t="str">
        <f t="shared" si="151"/>
        <v/>
      </c>
      <c r="AN768" s="9" t="str">
        <f t="shared" si="152"/>
        <v/>
      </c>
      <c r="AO768" s="9" t="str">
        <f t="shared" si="153"/>
        <v/>
      </c>
      <c r="AP768" s="9" t="str">
        <f t="shared" si="154"/>
        <v/>
      </c>
      <c r="AQ768" s="10" t="str">
        <f t="shared" si="155"/>
        <v/>
      </c>
    </row>
    <row r="769" spans="1:43">
      <c r="A769">
        <v>768</v>
      </c>
      <c r="B769" t="s">
        <v>23</v>
      </c>
      <c r="C769" t="s">
        <v>973</v>
      </c>
      <c r="D769" t="s">
        <v>974</v>
      </c>
      <c r="E769" t="s">
        <v>158</v>
      </c>
      <c r="G769" t="s">
        <v>18</v>
      </c>
      <c r="H769" s="4">
        <v>29673000</v>
      </c>
      <c r="I769" s="5">
        <v>128</v>
      </c>
      <c r="J769" s="5">
        <v>1024</v>
      </c>
      <c r="K769" s="5">
        <v>16</v>
      </c>
      <c r="L769">
        <v>9.1999999999999993</v>
      </c>
      <c r="M769">
        <v>9.1999999999999993</v>
      </c>
      <c r="N769">
        <v>10</v>
      </c>
      <c r="O769" s="6">
        <v>15.6</v>
      </c>
      <c r="P769" s="7">
        <v>2.72</v>
      </c>
      <c r="U769" t="s">
        <v>84</v>
      </c>
      <c r="V769" t="s">
        <v>808</v>
      </c>
      <c r="W769">
        <v>2.6</v>
      </c>
      <c r="X769" t="s">
        <v>122</v>
      </c>
      <c r="Y769" t="s">
        <v>874</v>
      </c>
      <c r="Z769" t="s">
        <v>161</v>
      </c>
      <c r="AA769" t="s">
        <v>1160</v>
      </c>
      <c r="AB769" t="s">
        <v>115</v>
      </c>
      <c r="AC769">
        <v>1099</v>
      </c>
      <c r="AD769" s="8" t="b">
        <f>AND(
 H769&gt;=Filters!$B$3,
 H769&lt;=Filters!$B$4,
 I769&gt;=Filters!$B$5,
 OR(Filters!$B$6="All",B769=Filters!$B$6),
 F769&gt;=Filters!$B$7,
 F769&lt;=Filters!$B$8,
 OR(Filters!$B$9="All",G769=Filters!$B$9)
)</f>
        <v>0</v>
      </c>
      <c r="AE769">
        <f t="shared" si="143"/>
        <v>6</v>
      </c>
      <c r="AF769">
        <f t="shared" si="144"/>
        <v>7</v>
      </c>
      <c r="AG769">
        <f t="shared" si="145"/>
        <v>7</v>
      </c>
      <c r="AH769" s="9" t="str">
        <f t="shared" si="146"/>
        <v/>
      </c>
      <c r="AI769" s="9" t="str">
        <f t="shared" si="147"/>
        <v/>
      </c>
      <c r="AJ769" s="9" t="str">
        <f t="shared" si="148"/>
        <v/>
      </c>
      <c r="AK769" s="9" t="str">
        <f t="shared" si="149"/>
        <v/>
      </c>
      <c r="AL769" s="9" t="str">
        <f t="shared" si="150"/>
        <v/>
      </c>
      <c r="AM769" s="9" t="str">
        <f t="shared" si="151"/>
        <v/>
      </c>
      <c r="AN769" s="9" t="str">
        <f t="shared" si="152"/>
        <v/>
      </c>
      <c r="AO769" s="9" t="str">
        <f t="shared" si="153"/>
        <v/>
      </c>
      <c r="AP769" s="9" t="str">
        <f t="shared" si="154"/>
        <v/>
      </c>
      <c r="AQ769" s="10" t="str">
        <f t="shared" si="155"/>
        <v/>
      </c>
    </row>
    <row r="770" spans="1:43">
      <c r="A770">
        <v>769</v>
      </c>
      <c r="B770" t="s">
        <v>34</v>
      </c>
      <c r="C770" t="s">
        <v>1131</v>
      </c>
      <c r="D770" t="s">
        <v>1132</v>
      </c>
      <c r="E770" t="s">
        <v>83</v>
      </c>
      <c r="G770" t="s">
        <v>18</v>
      </c>
      <c r="H770" s="4">
        <v>43173000</v>
      </c>
      <c r="I770" s="5">
        <v>256</v>
      </c>
      <c r="J770" s="5">
        <v>0</v>
      </c>
      <c r="K770" s="5">
        <v>8</v>
      </c>
      <c r="L770">
        <v>9.4</v>
      </c>
      <c r="M770">
        <v>3.5</v>
      </c>
      <c r="N770">
        <v>6.26</v>
      </c>
      <c r="O770" s="6">
        <v>13.3</v>
      </c>
      <c r="P770" s="7">
        <v>1.31</v>
      </c>
      <c r="U770" t="s">
        <v>84</v>
      </c>
      <c r="V770" t="s">
        <v>140</v>
      </c>
      <c r="W770">
        <v>2.7</v>
      </c>
      <c r="X770" t="s">
        <v>84</v>
      </c>
      <c r="Y770" t="s">
        <v>99</v>
      </c>
      <c r="Z770" t="s">
        <v>100</v>
      </c>
      <c r="AA770" t="s">
        <v>169</v>
      </c>
      <c r="AB770" t="s">
        <v>115</v>
      </c>
      <c r="AC770">
        <v>1599</v>
      </c>
      <c r="AD770" s="8" t="b">
        <f>AND(
 H770&gt;=Filters!$B$3,
 H770&lt;=Filters!$B$4,
 I770&gt;=Filters!$B$5,
 OR(Filters!$B$6="All",B770=Filters!$B$6),
 F770&gt;=Filters!$B$7,
 F770&lt;=Filters!$B$8,
 OR(Filters!$B$9="All",G770=Filters!$B$9)
)</f>
        <v>0</v>
      </c>
      <c r="AE770">
        <f t="shared" ref="AE770:AE833" si="156">IF(Q770="",6,Q770)</f>
        <v>6</v>
      </c>
      <c r="AF770">
        <f t="shared" ref="AF770:AF833" si="157">IF(R770="",7,R770)</f>
        <v>7</v>
      </c>
      <c r="AG770">
        <f t="shared" ref="AG770:AG833" si="158">IF(S770="",7,S770)</f>
        <v>7</v>
      </c>
      <c r="AH770" s="9" t="str">
        <f t="shared" ref="AH770:AH833" si="159">IF(AD770,IF(CPU_MAX=CPU_MIN,1,(L770-CPU_MIN)/(CPU_MAX-CPU_MIN)),"")</f>
        <v/>
      </c>
      <c r="AI770" s="9" t="str">
        <f t="shared" ref="AI770:AI833" si="160">IF(AD770,IF(RAM_MAX=RAM_MIN,1,(K770-RAM_MIN)/(RAM_MAX-RAM_MIN)),"")</f>
        <v/>
      </c>
      <c r="AJ770" s="9" t="str">
        <f t="shared" ref="AJ770:AJ833" si="161">IF(AD770,IF(GPU_MAX=GPU_MIN,1,(M770-GPU_MIN)/(GPU_MAX-GPU_MIN)),"")</f>
        <v/>
      </c>
      <c r="AK770" s="9" t="str">
        <f t="shared" ref="AK770:AK833" si="162">IF(AD770,IF(SCREEN_MAX=SCREEN_MIN,1,(N770-SCREEN_MIN)/(SCREEN_MAX-SCREEN_MIN)),"")</f>
        <v/>
      </c>
      <c r="AL770" s="9" t="str">
        <f t="shared" ref="AL770:AL833" si="163">IF(AD770,IF(WEIGHT_MAX=WEIGHT_MIN,1,(WEIGHT_MAX-P770)/(WEIGHT_MAX-WEIGHT_MIN)),"")</f>
        <v/>
      </c>
      <c r="AM770" s="9" t="str">
        <f t="shared" ref="AM770:AM833" si="164">IF(AD770,IF(BATTERY_MAX=BATTERY_MIN,1,(AE770-BATTERY_MIN)/(BATTERY_MAX-BATTERY_MIN)),"")</f>
        <v/>
      </c>
      <c r="AN770" s="9" t="str">
        <f t="shared" ref="AN770:AN833" si="165">IF(AD770,IF(DURABILITY_MAX=DURABILITY_MIN,1,(AF770-DURABILITY_MIN)/(DURABILITY_MAX-DURABILITY_MIN)),"")</f>
        <v/>
      </c>
      <c r="AO770" s="9" t="str">
        <f t="shared" ref="AO770:AO833" si="166">IF(AD770,IF(UPGRADE_MAX=UPGRADE_MIN,1,(AG770-UPGRADE_MIN)/(UPGRADE_MAX-UPGRADE_MIN)),"")</f>
        <v/>
      </c>
      <c r="AP770" s="9" t="str">
        <f t="shared" ref="AP770:AP833" si="167">IF(AD770,W_CPU*AH770+W_RAM*AI770+W_GPU*AJ770+W_SCREEN*AK770+W_WEIGHT*AL770+W_BATTERY*AM770+W_DURABILITY*AN770+W_UPGRADE*AO770,"" )</f>
        <v/>
      </c>
      <c r="AQ770" s="10" t="str">
        <f t="shared" ref="AQ770:AQ833" si="168">IF(AP770="","",AP770+ROW()*0.000000001)</f>
        <v/>
      </c>
    </row>
    <row r="771" spans="1:43">
      <c r="A771">
        <v>770</v>
      </c>
      <c r="B771" t="s">
        <v>17</v>
      </c>
      <c r="C771" t="s">
        <v>414</v>
      </c>
      <c r="D771" t="s">
        <v>415</v>
      </c>
      <c r="E771" t="s">
        <v>97</v>
      </c>
      <c r="G771" t="s">
        <v>18</v>
      </c>
      <c r="H771" s="4">
        <v>8046000</v>
      </c>
      <c r="I771" s="5">
        <v>0</v>
      </c>
      <c r="J771" s="5">
        <v>1024</v>
      </c>
      <c r="K771" s="5">
        <v>4</v>
      </c>
      <c r="L771">
        <v>1.2</v>
      </c>
      <c r="M771">
        <v>3.5</v>
      </c>
      <c r="N771">
        <v>3.92</v>
      </c>
      <c r="O771" s="6">
        <v>15.6</v>
      </c>
      <c r="P771" s="7">
        <v>2.1</v>
      </c>
      <c r="U771" t="s">
        <v>84</v>
      </c>
      <c r="V771" t="s">
        <v>229</v>
      </c>
      <c r="W771">
        <v>1.1000000000000001</v>
      </c>
      <c r="X771" t="s">
        <v>84</v>
      </c>
      <c r="Y771" t="s">
        <v>418</v>
      </c>
      <c r="Z771" t="s">
        <v>146</v>
      </c>
      <c r="AA771" t="s">
        <v>114</v>
      </c>
      <c r="AB771" t="s">
        <v>201</v>
      </c>
      <c r="AC771">
        <v>298</v>
      </c>
      <c r="AD771" s="8" t="b">
        <f>AND(
 H771&gt;=Filters!$B$3,
 H771&lt;=Filters!$B$4,
 I771&gt;=Filters!$B$5,
 OR(Filters!$B$6="All",B771=Filters!$B$6),
 F771&gt;=Filters!$B$7,
 F771&lt;=Filters!$B$8,
 OR(Filters!$B$9="All",G771=Filters!$B$9)
)</f>
        <v>0</v>
      </c>
      <c r="AE771">
        <f t="shared" si="156"/>
        <v>6</v>
      </c>
      <c r="AF771">
        <f t="shared" si="157"/>
        <v>7</v>
      </c>
      <c r="AG771">
        <f t="shared" si="158"/>
        <v>7</v>
      </c>
      <c r="AH771" s="9" t="str">
        <f t="shared" si="159"/>
        <v/>
      </c>
      <c r="AI771" s="9" t="str">
        <f t="shared" si="160"/>
        <v/>
      </c>
      <c r="AJ771" s="9" t="str">
        <f t="shared" si="161"/>
        <v/>
      </c>
      <c r="AK771" s="9" t="str">
        <f t="shared" si="162"/>
        <v/>
      </c>
      <c r="AL771" s="9" t="str">
        <f t="shared" si="163"/>
        <v/>
      </c>
      <c r="AM771" s="9" t="str">
        <f t="shared" si="164"/>
        <v/>
      </c>
      <c r="AN771" s="9" t="str">
        <f t="shared" si="165"/>
        <v/>
      </c>
      <c r="AO771" s="9" t="str">
        <f t="shared" si="166"/>
        <v/>
      </c>
      <c r="AP771" s="9" t="str">
        <f t="shared" si="167"/>
        <v/>
      </c>
      <c r="AQ771" s="10" t="str">
        <f t="shared" si="168"/>
        <v/>
      </c>
    </row>
    <row r="772" spans="1:43">
      <c r="A772">
        <v>771</v>
      </c>
      <c r="B772" t="s">
        <v>23</v>
      </c>
      <c r="C772" t="s">
        <v>356</v>
      </c>
      <c r="D772" t="s">
        <v>357</v>
      </c>
      <c r="E772" t="s">
        <v>97</v>
      </c>
      <c r="G772" t="s">
        <v>18</v>
      </c>
      <c r="H772" s="4">
        <v>31894290</v>
      </c>
      <c r="I772" s="5">
        <v>256</v>
      </c>
      <c r="J772" s="5">
        <v>0</v>
      </c>
      <c r="K772" s="5">
        <v>16</v>
      </c>
      <c r="L772">
        <v>9.4</v>
      </c>
      <c r="M772">
        <v>6.5</v>
      </c>
      <c r="N772">
        <v>5.92</v>
      </c>
      <c r="O772" s="6">
        <v>15.6</v>
      </c>
      <c r="P772" s="7">
        <v>2.2999999999999998</v>
      </c>
      <c r="U772" t="s">
        <v>84</v>
      </c>
      <c r="V772" t="s">
        <v>140</v>
      </c>
      <c r="W772">
        <v>2.7</v>
      </c>
      <c r="X772" t="s">
        <v>104</v>
      </c>
      <c r="Y772" t="s">
        <v>358</v>
      </c>
      <c r="Z772" t="s">
        <v>100</v>
      </c>
      <c r="AA772" t="s">
        <v>101</v>
      </c>
      <c r="AB772" t="s">
        <v>115</v>
      </c>
      <c r="AC772">
        <v>1181.27</v>
      </c>
      <c r="AD772" s="8" t="b">
        <f>AND(
 H772&gt;=Filters!$B$3,
 H772&lt;=Filters!$B$4,
 I772&gt;=Filters!$B$5,
 OR(Filters!$B$6="All",B772=Filters!$B$6),
 F772&gt;=Filters!$B$7,
 F772&lt;=Filters!$B$8,
 OR(Filters!$B$9="All",G772=Filters!$B$9)
)</f>
        <v>0</v>
      </c>
      <c r="AE772">
        <f t="shared" si="156"/>
        <v>6</v>
      </c>
      <c r="AF772">
        <f t="shared" si="157"/>
        <v>7</v>
      </c>
      <c r="AG772">
        <f t="shared" si="158"/>
        <v>7</v>
      </c>
      <c r="AH772" s="9" t="str">
        <f t="shared" si="159"/>
        <v/>
      </c>
      <c r="AI772" s="9" t="str">
        <f t="shared" si="160"/>
        <v/>
      </c>
      <c r="AJ772" s="9" t="str">
        <f t="shared" si="161"/>
        <v/>
      </c>
      <c r="AK772" s="9" t="str">
        <f t="shared" si="162"/>
        <v/>
      </c>
      <c r="AL772" s="9" t="str">
        <f t="shared" si="163"/>
        <v/>
      </c>
      <c r="AM772" s="9" t="str">
        <f t="shared" si="164"/>
        <v/>
      </c>
      <c r="AN772" s="9" t="str">
        <f t="shared" si="165"/>
        <v/>
      </c>
      <c r="AO772" s="9" t="str">
        <f t="shared" si="166"/>
        <v/>
      </c>
      <c r="AP772" s="9" t="str">
        <f t="shared" si="167"/>
        <v/>
      </c>
      <c r="AQ772" s="10" t="str">
        <f t="shared" si="168"/>
        <v/>
      </c>
    </row>
    <row r="773" spans="1:43">
      <c r="A773">
        <v>772</v>
      </c>
      <c r="B773" t="s">
        <v>34</v>
      </c>
      <c r="C773" t="s">
        <v>1161</v>
      </c>
      <c r="D773" t="s">
        <v>1132</v>
      </c>
      <c r="E773" t="s">
        <v>168</v>
      </c>
      <c r="G773" t="s">
        <v>18</v>
      </c>
      <c r="H773" s="4">
        <v>48573000</v>
      </c>
      <c r="I773" s="5">
        <v>256</v>
      </c>
      <c r="J773" s="5">
        <v>0</v>
      </c>
      <c r="K773" s="5">
        <v>16</v>
      </c>
      <c r="L773">
        <v>9.4</v>
      </c>
      <c r="M773">
        <v>6.5</v>
      </c>
      <c r="N773">
        <v>6.25</v>
      </c>
      <c r="O773" s="6">
        <v>15</v>
      </c>
      <c r="P773" s="7">
        <v>1.71</v>
      </c>
      <c r="U773" t="s">
        <v>84</v>
      </c>
      <c r="V773" t="s">
        <v>140</v>
      </c>
      <c r="W773">
        <v>2.7</v>
      </c>
      <c r="X773" t="s">
        <v>104</v>
      </c>
      <c r="Y773" t="s">
        <v>1162</v>
      </c>
      <c r="Z773" t="s">
        <v>100</v>
      </c>
      <c r="AA773" t="s">
        <v>169</v>
      </c>
      <c r="AB773" t="s">
        <v>115</v>
      </c>
      <c r="AC773">
        <v>1799</v>
      </c>
      <c r="AD773" s="8" t="b">
        <f>AND(
 H773&gt;=Filters!$B$3,
 H773&lt;=Filters!$B$4,
 I773&gt;=Filters!$B$5,
 OR(Filters!$B$6="All",B773=Filters!$B$6),
 F773&gt;=Filters!$B$7,
 F773&lt;=Filters!$B$8,
 OR(Filters!$B$9="All",G773=Filters!$B$9)
)</f>
        <v>0</v>
      </c>
      <c r="AE773">
        <f t="shared" si="156"/>
        <v>6</v>
      </c>
      <c r="AF773">
        <f t="shared" si="157"/>
        <v>7</v>
      </c>
      <c r="AG773">
        <f t="shared" si="158"/>
        <v>7</v>
      </c>
      <c r="AH773" s="9" t="str">
        <f t="shared" si="159"/>
        <v/>
      </c>
      <c r="AI773" s="9" t="str">
        <f t="shared" si="160"/>
        <v/>
      </c>
      <c r="AJ773" s="9" t="str">
        <f t="shared" si="161"/>
        <v/>
      </c>
      <c r="AK773" s="9" t="str">
        <f t="shared" si="162"/>
        <v/>
      </c>
      <c r="AL773" s="9" t="str">
        <f t="shared" si="163"/>
        <v/>
      </c>
      <c r="AM773" s="9" t="str">
        <f t="shared" si="164"/>
        <v/>
      </c>
      <c r="AN773" s="9" t="str">
        <f t="shared" si="165"/>
        <v/>
      </c>
      <c r="AO773" s="9" t="str">
        <f t="shared" si="166"/>
        <v/>
      </c>
      <c r="AP773" s="9" t="str">
        <f t="shared" si="167"/>
        <v/>
      </c>
      <c r="AQ773" s="10" t="str">
        <f t="shared" si="168"/>
        <v/>
      </c>
    </row>
    <row r="774" spans="1:43">
      <c r="A774">
        <v>773</v>
      </c>
      <c r="B774" t="s">
        <v>35</v>
      </c>
      <c r="C774" t="s">
        <v>1163</v>
      </c>
      <c r="D774" t="s">
        <v>1164</v>
      </c>
      <c r="E774" t="s">
        <v>97</v>
      </c>
      <c r="G774" t="s">
        <v>18</v>
      </c>
      <c r="H774" s="4">
        <v>27540000</v>
      </c>
      <c r="I774" s="5">
        <v>128</v>
      </c>
      <c r="J774" s="5">
        <v>0</v>
      </c>
      <c r="K774" s="5">
        <v>4</v>
      </c>
      <c r="L774">
        <v>6.6</v>
      </c>
      <c r="M774">
        <v>3.5</v>
      </c>
      <c r="N774">
        <v>4.4000000000000004</v>
      </c>
      <c r="O774" s="6">
        <v>14</v>
      </c>
      <c r="P774" s="7">
        <v>1.75</v>
      </c>
      <c r="U774" t="s">
        <v>84</v>
      </c>
      <c r="V774" t="s">
        <v>375</v>
      </c>
      <c r="W774">
        <v>2.2999999999999998</v>
      </c>
      <c r="X774" t="s">
        <v>84</v>
      </c>
      <c r="Y774" t="s">
        <v>130</v>
      </c>
      <c r="Z774" t="s">
        <v>87</v>
      </c>
      <c r="AA774" t="s">
        <v>338</v>
      </c>
      <c r="AB774" t="s">
        <v>115</v>
      </c>
      <c r="AC774">
        <v>1020</v>
      </c>
      <c r="AD774" s="8" t="b">
        <f>AND(
 H774&gt;=Filters!$B$3,
 H774&lt;=Filters!$B$4,
 I774&gt;=Filters!$B$5,
 OR(Filters!$B$6="All",B774=Filters!$B$6),
 F774&gt;=Filters!$B$7,
 F774&lt;=Filters!$B$8,
 OR(Filters!$B$9="All",G774=Filters!$B$9)
)</f>
        <v>0</v>
      </c>
      <c r="AE774">
        <f t="shared" si="156"/>
        <v>6</v>
      </c>
      <c r="AF774">
        <f t="shared" si="157"/>
        <v>7</v>
      </c>
      <c r="AG774">
        <f t="shared" si="158"/>
        <v>7</v>
      </c>
      <c r="AH774" s="9" t="str">
        <f t="shared" si="159"/>
        <v/>
      </c>
      <c r="AI774" s="9" t="str">
        <f t="shared" si="160"/>
        <v/>
      </c>
      <c r="AJ774" s="9" t="str">
        <f t="shared" si="161"/>
        <v/>
      </c>
      <c r="AK774" s="9" t="str">
        <f t="shared" si="162"/>
        <v/>
      </c>
      <c r="AL774" s="9" t="str">
        <f t="shared" si="163"/>
        <v/>
      </c>
      <c r="AM774" s="9" t="str">
        <f t="shared" si="164"/>
        <v/>
      </c>
      <c r="AN774" s="9" t="str">
        <f t="shared" si="165"/>
        <v/>
      </c>
      <c r="AO774" s="9" t="str">
        <f t="shared" si="166"/>
        <v/>
      </c>
      <c r="AP774" s="9" t="str">
        <f t="shared" si="167"/>
        <v/>
      </c>
      <c r="AQ774" s="10" t="str">
        <f t="shared" si="168"/>
        <v/>
      </c>
    </row>
    <row r="775" spans="1:43">
      <c r="A775">
        <v>774</v>
      </c>
      <c r="B775" t="s">
        <v>23</v>
      </c>
      <c r="C775" t="s">
        <v>391</v>
      </c>
      <c r="D775" t="s">
        <v>392</v>
      </c>
      <c r="E775" t="s">
        <v>158</v>
      </c>
      <c r="G775" t="s">
        <v>18</v>
      </c>
      <c r="H775" s="4">
        <v>29673000</v>
      </c>
      <c r="I775" s="5">
        <v>0</v>
      </c>
      <c r="J775" s="5">
        <v>1024</v>
      </c>
      <c r="K775" s="5">
        <v>8</v>
      </c>
      <c r="L775">
        <v>9.6</v>
      </c>
      <c r="M775">
        <v>9.1999999999999993</v>
      </c>
      <c r="N775">
        <v>5.92</v>
      </c>
      <c r="O775" s="6">
        <v>15.6</v>
      </c>
      <c r="P775" s="7">
        <v>2.62</v>
      </c>
      <c r="U775" t="s">
        <v>84</v>
      </c>
      <c r="V775" t="s">
        <v>210</v>
      </c>
      <c r="W775">
        <v>2.8</v>
      </c>
      <c r="X775" t="s">
        <v>122</v>
      </c>
      <c r="Y775" t="s">
        <v>160</v>
      </c>
      <c r="Z775" t="s">
        <v>146</v>
      </c>
      <c r="AA775" t="s">
        <v>101</v>
      </c>
      <c r="AB775" t="s">
        <v>115</v>
      </c>
      <c r="AC775">
        <v>1099</v>
      </c>
      <c r="AD775" s="8" t="b">
        <f>AND(
 H775&gt;=Filters!$B$3,
 H775&lt;=Filters!$B$4,
 I775&gt;=Filters!$B$5,
 OR(Filters!$B$6="All",B775=Filters!$B$6),
 F775&gt;=Filters!$B$7,
 F775&lt;=Filters!$B$8,
 OR(Filters!$B$9="All",G775=Filters!$B$9)
)</f>
        <v>0</v>
      </c>
      <c r="AE775">
        <f t="shared" si="156"/>
        <v>6</v>
      </c>
      <c r="AF775">
        <f t="shared" si="157"/>
        <v>7</v>
      </c>
      <c r="AG775">
        <f t="shared" si="158"/>
        <v>7</v>
      </c>
      <c r="AH775" s="9" t="str">
        <f t="shared" si="159"/>
        <v/>
      </c>
      <c r="AI775" s="9" t="str">
        <f t="shared" si="160"/>
        <v/>
      </c>
      <c r="AJ775" s="9" t="str">
        <f t="shared" si="161"/>
        <v/>
      </c>
      <c r="AK775" s="9" t="str">
        <f t="shared" si="162"/>
        <v/>
      </c>
      <c r="AL775" s="9" t="str">
        <f t="shared" si="163"/>
        <v/>
      </c>
      <c r="AM775" s="9" t="str">
        <f t="shared" si="164"/>
        <v/>
      </c>
      <c r="AN775" s="9" t="str">
        <f t="shared" si="165"/>
        <v/>
      </c>
      <c r="AO775" s="9" t="str">
        <f t="shared" si="166"/>
        <v/>
      </c>
      <c r="AP775" s="9" t="str">
        <f t="shared" si="167"/>
        <v/>
      </c>
      <c r="AQ775" s="10" t="str">
        <f t="shared" si="168"/>
        <v/>
      </c>
    </row>
    <row r="776" spans="1:43">
      <c r="A776">
        <v>775</v>
      </c>
      <c r="B776" t="s">
        <v>26</v>
      </c>
      <c r="C776" t="s">
        <v>1165</v>
      </c>
      <c r="D776" t="s">
        <v>1166</v>
      </c>
      <c r="E776" t="s">
        <v>83</v>
      </c>
      <c r="G776" t="s">
        <v>18</v>
      </c>
      <c r="H776" s="4">
        <v>33588000</v>
      </c>
      <c r="I776" s="5">
        <v>256</v>
      </c>
      <c r="J776" s="5">
        <v>0</v>
      </c>
      <c r="K776" s="5">
        <v>4</v>
      </c>
      <c r="L776">
        <v>6.6</v>
      </c>
      <c r="M776">
        <v>3.5</v>
      </c>
      <c r="N776">
        <v>3.92</v>
      </c>
      <c r="O776" s="6">
        <v>12.5</v>
      </c>
      <c r="P776" s="7">
        <v>1.26</v>
      </c>
      <c r="U776" t="s">
        <v>84</v>
      </c>
      <c r="V776" t="s">
        <v>375</v>
      </c>
      <c r="W776">
        <v>2.2999999999999998</v>
      </c>
      <c r="X776" t="s">
        <v>84</v>
      </c>
      <c r="Y776" t="s">
        <v>130</v>
      </c>
      <c r="Z776" t="s">
        <v>100</v>
      </c>
      <c r="AA776" t="s">
        <v>114</v>
      </c>
      <c r="AB776" t="s">
        <v>115</v>
      </c>
      <c r="AC776">
        <v>1244</v>
      </c>
      <c r="AD776" s="8" t="b">
        <f>AND(
 H776&gt;=Filters!$B$3,
 H776&lt;=Filters!$B$4,
 I776&gt;=Filters!$B$5,
 OR(Filters!$B$6="All",B776=Filters!$B$6),
 F776&gt;=Filters!$B$7,
 F776&lt;=Filters!$B$8,
 OR(Filters!$B$9="All",G776=Filters!$B$9)
)</f>
        <v>0</v>
      </c>
      <c r="AE776">
        <f t="shared" si="156"/>
        <v>6</v>
      </c>
      <c r="AF776">
        <f t="shared" si="157"/>
        <v>7</v>
      </c>
      <c r="AG776">
        <f t="shared" si="158"/>
        <v>7</v>
      </c>
      <c r="AH776" s="9" t="str">
        <f t="shared" si="159"/>
        <v/>
      </c>
      <c r="AI776" s="9" t="str">
        <f t="shared" si="160"/>
        <v/>
      </c>
      <c r="AJ776" s="9" t="str">
        <f t="shared" si="161"/>
        <v/>
      </c>
      <c r="AK776" s="9" t="str">
        <f t="shared" si="162"/>
        <v/>
      </c>
      <c r="AL776" s="9" t="str">
        <f t="shared" si="163"/>
        <v/>
      </c>
      <c r="AM776" s="9" t="str">
        <f t="shared" si="164"/>
        <v/>
      </c>
      <c r="AN776" s="9" t="str">
        <f t="shared" si="165"/>
        <v/>
      </c>
      <c r="AO776" s="9" t="str">
        <f t="shared" si="166"/>
        <v/>
      </c>
      <c r="AP776" s="9" t="str">
        <f t="shared" si="167"/>
        <v/>
      </c>
      <c r="AQ776" s="10" t="str">
        <f t="shared" si="168"/>
        <v/>
      </c>
    </row>
    <row r="777" spans="1:43">
      <c r="A777">
        <v>776</v>
      </c>
      <c r="B777" t="s">
        <v>21</v>
      </c>
      <c r="C777" t="s">
        <v>1167</v>
      </c>
      <c r="D777" t="s">
        <v>1168</v>
      </c>
      <c r="E777" t="s">
        <v>168</v>
      </c>
      <c r="G777" t="s">
        <v>18</v>
      </c>
      <c r="H777" s="4">
        <v>22653000</v>
      </c>
      <c r="I777" s="5">
        <v>0</v>
      </c>
      <c r="J777" s="5">
        <v>2048</v>
      </c>
      <c r="K777" s="5">
        <v>12</v>
      </c>
      <c r="L777">
        <v>9.4</v>
      </c>
      <c r="M777">
        <v>6.5</v>
      </c>
      <c r="N777">
        <v>6.22</v>
      </c>
      <c r="O777" s="6">
        <v>15.6</v>
      </c>
      <c r="P777" s="7">
        <v>2.2999999999999998</v>
      </c>
      <c r="U777" t="s">
        <v>84</v>
      </c>
      <c r="V777" t="s">
        <v>140</v>
      </c>
      <c r="W777">
        <v>2.7</v>
      </c>
      <c r="X777" t="s">
        <v>122</v>
      </c>
      <c r="Y777" t="s">
        <v>145</v>
      </c>
      <c r="Z777" t="s">
        <v>283</v>
      </c>
      <c r="AA777" t="s">
        <v>169</v>
      </c>
      <c r="AB777" t="s">
        <v>115</v>
      </c>
      <c r="AC777">
        <v>839</v>
      </c>
      <c r="AD777" s="8" t="b">
        <f>AND(
 H777&gt;=Filters!$B$3,
 H777&lt;=Filters!$B$4,
 I777&gt;=Filters!$B$5,
 OR(Filters!$B$6="All",B777=Filters!$B$6),
 F777&gt;=Filters!$B$7,
 F777&lt;=Filters!$B$8,
 OR(Filters!$B$9="All",G777=Filters!$B$9)
)</f>
        <v>0</v>
      </c>
      <c r="AE777">
        <f t="shared" si="156"/>
        <v>6</v>
      </c>
      <c r="AF777">
        <f t="shared" si="157"/>
        <v>7</v>
      </c>
      <c r="AG777">
        <f t="shared" si="158"/>
        <v>7</v>
      </c>
      <c r="AH777" s="9" t="str">
        <f t="shared" si="159"/>
        <v/>
      </c>
      <c r="AI777" s="9" t="str">
        <f t="shared" si="160"/>
        <v/>
      </c>
      <c r="AJ777" s="9" t="str">
        <f t="shared" si="161"/>
        <v/>
      </c>
      <c r="AK777" s="9" t="str">
        <f t="shared" si="162"/>
        <v/>
      </c>
      <c r="AL777" s="9" t="str">
        <f t="shared" si="163"/>
        <v/>
      </c>
      <c r="AM777" s="9" t="str">
        <f t="shared" si="164"/>
        <v/>
      </c>
      <c r="AN777" s="9" t="str">
        <f t="shared" si="165"/>
        <v/>
      </c>
      <c r="AO777" s="9" t="str">
        <f t="shared" si="166"/>
        <v/>
      </c>
      <c r="AP777" s="9" t="str">
        <f t="shared" si="167"/>
        <v/>
      </c>
      <c r="AQ777" s="10" t="str">
        <f t="shared" si="168"/>
        <v/>
      </c>
    </row>
    <row r="778" spans="1:43">
      <c r="A778">
        <v>777</v>
      </c>
      <c r="B778" t="s">
        <v>29</v>
      </c>
      <c r="C778" t="s">
        <v>1169</v>
      </c>
      <c r="D778" t="s">
        <v>1170</v>
      </c>
      <c r="E778" t="s">
        <v>97</v>
      </c>
      <c r="G778" t="s">
        <v>18</v>
      </c>
      <c r="H778" s="4">
        <v>63990000</v>
      </c>
      <c r="I778" s="5">
        <v>512</v>
      </c>
      <c r="J778" s="5">
        <v>0</v>
      </c>
      <c r="K778" s="5">
        <v>16</v>
      </c>
      <c r="L778">
        <v>9.4</v>
      </c>
      <c r="M778">
        <v>8</v>
      </c>
      <c r="N778">
        <v>9.42</v>
      </c>
      <c r="O778" s="6">
        <v>15.6</v>
      </c>
      <c r="P778" s="7">
        <v>2.5</v>
      </c>
      <c r="U778" t="s">
        <v>84</v>
      </c>
      <c r="V778" t="s">
        <v>693</v>
      </c>
      <c r="W778">
        <v>2.7</v>
      </c>
      <c r="X778" t="s">
        <v>122</v>
      </c>
      <c r="Y778" t="s">
        <v>1136</v>
      </c>
      <c r="Z778" t="s">
        <v>106</v>
      </c>
      <c r="AA778" t="s">
        <v>471</v>
      </c>
      <c r="AB778" t="s">
        <v>869</v>
      </c>
      <c r="AC778">
        <v>2370</v>
      </c>
      <c r="AD778" s="8" t="b">
        <f>AND(
 H778&gt;=Filters!$B$3,
 H778&lt;=Filters!$B$4,
 I778&gt;=Filters!$B$5,
 OR(Filters!$B$6="All",B778=Filters!$B$6),
 F778&gt;=Filters!$B$7,
 F778&lt;=Filters!$B$8,
 OR(Filters!$B$9="All",G778=Filters!$B$9)
)</f>
        <v>0</v>
      </c>
      <c r="AE778">
        <f t="shared" si="156"/>
        <v>6</v>
      </c>
      <c r="AF778">
        <f t="shared" si="157"/>
        <v>7</v>
      </c>
      <c r="AG778">
        <f t="shared" si="158"/>
        <v>7</v>
      </c>
      <c r="AH778" s="9" t="str">
        <f t="shared" si="159"/>
        <v/>
      </c>
      <c r="AI778" s="9" t="str">
        <f t="shared" si="160"/>
        <v/>
      </c>
      <c r="AJ778" s="9" t="str">
        <f t="shared" si="161"/>
        <v/>
      </c>
      <c r="AK778" s="9" t="str">
        <f t="shared" si="162"/>
        <v/>
      </c>
      <c r="AL778" s="9" t="str">
        <f t="shared" si="163"/>
        <v/>
      </c>
      <c r="AM778" s="9" t="str">
        <f t="shared" si="164"/>
        <v/>
      </c>
      <c r="AN778" s="9" t="str">
        <f t="shared" si="165"/>
        <v/>
      </c>
      <c r="AO778" s="9" t="str">
        <f t="shared" si="166"/>
        <v/>
      </c>
      <c r="AP778" s="9" t="str">
        <f t="shared" si="167"/>
        <v/>
      </c>
      <c r="AQ778" s="10" t="str">
        <f t="shared" si="168"/>
        <v/>
      </c>
    </row>
    <row r="779" spans="1:43">
      <c r="A779">
        <v>778</v>
      </c>
      <c r="B779" t="s">
        <v>17</v>
      </c>
      <c r="C779" t="s">
        <v>1171</v>
      </c>
      <c r="D779" t="s">
        <v>125</v>
      </c>
      <c r="E779" t="s">
        <v>97</v>
      </c>
      <c r="G779" t="s">
        <v>18</v>
      </c>
      <c r="H779" s="4">
        <v>17172000</v>
      </c>
      <c r="I779" s="5">
        <v>128</v>
      </c>
      <c r="J779" s="5">
        <v>0</v>
      </c>
      <c r="K779" s="5">
        <v>4</v>
      </c>
      <c r="L779">
        <v>4.8</v>
      </c>
      <c r="M779">
        <v>3.5</v>
      </c>
      <c r="N779">
        <v>6.4</v>
      </c>
      <c r="O779" s="6">
        <v>14</v>
      </c>
      <c r="P779" s="7">
        <v>1.8</v>
      </c>
      <c r="U779" t="s">
        <v>84</v>
      </c>
      <c r="V779" t="s">
        <v>144</v>
      </c>
      <c r="W779">
        <v>2.4</v>
      </c>
      <c r="X779" t="s">
        <v>84</v>
      </c>
      <c r="Y779" t="s">
        <v>99</v>
      </c>
      <c r="Z779" t="s">
        <v>87</v>
      </c>
      <c r="AA779" t="s">
        <v>128</v>
      </c>
      <c r="AB779" t="s">
        <v>115</v>
      </c>
      <c r="AC779">
        <v>636</v>
      </c>
      <c r="AD779" s="8" t="b">
        <f>AND(
 H779&gt;=Filters!$B$3,
 H779&lt;=Filters!$B$4,
 I779&gt;=Filters!$B$5,
 OR(Filters!$B$6="All",B779=Filters!$B$6),
 F779&gt;=Filters!$B$7,
 F779&lt;=Filters!$B$8,
 OR(Filters!$B$9="All",G779=Filters!$B$9)
)</f>
        <v>0</v>
      </c>
      <c r="AE779">
        <f t="shared" si="156"/>
        <v>6</v>
      </c>
      <c r="AF779">
        <f t="shared" si="157"/>
        <v>7</v>
      </c>
      <c r="AG779">
        <f t="shared" si="158"/>
        <v>7</v>
      </c>
      <c r="AH779" s="9" t="str">
        <f t="shared" si="159"/>
        <v/>
      </c>
      <c r="AI779" s="9" t="str">
        <f t="shared" si="160"/>
        <v/>
      </c>
      <c r="AJ779" s="9" t="str">
        <f t="shared" si="161"/>
        <v/>
      </c>
      <c r="AK779" s="9" t="str">
        <f t="shared" si="162"/>
        <v/>
      </c>
      <c r="AL779" s="9" t="str">
        <f t="shared" si="163"/>
        <v/>
      </c>
      <c r="AM779" s="9" t="str">
        <f t="shared" si="164"/>
        <v/>
      </c>
      <c r="AN779" s="9" t="str">
        <f t="shared" si="165"/>
        <v/>
      </c>
      <c r="AO779" s="9" t="str">
        <f t="shared" si="166"/>
        <v/>
      </c>
      <c r="AP779" s="9" t="str">
        <f t="shared" si="167"/>
        <v/>
      </c>
      <c r="AQ779" s="10" t="str">
        <f t="shared" si="168"/>
        <v/>
      </c>
    </row>
    <row r="780" spans="1:43">
      <c r="A780">
        <v>779</v>
      </c>
      <c r="B780" t="s">
        <v>33</v>
      </c>
      <c r="C780" t="s">
        <v>453</v>
      </c>
      <c r="D780" t="s">
        <v>454</v>
      </c>
      <c r="E780" t="s">
        <v>158</v>
      </c>
      <c r="G780" t="s">
        <v>18</v>
      </c>
      <c r="H780" s="4">
        <v>78273000</v>
      </c>
      <c r="I780" s="5">
        <v>512</v>
      </c>
      <c r="J780" s="5">
        <v>0</v>
      </c>
      <c r="K780" s="5">
        <v>16</v>
      </c>
      <c r="L780">
        <v>9.6</v>
      </c>
      <c r="M780">
        <v>9.1999999999999993</v>
      </c>
      <c r="N780">
        <v>6</v>
      </c>
      <c r="O780" s="6">
        <v>14</v>
      </c>
      <c r="P780" s="7">
        <v>1.95</v>
      </c>
      <c r="U780" t="s">
        <v>84</v>
      </c>
      <c r="V780" t="s">
        <v>210</v>
      </c>
      <c r="W780">
        <v>2.8</v>
      </c>
      <c r="X780" t="s">
        <v>122</v>
      </c>
      <c r="Y780" t="s">
        <v>211</v>
      </c>
      <c r="Z780" t="s">
        <v>106</v>
      </c>
      <c r="AA780" t="s">
        <v>101</v>
      </c>
      <c r="AB780" t="s">
        <v>115</v>
      </c>
      <c r="AC780">
        <v>2899</v>
      </c>
      <c r="AD780" s="8" t="b">
        <f>AND(
 H780&gt;=Filters!$B$3,
 H780&lt;=Filters!$B$4,
 I780&gt;=Filters!$B$5,
 OR(Filters!$B$6="All",B780=Filters!$B$6),
 F780&gt;=Filters!$B$7,
 F780&lt;=Filters!$B$8,
 OR(Filters!$B$9="All",G780=Filters!$B$9)
)</f>
        <v>0</v>
      </c>
      <c r="AE780">
        <f t="shared" si="156"/>
        <v>6</v>
      </c>
      <c r="AF780">
        <f t="shared" si="157"/>
        <v>7</v>
      </c>
      <c r="AG780">
        <f t="shared" si="158"/>
        <v>7</v>
      </c>
      <c r="AH780" s="9" t="str">
        <f t="shared" si="159"/>
        <v/>
      </c>
      <c r="AI780" s="9" t="str">
        <f t="shared" si="160"/>
        <v/>
      </c>
      <c r="AJ780" s="9" t="str">
        <f t="shared" si="161"/>
        <v/>
      </c>
      <c r="AK780" s="9" t="str">
        <f t="shared" si="162"/>
        <v/>
      </c>
      <c r="AL780" s="9" t="str">
        <f t="shared" si="163"/>
        <v/>
      </c>
      <c r="AM780" s="9" t="str">
        <f t="shared" si="164"/>
        <v/>
      </c>
      <c r="AN780" s="9" t="str">
        <f t="shared" si="165"/>
        <v/>
      </c>
      <c r="AO780" s="9" t="str">
        <f t="shared" si="166"/>
        <v/>
      </c>
      <c r="AP780" s="9" t="str">
        <f t="shared" si="167"/>
        <v/>
      </c>
      <c r="AQ780" s="10" t="str">
        <f t="shared" si="168"/>
        <v/>
      </c>
    </row>
    <row r="781" spans="1:43">
      <c r="A781">
        <v>780</v>
      </c>
      <c r="B781" t="s">
        <v>21</v>
      </c>
      <c r="C781" t="s">
        <v>1172</v>
      </c>
      <c r="D781" t="s">
        <v>1173</v>
      </c>
      <c r="E781" t="s">
        <v>97</v>
      </c>
      <c r="G781" t="s">
        <v>18</v>
      </c>
      <c r="H781" s="4">
        <v>15711300</v>
      </c>
      <c r="I781" s="5">
        <v>128</v>
      </c>
      <c r="J781" s="5">
        <v>0</v>
      </c>
      <c r="K781" s="5">
        <v>8</v>
      </c>
      <c r="L781">
        <v>1.2</v>
      </c>
      <c r="M781">
        <v>3.5</v>
      </c>
      <c r="N781">
        <v>5.92</v>
      </c>
      <c r="O781" s="6">
        <v>15.6</v>
      </c>
      <c r="P781" s="7">
        <v>2</v>
      </c>
      <c r="U781" t="s">
        <v>84</v>
      </c>
      <c r="V781" t="s">
        <v>1174</v>
      </c>
      <c r="W781">
        <v>1.1000000000000001</v>
      </c>
      <c r="X781" t="s">
        <v>84</v>
      </c>
      <c r="Y781" t="s">
        <v>418</v>
      </c>
      <c r="Z781" t="s">
        <v>87</v>
      </c>
      <c r="AA781" t="s">
        <v>1029</v>
      </c>
      <c r="AB781" t="s">
        <v>115</v>
      </c>
      <c r="AC781">
        <v>581.9</v>
      </c>
      <c r="AD781" s="8" t="b">
        <f>AND(
 H781&gt;=Filters!$B$3,
 H781&lt;=Filters!$B$4,
 I781&gt;=Filters!$B$5,
 OR(Filters!$B$6="All",B781=Filters!$B$6),
 F781&gt;=Filters!$B$7,
 F781&lt;=Filters!$B$8,
 OR(Filters!$B$9="All",G781=Filters!$B$9)
)</f>
        <v>0</v>
      </c>
      <c r="AE781">
        <f t="shared" si="156"/>
        <v>6</v>
      </c>
      <c r="AF781">
        <f t="shared" si="157"/>
        <v>7</v>
      </c>
      <c r="AG781">
        <f t="shared" si="158"/>
        <v>7</v>
      </c>
      <c r="AH781" s="9" t="str">
        <f t="shared" si="159"/>
        <v/>
      </c>
      <c r="AI781" s="9" t="str">
        <f t="shared" si="160"/>
        <v/>
      </c>
      <c r="AJ781" s="9" t="str">
        <f t="shared" si="161"/>
        <v/>
      </c>
      <c r="AK781" s="9" t="str">
        <f t="shared" si="162"/>
        <v/>
      </c>
      <c r="AL781" s="9" t="str">
        <f t="shared" si="163"/>
        <v/>
      </c>
      <c r="AM781" s="9" t="str">
        <f t="shared" si="164"/>
        <v/>
      </c>
      <c r="AN781" s="9" t="str">
        <f t="shared" si="165"/>
        <v/>
      </c>
      <c r="AO781" s="9" t="str">
        <f t="shared" si="166"/>
        <v/>
      </c>
      <c r="AP781" s="9" t="str">
        <f t="shared" si="167"/>
        <v/>
      </c>
      <c r="AQ781" s="10" t="str">
        <f t="shared" si="168"/>
        <v/>
      </c>
    </row>
    <row r="782" spans="1:43">
      <c r="A782">
        <v>781</v>
      </c>
      <c r="B782" t="s">
        <v>23</v>
      </c>
      <c r="C782" t="s">
        <v>486</v>
      </c>
      <c r="D782" t="s">
        <v>487</v>
      </c>
      <c r="E782" t="s">
        <v>158</v>
      </c>
      <c r="G782" t="s">
        <v>18</v>
      </c>
      <c r="H782" s="4">
        <v>96897600</v>
      </c>
      <c r="I782" s="5">
        <v>1024</v>
      </c>
      <c r="J782" s="5">
        <v>1024</v>
      </c>
      <c r="K782" s="5">
        <v>32</v>
      </c>
      <c r="L782">
        <v>9.6</v>
      </c>
      <c r="M782">
        <v>9.1999999999999993</v>
      </c>
      <c r="N782">
        <v>6.24</v>
      </c>
      <c r="O782" s="6">
        <v>17.3</v>
      </c>
      <c r="P782" s="7">
        <v>4.42</v>
      </c>
      <c r="U782" t="s">
        <v>84</v>
      </c>
      <c r="V782" t="s">
        <v>210</v>
      </c>
      <c r="W782">
        <v>2.8</v>
      </c>
      <c r="X782" t="s">
        <v>122</v>
      </c>
      <c r="Y782" t="s">
        <v>1175</v>
      </c>
      <c r="Z782" t="s">
        <v>1105</v>
      </c>
      <c r="AA782" t="s">
        <v>128</v>
      </c>
      <c r="AB782" t="s">
        <v>115</v>
      </c>
      <c r="AC782">
        <v>3588.8</v>
      </c>
      <c r="AD782" s="8" t="b">
        <f>AND(
 H782&gt;=Filters!$B$3,
 H782&lt;=Filters!$B$4,
 I782&gt;=Filters!$B$5,
 OR(Filters!$B$6="All",B782=Filters!$B$6),
 F782&gt;=Filters!$B$7,
 F782&lt;=Filters!$B$8,
 OR(Filters!$B$9="All",G782=Filters!$B$9)
)</f>
        <v>0</v>
      </c>
      <c r="AE782">
        <f t="shared" si="156"/>
        <v>6</v>
      </c>
      <c r="AF782">
        <f t="shared" si="157"/>
        <v>7</v>
      </c>
      <c r="AG782">
        <f t="shared" si="158"/>
        <v>7</v>
      </c>
      <c r="AH782" s="9" t="str">
        <f t="shared" si="159"/>
        <v/>
      </c>
      <c r="AI782" s="9" t="str">
        <f t="shared" si="160"/>
        <v/>
      </c>
      <c r="AJ782" s="9" t="str">
        <f t="shared" si="161"/>
        <v/>
      </c>
      <c r="AK782" s="9" t="str">
        <f t="shared" si="162"/>
        <v/>
      </c>
      <c r="AL782" s="9" t="str">
        <f t="shared" si="163"/>
        <v/>
      </c>
      <c r="AM782" s="9" t="str">
        <f t="shared" si="164"/>
        <v/>
      </c>
      <c r="AN782" s="9" t="str">
        <f t="shared" si="165"/>
        <v/>
      </c>
      <c r="AO782" s="9" t="str">
        <f t="shared" si="166"/>
        <v/>
      </c>
      <c r="AP782" s="9" t="str">
        <f t="shared" si="167"/>
        <v/>
      </c>
      <c r="AQ782" s="10" t="str">
        <f t="shared" si="168"/>
        <v/>
      </c>
    </row>
    <row r="783" spans="1:43">
      <c r="A783">
        <v>782</v>
      </c>
      <c r="B783" t="s">
        <v>21</v>
      </c>
      <c r="C783" t="s">
        <v>1176</v>
      </c>
      <c r="D783" t="s">
        <v>1177</v>
      </c>
      <c r="E783" t="s">
        <v>158</v>
      </c>
      <c r="G783" t="s">
        <v>18</v>
      </c>
      <c r="H783" s="4">
        <v>63450000</v>
      </c>
      <c r="I783" s="5">
        <v>256</v>
      </c>
      <c r="J783" s="5">
        <v>1024</v>
      </c>
      <c r="K783" s="5">
        <v>16</v>
      </c>
      <c r="L783">
        <v>9.1999999999999993</v>
      </c>
      <c r="M783">
        <v>9.1999999999999993</v>
      </c>
      <c r="N783">
        <v>6.24</v>
      </c>
      <c r="O783" s="6">
        <v>17.3</v>
      </c>
      <c r="P783" s="7">
        <v>4.3</v>
      </c>
      <c r="U783" t="s">
        <v>84</v>
      </c>
      <c r="V783" t="s">
        <v>808</v>
      </c>
      <c r="W783">
        <v>2.6</v>
      </c>
      <c r="X783" t="s">
        <v>122</v>
      </c>
      <c r="Y783" t="s">
        <v>248</v>
      </c>
      <c r="Z783" t="s">
        <v>212</v>
      </c>
      <c r="AA783" t="s">
        <v>128</v>
      </c>
      <c r="AB783" t="s">
        <v>115</v>
      </c>
      <c r="AC783">
        <v>2350</v>
      </c>
      <c r="AD783" s="8" t="b">
        <f>AND(
 H783&gt;=Filters!$B$3,
 H783&lt;=Filters!$B$4,
 I783&gt;=Filters!$B$5,
 OR(Filters!$B$6="All",B783=Filters!$B$6),
 F783&gt;=Filters!$B$7,
 F783&lt;=Filters!$B$8,
 OR(Filters!$B$9="All",G783=Filters!$B$9)
)</f>
        <v>0</v>
      </c>
      <c r="AE783">
        <f t="shared" si="156"/>
        <v>6</v>
      </c>
      <c r="AF783">
        <f t="shared" si="157"/>
        <v>7</v>
      </c>
      <c r="AG783">
        <f t="shared" si="158"/>
        <v>7</v>
      </c>
      <c r="AH783" s="9" t="str">
        <f t="shared" si="159"/>
        <v/>
      </c>
      <c r="AI783" s="9" t="str">
        <f t="shared" si="160"/>
        <v/>
      </c>
      <c r="AJ783" s="9" t="str">
        <f t="shared" si="161"/>
        <v/>
      </c>
      <c r="AK783" s="9" t="str">
        <f t="shared" si="162"/>
        <v/>
      </c>
      <c r="AL783" s="9" t="str">
        <f t="shared" si="163"/>
        <v/>
      </c>
      <c r="AM783" s="9" t="str">
        <f t="shared" si="164"/>
        <v/>
      </c>
      <c r="AN783" s="9" t="str">
        <f t="shared" si="165"/>
        <v/>
      </c>
      <c r="AO783" s="9" t="str">
        <f t="shared" si="166"/>
        <v/>
      </c>
      <c r="AP783" s="9" t="str">
        <f t="shared" si="167"/>
        <v/>
      </c>
      <c r="AQ783" s="10" t="str">
        <f t="shared" si="168"/>
        <v/>
      </c>
    </row>
    <row r="784" spans="1:43">
      <c r="A784">
        <v>783</v>
      </c>
      <c r="B784" t="s">
        <v>35</v>
      </c>
      <c r="C784" t="s">
        <v>1178</v>
      </c>
      <c r="D784" t="s">
        <v>1179</v>
      </c>
      <c r="E784" t="s">
        <v>83</v>
      </c>
      <c r="G784" t="s">
        <v>18</v>
      </c>
      <c r="H784" s="4">
        <v>47628000</v>
      </c>
      <c r="I784" s="5">
        <v>512</v>
      </c>
      <c r="J784" s="5">
        <v>0</v>
      </c>
      <c r="K784" s="5">
        <v>16</v>
      </c>
      <c r="L784">
        <v>9.1999999999999993</v>
      </c>
      <c r="M784">
        <v>8.5</v>
      </c>
      <c r="N784">
        <v>6.4</v>
      </c>
      <c r="O784" s="6">
        <v>14</v>
      </c>
      <c r="P784" s="7">
        <v>1.47</v>
      </c>
      <c r="U784" t="s">
        <v>84</v>
      </c>
      <c r="V784" t="s">
        <v>548</v>
      </c>
      <c r="W784">
        <v>2.6</v>
      </c>
      <c r="X784" t="s">
        <v>122</v>
      </c>
      <c r="Y784" t="s">
        <v>549</v>
      </c>
      <c r="Z784" t="s">
        <v>106</v>
      </c>
      <c r="AA784" t="s">
        <v>128</v>
      </c>
      <c r="AB784" t="s">
        <v>115</v>
      </c>
      <c r="AC784">
        <v>1764</v>
      </c>
      <c r="AD784" s="8" t="b">
        <f>AND(
 H784&gt;=Filters!$B$3,
 H784&lt;=Filters!$B$4,
 I784&gt;=Filters!$B$5,
 OR(Filters!$B$6="All",B784=Filters!$B$6),
 F784&gt;=Filters!$B$7,
 F784&lt;=Filters!$B$8,
 OR(Filters!$B$9="All",G784=Filters!$B$9)
)</f>
        <v>0</v>
      </c>
      <c r="AE784">
        <f t="shared" si="156"/>
        <v>6</v>
      </c>
      <c r="AF784">
        <f t="shared" si="157"/>
        <v>7</v>
      </c>
      <c r="AG784">
        <f t="shared" si="158"/>
        <v>7</v>
      </c>
      <c r="AH784" s="9" t="str">
        <f t="shared" si="159"/>
        <v/>
      </c>
      <c r="AI784" s="9" t="str">
        <f t="shared" si="160"/>
        <v/>
      </c>
      <c r="AJ784" s="9" t="str">
        <f t="shared" si="161"/>
        <v/>
      </c>
      <c r="AK784" s="9" t="str">
        <f t="shared" si="162"/>
        <v/>
      </c>
      <c r="AL784" s="9" t="str">
        <f t="shared" si="163"/>
        <v/>
      </c>
      <c r="AM784" s="9" t="str">
        <f t="shared" si="164"/>
        <v/>
      </c>
      <c r="AN784" s="9" t="str">
        <f t="shared" si="165"/>
        <v/>
      </c>
      <c r="AO784" s="9" t="str">
        <f t="shared" si="166"/>
        <v/>
      </c>
      <c r="AP784" s="9" t="str">
        <f t="shared" si="167"/>
        <v/>
      </c>
      <c r="AQ784" s="10" t="str">
        <f t="shared" si="168"/>
        <v/>
      </c>
    </row>
    <row r="785" spans="1:43">
      <c r="A785">
        <v>784</v>
      </c>
      <c r="B785" t="s">
        <v>29</v>
      </c>
      <c r="C785" t="s">
        <v>1180</v>
      </c>
      <c r="D785" t="s">
        <v>1181</v>
      </c>
      <c r="E785" t="s">
        <v>97</v>
      </c>
      <c r="G785" t="s">
        <v>18</v>
      </c>
      <c r="H785" s="4">
        <v>8883000</v>
      </c>
      <c r="I785" s="5">
        <v>0</v>
      </c>
      <c r="J785" s="5">
        <v>1024</v>
      </c>
      <c r="K785" s="5">
        <v>8</v>
      </c>
      <c r="L785">
        <v>1.2</v>
      </c>
      <c r="M785">
        <v>3.5</v>
      </c>
      <c r="N785">
        <v>3.92</v>
      </c>
      <c r="O785" s="6">
        <v>15.6</v>
      </c>
      <c r="P785" s="7">
        <v>2.2000000000000002</v>
      </c>
      <c r="U785" t="s">
        <v>84</v>
      </c>
      <c r="V785" t="s">
        <v>1182</v>
      </c>
      <c r="W785">
        <v>1.6</v>
      </c>
      <c r="X785" t="s">
        <v>84</v>
      </c>
      <c r="Y785" t="s">
        <v>612</v>
      </c>
      <c r="Z785" t="s">
        <v>146</v>
      </c>
      <c r="AA785" t="s">
        <v>114</v>
      </c>
      <c r="AB785" t="s">
        <v>102</v>
      </c>
      <c r="AC785">
        <v>329</v>
      </c>
      <c r="AD785" s="8" t="b">
        <f>AND(
 H785&gt;=Filters!$B$3,
 H785&lt;=Filters!$B$4,
 I785&gt;=Filters!$B$5,
 OR(Filters!$B$6="All",B785=Filters!$B$6),
 F785&gt;=Filters!$B$7,
 F785&lt;=Filters!$B$8,
 OR(Filters!$B$9="All",G785=Filters!$B$9)
)</f>
        <v>0</v>
      </c>
      <c r="AE785">
        <f t="shared" si="156"/>
        <v>6</v>
      </c>
      <c r="AF785">
        <f t="shared" si="157"/>
        <v>7</v>
      </c>
      <c r="AG785">
        <f t="shared" si="158"/>
        <v>7</v>
      </c>
      <c r="AH785" s="9" t="str">
        <f t="shared" si="159"/>
        <v/>
      </c>
      <c r="AI785" s="9" t="str">
        <f t="shared" si="160"/>
        <v/>
      </c>
      <c r="AJ785" s="9" t="str">
        <f t="shared" si="161"/>
        <v/>
      </c>
      <c r="AK785" s="9" t="str">
        <f t="shared" si="162"/>
        <v/>
      </c>
      <c r="AL785" s="9" t="str">
        <f t="shared" si="163"/>
        <v/>
      </c>
      <c r="AM785" s="9" t="str">
        <f t="shared" si="164"/>
        <v/>
      </c>
      <c r="AN785" s="9" t="str">
        <f t="shared" si="165"/>
        <v/>
      </c>
      <c r="AO785" s="9" t="str">
        <f t="shared" si="166"/>
        <v/>
      </c>
      <c r="AP785" s="9" t="str">
        <f t="shared" si="167"/>
        <v/>
      </c>
      <c r="AQ785" s="10" t="str">
        <f t="shared" si="168"/>
        <v/>
      </c>
    </row>
    <row r="786" spans="1:43">
      <c r="A786">
        <v>785</v>
      </c>
      <c r="B786" t="s">
        <v>29</v>
      </c>
      <c r="C786" t="s">
        <v>761</v>
      </c>
      <c r="D786" t="s">
        <v>762</v>
      </c>
      <c r="E786" t="s">
        <v>83</v>
      </c>
      <c r="G786" t="s">
        <v>18</v>
      </c>
      <c r="H786" s="4">
        <v>62073000</v>
      </c>
      <c r="I786" s="5">
        <v>512</v>
      </c>
      <c r="J786" s="5">
        <v>0</v>
      </c>
      <c r="K786" s="5">
        <v>16</v>
      </c>
      <c r="L786">
        <v>9.4</v>
      </c>
      <c r="M786">
        <v>3.5</v>
      </c>
      <c r="N786">
        <v>6</v>
      </c>
      <c r="O786" s="6">
        <v>14</v>
      </c>
      <c r="P786" s="7">
        <v>1.7</v>
      </c>
      <c r="U786" t="s">
        <v>84</v>
      </c>
      <c r="V786" t="s">
        <v>140</v>
      </c>
      <c r="W786">
        <v>2.7</v>
      </c>
      <c r="X786" t="s">
        <v>84</v>
      </c>
      <c r="Y786" t="s">
        <v>99</v>
      </c>
      <c r="Z786" t="s">
        <v>106</v>
      </c>
      <c r="AA786" t="s">
        <v>101</v>
      </c>
      <c r="AB786" t="s">
        <v>115</v>
      </c>
      <c r="AC786">
        <v>2299</v>
      </c>
      <c r="AD786" s="8" t="b">
        <f>AND(
 H786&gt;=Filters!$B$3,
 H786&lt;=Filters!$B$4,
 I786&gt;=Filters!$B$5,
 OR(Filters!$B$6="All",B786=Filters!$B$6),
 F786&gt;=Filters!$B$7,
 F786&lt;=Filters!$B$8,
 OR(Filters!$B$9="All",G786=Filters!$B$9)
)</f>
        <v>0</v>
      </c>
      <c r="AE786">
        <f t="shared" si="156"/>
        <v>6</v>
      </c>
      <c r="AF786">
        <f t="shared" si="157"/>
        <v>7</v>
      </c>
      <c r="AG786">
        <f t="shared" si="158"/>
        <v>7</v>
      </c>
      <c r="AH786" s="9" t="str">
        <f t="shared" si="159"/>
        <v/>
      </c>
      <c r="AI786" s="9" t="str">
        <f t="shared" si="160"/>
        <v/>
      </c>
      <c r="AJ786" s="9" t="str">
        <f t="shared" si="161"/>
        <v/>
      </c>
      <c r="AK786" s="9" t="str">
        <f t="shared" si="162"/>
        <v/>
      </c>
      <c r="AL786" s="9" t="str">
        <f t="shared" si="163"/>
        <v/>
      </c>
      <c r="AM786" s="9" t="str">
        <f t="shared" si="164"/>
        <v/>
      </c>
      <c r="AN786" s="9" t="str">
        <f t="shared" si="165"/>
        <v/>
      </c>
      <c r="AO786" s="9" t="str">
        <f t="shared" si="166"/>
        <v/>
      </c>
      <c r="AP786" s="9" t="str">
        <f t="shared" si="167"/>
        <v/>
      </c>
      <c r="AQ786" s="10" t="str">
        <f t="shared" si="168"/>
        <v/>
      </c>
    </row>
    <row r="787" spans="1:43">
      <c r="A787">
        <v>786</v>
      </c>
      <c r="B787" t="s">
        <v>30</v>
      </c>
      <c r="C787" t="s">
        <v>1183</v>
      </c>
      <c r="D787" t="s">
        <v>1184</v>
      </c>
      <c r="E787" t="s">
        <v>158</v>
      </c>
      <c r="G787" t="s">
        <v>18</v>
      </c>
      <c r="H787" s="4">
        <v>51057000</v>
      </c>
      <c r="I787" s="5">
        <v>256</v>
      </c>
      <c r="J787" s="5">
        <v>1024</v>
      </c>
      <c r="K787" s="5">
        <v>16</v>
      </c>
      <c r="L787">
        <v>9.6</v>
      </c>
      <c r="M787">
        <v>9.1999999999999993</v>
      </c>
      <c r="N787">
        <v>6.4</v>
      </c>
      <c r="O787" s="6">
        <v>14</v>
      </c>
      <c r="P787" s="7">
        <v>1.6</v>
      </c>
      <c r="U787" t="s">
        <v>84</v>
      </c>
      <c r="V787" t="s">
        <v>210</v>
      </c>
      <c r="W787">
        <v>2.8</v>
      </c>
      <c r="X787" t="s">
        <v>122</v>
      </c>
      <c r="Y787" t="s">
        <v>211</v>
      </c>
      <c r="Z787" t="s">
        <v>212</v>
      </c>
      <c r="AA787" t="s">
        <v>128</v>
      </c>
      <c r="AB787" t="s">
        <v>115</v>
      </c>
      <c r="AC787">
        <v>1891</v>
      </c>
      <c r="AD787" s="8" t="b">
        <f>AND(
 H787&gt;=Filters!$B$3,
 H787&lt;=Filters!$B$4,
 I787&gt;=Filters!$B$5,
 OR(Filters!$B$6="All",B787=Filters!$B$6),
 F787&gt;=Filters!$B$7,
 F787&lt;=Filters!$B$8,
 OR(Filters!$B$9="All",G787=Filters!$B$9)
)</f>
        <v>0</v>
      </c>
      <c r="AE787">
        <f t="shared" si="156"/>
        <v>6</v>
      </c>
      <c r="AF787">
        <f t="shared" si="157"/>
        <v>7</v>
      </c>
      <c r="AG787">
        <f t="shared" si="158"/>
        <v>7</v>
      </c>
      <c r="AH787" s="9" t="str">
        <f t="shared" si="159"/>
        <v/>
      </c>
      <c r="AI787" s="9" t="str">
        <f t="shared" si="160"/>
        <v/>
      </c>
      <c r="AJ787" s="9" t="str">
        <f t="shared" si="161"/>
        <v/>
      </c>
      <c r="AK787" s="9" t="str">
        <f t="shared" si="162"/>
        <v/>
      </c>
      <c r="AL787" s="9" t="str">
        <f t="shared" si="163"/>
        <v/>
      </c>
      <c r="AM787" s="9" t="str">
        <f t="shared" si="164"/>
        <v/>
      </c>
      <c r="AN787" s="9" t="str">
        <f t="shared" si="165"/>
        <v/>
      </c>
      <c r="AO787" s="9" t="str">
        <f t="shared" si="166"/>
        <v/>
      </c>
      <c r="AP787" s="9" t="str">
        <f t="shared" si="167"/>
        <v/>
      </c>
      <c r="AQ787" s="10" t="str">
        <f t="shared" si="168"/>
        <v/>
      </c>
    </row>
    <row r="788" spans="1:43">
      <c r="A788">
        <v>787</v>
      </c>
      <c r="B788" t="s">
        <v>30</v>
      </c>
      <c r="C788" t="s">
        <v>1185</v>
      </c>
      <c r="D788" t="s">
        <v>1186</v>
      </c>
      <c r="E788" t="s">
        <v>158</v>
      </c>
      <c r="G788" t="s">
        <v>18</v>
      </c>
      <c r="H788" s="4">
        <v>29403000</v>
      </c>
      <c r="I788" s="5">
        <v>128</v>
      </c>
      <c r="J788" s="5">
        <v>1024</v>
      </c>
      <c r="K788" s="5">
        <v>8</v>
      </c>
      <c r="L788">
        <v>7</v>
      </c>
      <c r="M788">
        <v>9.1999999999999993</v>
      </c>
      <c r="N788">
        <v>5.92</v>
      </c>
      <c r="O788" s="6">
        <v>15.6</v>
      </c>
      <c r="P788" s="7">
        <v>2.2000000000000002</v>
      </c>
      <c r="U788" t="s">
        <v>84</v>
      </c>
      <c r="V788" t="s">
        <v>159</v>
      </c>
      <c r="W788">
        <v>2.5</v>
      </c>
      <c r="X788" t="s">
        <v>122</v>
      </c>
      <c r="Y788" t="s">
        <v>160</v>
      </c>
      <c r="Z788" t="s">
        <v>161</v>
      </c>
      <c r="AA788" t="s">
        <v>101</v>
      </c>
      <c r="AB788" t="s">
        <v>115</v>
      </c>
      <c r="AC788">
        <v>1089</v>
      </c>
      <c r="AD788" s="8" t="b">
        <f>AND(
 H788&gt;=Filters!$B$3,
 H788&lt;=Filters!$B$4,
 I788&gt;=Filters!$B$5,
 OR(Filters!$B$6="All",B788=Filters!$B$6),
 F788&gt;=Filters!$B$7,
 F788&lt;=Filters!$B$8,
 OR(Filters!$B$9="All",G788=Filters!$B$9)
)</f>
        <v>0</v>
      </c>
      <c r="AE788">
        <f t="shared" si="156"/>
        <v>6</v>
      </c>
      <c r="AF788">
        <f t="shared" si="157"/>
        <v>7</v>
      </c>
      <c r="AG788">
        <f t="shared" si="158"/>
        <v>7</v>
      </c>
      <c r="AH788" s="9" t="str">
        <f t="shared" si="159"/>
        <v/>
      </c>
      <c r="AI788" s="9" t="str">
        <f t="shared" si="160"/>
        <v/>
      </c>
      <c r="AJ788" s="9" t="str">
        <f t="shared" si="161"/>
        <v/>
      </c>
      <c r="AK788" s="9" t="str">
        <f t="shared" si="162"/>
        <v/>
      </c>
      <c r="AL788" s="9" t="str">
        <f t="shared" si="163"/>
        <v/>
      </c>
      <c r="AM788" s="9" t="str">
        <f t="shared" si="164"/>
        <v/>
      </c>
      <c r="AN788" s="9" t="str">
        <f t="shared" si="165"/>
        <v/>
      </c>
      <c r="AO788" s="9" t="str">
        <f t="shared" si="166"/>
        <v/>
      </c>
      <c r="AP788" s="9" t="str">
        <f t="shared" si="167"/>
        <v/>
      </c>
      <c r="AQ788" s="10" t="str">
        <f t="shared" si="168"/>
        <v/>
      </c>
    </row>
    <row r="789" spans="1:43">
      <c r="A789">
        <v>788</v>
      </c>
      <c r="B789" t="s">
        <v>29</v>
      </c>
      <c r="C789" t="s">
        <v>156</v>
      </c>
      <c r="D789" t="s">
        <v>157</v>
      </c>
      <c r="E789" t="s">
        <v>158</v>
      </c>
      <c r="G789" t="s">
        <v>18</v>
      </c>
      <c r="H789" s="4">
        <v>26973000</v>
      </c>
      <c r="I789" s="5">
        <v>0</v>
      </c>
      <c r="J789" s="5">
        <v>1024</v>
      </c>
      <c r="K789" s="5">
        <v>4</v>
      </c>
      <c r="L789">
        <v>9.6</v>
      </c>
      <c r="M789">
        <v>9.1999999999999993</v>
      </c>
      <c r="N789">
        <v>6.32</v>
      </c>
      <c r="O789" s="6">
        <v>15.6</v>
      </c>
      <c r="P789" s="7">
        <v>2.4</v>
      </c>
      <c r="U789" t="s">
        <v>84</v>
      </c>
      <c r="V789" t="s">
        <v>210</v>
      </c>
      <c r="W789">
        <v>2.8</v>
      </c>
      <c r="X789" t="s">
        <v>122</v>
      </c>
      <c r="Y789" t="s">
        <v>160</v>
      </c>
      <c r="Z789" t="s">
        <v>146</v>
      </c>
      <c r="AA789" t="s">
        <v>128</v>
      </c>
      <c r="AB789" t="s">
        <v>115</v>
      </c>
      <c r="AC789">
        <v>999</v>
      </c>
      <c r="AD789" s="8" t="b">
        <f>AND(
 H789&gt;=Filters!$B$3,
 H789&lt;=Filters!$B$4,
 I789&gt;=Filters!$B$5,
 OR(Filters!$B$6="All",B789=Filters!$B$6),
 F789&gt;=Filters!$B$7,
 F789&lt;=Filters!$B$8,
 OR(Filters!$B$9="All",G789=Filters!$B$9)
)</f>
        <v>0</v>
      </c>
      <c r="AE789">
        <f t="shared" si="156"/>
        <v>6</v>
      </c>
      <c r="AF789">
        <f t="shared" si="157"/>
        <v>7</v>
      </c>
      <c r="AG789">
        <f t="shared" si="158"/>
        <v>7</v>
      </c>
      <c r="AH789" s="9" t="str">
        <f t="shared" si="159"/>
        <v/>
      </c>
      <c r="AI789" s="9" t="str">
        <f t="shared" si="160"/>
        <v/>
      </c>
      <c r="AJ789" s="9" t="str">
        <f t="shared" si="161"/>
        <v/>
      </c>
      <c r="AK789" s="9" t="str">
        <f t="shared" si="162"/>
        <v/>
      </c>
      <c r="AL789" s="9" t="str">
        <f t="shared" si="163"/>
        <v/>
      </c>
      <c r="AM789" s="9" t="str">
        <f t="shared" si="164"/>
        <v/>
      </c>
      <c r="AN789" s="9" t="str">
        <f t="shared" si="165"/>
        <v/>
      </c>
      <c r="AO789" s="9" t="str">
        <f t="shared" si="166"/>
        <v/>
      </c>
      <c r="AP789" s="9" t="str">
        <f t="shared" si="167"/>
        <v/>
      </c>
      <c r="AQ789" s="10" t="str">
        <f t="shared" si="168"/>
        <v/>
      </c>
    </row>
    <row r="790" spans="1:43">
      <c r="A790">
        <v>789</v>
      </c>
      <c r="B790" t="s">
        <v>17</v>
      </c>
      <c r="C790" t="s">
        <v>1187</v>
      </c>
      <c r="D790" t="s">
        <v>1188</v>
      </c>
      <c r="E790" t="s">
        <v>158</v>
      </c>
      <c r="G790" t="s">
        <v>18</v>
      </c>
      <c r="H790" s="4">
        <v>62073000</v>
      </c>
      <c r="I790" s="5">
        <v>256</v>
      </c>
      <c r="J790" s="5">
        <v>1024</v>
      </c>
      <c r="K790" s="5">
        <v>16</v>
      </c>
      <c r="L790">
        <v>9.6</v>
      </c>
      <c r="M790">
        <v>9.1999999999999993</v>
      </c>
      <c r="N790">
        <v>6.24</v>
      </c>
      <c r="O790" s="6">
        <v>17.3</v>
      </c>
      <c r="P790" s="7">
        <v>4.2</v>
      </c>
      <c r="U790" t="s">
        <v>84</v>
      </c>
      <c r="V790" t="s">
        <v>210</v>
      </c>
      <c r="W790">
        <v>2.8</v>
      </c>
      <c r="X790" t="s">
        <v>122</v>
      </c>
      <c r="Y790" t="s">
        <v>211</v>
      </c>
      <c r="Z790" t="s">
        <v>212</v>
      </c>
      <c r="AA790" t="s">
        <v>128</v>
      </c>
      <c r="AB790" t="s">
        <v>115</v>
      </c>
      <c r="AC790">
        <v>2299</v>
      </c>
      <c r="AD790" s="8" t="b">
        <f>AND(
 H790&gt;=Filters!$B$3,
 H790&lt;=Filters!$B$4,
 I790&gt;=Filters!$B$5,
 OR(Filters!$B$6="All",B790=Filters!$B$6),
 F790&gt;=Filters!$B$7,
 F790&lt;=Filters!$B$8,
 OR(Filters!$B$9="All",G790=Filters!$B$9)
)</f>
        <v>0</v>
      </c>
      <c r="AE790">
        <f t="shared" si="156"/>
        <v>6</v>
      </c>
      <c r="AF790">
        <f t="shared" si="157"/>
        <v>7</v>
      </c>
      <c r="AG790">
        <f t="shared" si="158"/>
        <v>7</v>
      </c>
      <c r="AH790" s="9" t="str">
        <f t="shared" si="159"/>
        <v/>
      </c>
      <c r="AI790" s="9" t="str">
        <f t="shared" si="160"/>
        <v/>
      </c>
      <c r="AJ790" s="9" t="str">
        <f t="shared" si="161"/>
        <v/>
      </c>
      <c r="AK790" s="9" t="str">
        <f t="shared" si="162"/>
        <v/>
      </c>
      <c r="AL790" s="9" t="str">
        <f t="shared" si="163"/>
        <v/>
      </c>
      <c r="AM790" s="9" t="str">
        <f t="shared" si="164"/>
        <v/>
      </c>
      <c r="AN790" s="9" t="str">
        <f t="shared" si="165"/>
        <v/>
      </c>
      <c r="AO790" s="9" t="str">
        <f t="shared" si="166"/>
        <v/>
      </c>
      <c r="AP790" s="9" t="str">
        <f t="shared" si="167"/>
        <v/>
      </c>
      <c r="AQ790" s="10" t="str">
        <f t="shared" si="168"/>
        <v/>
      </c>
    </row>
    <row r="791" spans="1:43">
      <c r="A791">
        <v>790</v>
      </c>
      <c r="B791" t="s">
        <v>23</v>
      </c>
      <c r="C791" t="s">
        <v>391</v>
      </c>
      <c r="D791" t="s">
        <v>392</v>
      </c>
      <c r="E791" t="s">
        <v>158</v>
      </c>
      <c r="G791" t="s">
        <v>18</v>
      </c>
      <c r="H791" s="4">
        <v>26595000</v>
      </c>
      <c r="I791" s="5">
        <v>256</v>
      </c>
      <c r="J791" s="5">
        <v>0</v>
      </c>
      <c r="K791" s="5">
        <v>8</v>
      </c>
      <c r="L791">
        <v>7</v>
      </c>
      <c r="M791">
        <v>9.1999999999999993</v>
      </c>
      <c r="N791">
        <v>5.92</v>
      </c>
      <c r="O791" s="6">
        <v>15.6</v>
      </c>
      <c r="P791" s="7">
        <v>2.62</v>
      </c>
      <c r="U791" t="s">
        <v>84</v>
      </c>
      <c r="V791" t="s">
        <v>159</v>
      </c>
      <c r="W791">
        <v>2.5</v>
      </c>
      <c r="X791" t="s">
        <v>122</v>
      </c>
      <c r="Y791" t="s">
        <v>160</v>
      </c>
      <c r="Z791" t="s">
        <v>100</v>
      </c>
      <c r="AA791" t="s">
        <v>101</v>
      </c>
      <c r="AB791" t="s">
        <v>115</v>
      </c>
      <c r="AC791">
        <v>985</v>
      </c>
      <c r="AD791" s="8" t="b">
        <f>AND(
 H791&gt;=Filters!$B$3,
 H791&lt;=Filters!$B$4,
 I791&gt;=Filters!$B$5,
 OR(Filters!$B$6="All",B791=Filters!$B$6),
 F791&gt;=Filters!$B$7,
 F791&lt;=Filters!$B$8,
 OR(Filters!$B$9="All",G791=Filters!$B$9)
)</f>
        <v>0</v>
      </c>
      <c r="AE791">
        <f t="shared" si="156"/>
        <v>6</v>
      </c>
      <c r="AF791">
        <f t="shared" si="157"/>
        <v>7</v>
      </c>
      <c r="AG791">
        <f t="shared" si="158"/>
        <v>7</v>
      </c>
      <c r="AH791" s="9" t="str">
        <f t="shared" si="159"/>
        <v/>
      </c>
      <c r="AI791" s="9" t="str">
        <f t="shared" si="160"/>
        <v/>
      </c>
      <c r="AJ791" s="9" t="str">
        <f t="shared" si="161"/>
        <v/>
      </c>
      <c r="AK791" s="9" t="str">
        <f t="shared" si="162"/>
        <v/>
      </c>
      <c r="AL791" s="9" t="str">
        <f t="shared" si="163"/>
        <v/>
      </c>
      <c r="AM791" s="9" t="str">
        <f t="shared" si="164"/>
        <v/>
      </c>
      <c r="AN791" s="9" t="str">
        <f t="shared" si="165"/>
        <v/>
      </c>
      <c r="AO791" s="9" t="str">
        <f t="shared" si="166"/>
        <v/>
      </c>
      <c r="AP791" s="9" t="str">
        <f t="shared" si="167"/>
        <v/>
      </c>
      <c r="AQ791" s="10" t="str">
        <f t="shared" si="168"/>
        <v/>
      </c>
    </row>
    <row r="792" spans="1:43">
      <c r="A792">
        <v>791</v>
      </c>
      <c r="B792" t="s">
        <v>21</v>
      </c>
      <c r="C792" t="s">
        <v>1189</v>
      </c>
      <c r="D792" t="s">
        <v>1190</v>
      </c>
      <c r="E792" t="s">
        <v>158</v>
      </c>
      <c r="G792" t="s">
        <v>18</v>
      </c>
      <c r="H792" s="4">
        <v>36153000</v>
      </c>
      <c r="I792" s="5">
        <v>128</v>
      </c>
      <c r="J792" s="5">
        <v>1024</v>
      </c>
      <c r="K792" s="5">
        <v>8</v>
      </c>
      <c r="L792">
        <v>9.6</v>
      </c>
      <c r="M792">
        <v>9.1999999999999993</v>
      </c>
      <c r="N792">
        <v>5.92</v>
      </c>
      <c r="O792" s="6">
        <v>15.6</v>
      </c>
      <c r="P792" s="7">
        <v>2.2400000000000002</v>
      </c>
      <c r="U792" t="s">
        <v>84</v>
      </c>
      <c r="V792" t="s">
        <v>210</v>
      </c>
      <c r="W792">
        <v>2.8</v>
      </c>
      <c r="X792" t="s">
        <v>122</v>
      </c>
      <c r="Y792" t="s">
        <v>1191</v>
      </c>
      <c r="Z792" t="s">
        <v>161</v>
      </c>
      <c r="AA792" t="s">
        <v>101</v>
      </c>
      <c r="AB792" t="s">
        <v>115</v>
      </c>
      <c r="AC792">
        <v>1339</v>
      </c>
      <c r="AD792" s="8" t="b">
        <f>AND(
 H792&gt;=Filters!$B$3,
 H792&lt;=Filters!$B$4,
 I792&gt;=Filters!$B$5,
 OR(Filters!$B$6="All",B792=Filters!$B$6),
 F792&gt;=Filters!$B$7,
 F792&lt;=Filters!$B$8,
 OR(Filters!$B$9="All",G792=Filters!$B$9)
)</f>
        <v>0</v>
      </c>
      <c r="AE792">
        <f t="shared" si="156"/>
        <v>6</v>
      </c>
      <c r="AF792">
        <f t="shared" si="157"/>
        <v>7</v>
      </c>
      <c r="AG792">
        <f t="shared" si="158"/>
        <v>7</v>
      </c>
      <c r="AH792" s="9" t="str">
        <f t="shared" si="159"/>
        <v/>
      </c>
      <c r="AI792" s="9" t="str">
        <f t="shared" si="160"/>
        <v/>
      </c>
      <c r="AJ792" s="9" t="str">
        <f t="shared" si="161"/>
        <v/>
      </c>
      <c r="AK792" s="9" t="str">
        <f t="shared" si="162"/>
        <v/>
      </c>
      <c r="AL792" s="9" t="str">
        <f t="shared" si="163"/>
        <v/>
      </c>
      <c r="AM792" s="9" t="str">
        <f t="shared" si="164"/>
        <v/>
      </c>
      <c r="AN792" s="9" t="str">
        <f t="shared" si="165"/>
        <v/>
      </c>
      <c r="AO792" s="9" t="str">
        <f t="shared" si="166"/>
        <v/>
      </c>
      <c r="AP792" s="9" t="str">
        <f t="shared" si="167"/>
        <v/>
      </c>
      <c r="AQ792" s="10" t="str">
        <f t="shared" si="168"/>
        <v/>
      </c>
    </row>
    <row r="793" spans="1:43">
      <c r="A793">
        <v>792</v>
      </c>
      <c r="B793" t="s">
        <v>36</v>
      </c>
      <c r="C793" t="s">
        <v>1192</v>
      </c>
      <c r="D793" t="s">
        <v>1193</v>
      </c>
      <c r="E793" t="s">
        <v>97</v>
      </c>
      <c r="G793" t="s">
        <v>18</v>
      </c>
      <c r="H793" s="4">
        <v>5478300</v>
      </c>
      <c r="I793" s="5">
        <v>32</v>
      </c>
      <c r="J793" s="5">
        <v>0</v>
      </c>
      <c r="K793" s="5">
        <v>4</v>
      </c>
      <c r="L793">
        <v>1</v>
      </c>
      <c r="M793">
        <v>3.5</v>
      </c>
      <c r="N793">
        <v>6</v>
      </c>
      <c r="O793" s="6">
        <v>14</v>
      </c>
      <c r="P793" s="7">
        <v>1.22</v>
      </c>
      <c r="U793" t="s">
        <v>84</v>
      </c>
      <c r="V793" t="s">
        <v>198</v>
      </c>
      <c r="W793">
        <v>1.1000000000000001</v>
      </c>
      <c r="X793" t="s">
        <v>84</v>
      </c>
      <c r="Y793" t="s">
        <v>199</v>
      </c>
      <c r="Z793" t="s">
        <v>155</v>
      </c>
      <c r="AA793" t="s">
        <v>1029</v>
      </c>
      <c r="AB793" t="s">
        <v>115</v>
      </c>
      <c r="AC793">
        <v>202.9</v>
      </c>
      <c r="AD793" s="8" t="b">
        <f>AND(
 H793&gt;=Filters!$B$3,
 H793&lt;=Filters!$B$4,
 I793&gt;=Filters!$B$5,
 OR(Filters!$B$6="All",B793=Filters!$B$6),
 F793&gt;=Filters!$B$7,
 F793&lt;=Filters!$B$8,
 OR(Filters!$B$9="All",G793=Filters!$B$9)
)</f>
        <v>0</v>
      </c>
      <c r="AE793">
        <f t="shared" si="156"/>
        <v>6</v>
      </c>
      <c r="AF793">
        <f t="shared" si="157"/>
        <v>7</v>
      </c>
      <c r="AG793">
        <f t="shared" si="158"/>
        <v>7</v>
      </c>
      <c r="AH793" s="9" t="str">
        <f t="shared" si="159"/>
        <v/>
      </c>
      <c r="AI793" s="9" t="str">
        <f t="shared" si="160"/>
        <v/>
      </c>
      <c r="AJ793" s="9" t="str">
        <f t="shared" si="161"/>
        <v/>
      </c>
      <c r="AK793" s="9" t="str">
        <f t="shared" si="162"/>
        <v/>
      </c>
      <c r="AL793" s="9" t="str">
        <f t="shared" si="163"/>
        <v/>
      </c>
      <c r="AM793" s="9" t="str">
        <f t="shared" si="164"/>
        <v/>
      </c>
      <c r="AN793" s="9" t="str">
        <f t="shared" si="165"/>
        <v/>
      </c>
      <c r="AO793" s="9" t="str">
        <f t="shared" si="166"/>
        <v/>
      </c>
      <c r="AP793" s="9" t="str">
        <f t="shared" si="167"/>
        <v/>
      </c>
      <c r="AQ793" s="10" t="str">
        <f t="shared" si="168"/>
        <v/>
      </c>
    </row>
    <row r="794" spans="1:43">
      <c r="A794">
        <v>793</v>
      </c>
      <c r="B794" t="s">
        <v>29</v>
      </c>
      <c r="C794" t="s">
        <v>334</v>
      </c>
      <c r="D794" t="s">
        <v>335</v>
      </c>
      <c r="E794" t="s">
        <v>168</v>
      </c>
      <c r="G794" t="s">
        <v>18</v>
      </c>
      <c r="H794" s="4">
        <v>53190000</v>
      </c>
      <c r="I794" s="5">
        <v>512</v>
      </c>
      <c r="J794" s="5">
        <v>0</v>
      </c>
      <c r="K794" s="5">
        <v>8</v>
      </c>
      <c r="L794">
        <v>9.4</v>
      </c>
      <c r="M794">
        <v>3.5</v>
      </c>
      <c r="N794">
        <v>6.67</v>
      </c>
      <c r="O794" s="6">
        <v>13.3</v>
      </c>
      <c r="P794" s="7">
        <v>1.37</v>
      </c>
      <c r="U794" t="s">
        <v>84</v>
      </c>
      <c r="V794" t="s">
        <v>140</v>
      </c>
      <c r="W794">
        <v>2.7</v>
      </c>
      <c r="X794" t="s">
        <v>84</v>
      </c>
      <c r="Y794" t="s">
        <v>99</v>
      </c>
      <c r="Z794" t="s">
        <v>106</v>
      </c>
      <c r="AA794" t="s">
        <v>149</v>
      </c>
      <c r="AB794" t="s">
        <v>115</v>
      </c>
      <c r="AC794">
        <v>1970</v>
      </c>
      <c r="AD794" s="8" t="b">
        <f>AND(
 H794&gt;=Filters!$B$3,
 H794&lt;=Filters!$B$4,
 I794&gt;=Filters!$B$5,
 OR(Filters!$B$6="All",B794=Filters!$B$6),
 F794&gt;=Filters!$B$7,
 F794&lt;=Filters!$B$8,
 OR(Filters!$B$9="All",G794=Filters!$B$9)
)</f>
        <v>0</v>
      </c>
      <c r="AE794">
        <f t="shared" si="156"/>
        <v>6</v>
      </c>
      <c r="AF794">
        <f t="shared" si="157"/>
        <v>7</v>
      </c>
      <c r="AG794">
        <f t="shared" si="158"/>
        <v>7</v>
      </c>
      <c r="AH794" s="9" t="str">
        <f t="shared" si="159"/>
        <v/>
      </c>
      <c r="AI794" s="9" t="str">
        <f t="shared" si="160"/>
        <v/>
      </c>
      <c r="AJ794" s="9" t="str">
        <f t="shared" si="161"/>
        <v/>
      </c>
      <c r="AK794" s="9" t="str">
        <f t="shared" si="162"/>
        <v/>
      </c>
      <c r="AL794" s="9" t="str">
        <f t="shared" si="163"/>
        <v/>
      </c>
      <c r="AM794" s="9" t="str">
        <f t="shared" si="164"/>
        <v/>
      </c>
      <c r="AN794" s="9" t="str">
        <f t="shared" si="165"/>
        <v/>
      </c>
      <c r="AO794" s="9" t="str">
        <f t="shared" si="166"/>
        <v/>
      </c>
      <c r="AP794" s="9" t="str">
        <f t="shared" si="167"/>
        <v/>
      </c>
      <c r="AQ794" s="10" t="str">
        <f t="shared" si="168"/>
        <v/>
      </c>
    </row>
    <row r="795" spans="1:43">
      <c r="A795">
        <v>794</v>
      </c>
      <c r="B795" t="s">
        <v>29</v>
      </c>
      <c r="C795" t="s">
        <v>1194</v>
      </c>
      <c r="D795" t="s">
        <v>1195</v>
      </c>
      <c r="E795" t="s">
        <v>168</v>
      </c>
      <c r="G795" t="s">
        <v>18</v>
      </c>
      <c r="H795" s="4">
        <v>25893000</v>
      </c>
      <c r="I795" s="5">
        <v>256</v>
      </c>
      <c r="J795" s="5">
        <v>0</v>
      </c>
      <c r="K795" s="5">
        <v>8</v>
      </c>
      <c r="L795">
        <v>7</v>
      </c>
      <c r="M795">
        <v>6.5</v>
      </c>
      <c r="N795">
        <v>6.22</v>
      </c>
      <c r="O795" s="6">
        <v>15.6</v>
      </c>
      <c r="P795" s="7">
        <v>2.08</v>
      </c>
      <c r="U795" t="s">
        <v>84</v>
      </c>
      <c r="V795" t="s">
        <v>98</v>
      </c>
      <c r="W795">
        <v>2.5</v>
      </c>
      <c r="X795" t="s">
        <v>104</v>
      </c>
      <c r="Y795" t="s">
        <v>796</v>
      </c>
      <c r="Z795" t="s">
        <v>100</v>
      </c>
      <c r="AA795" t="s">
        <v>169</v>
      </c>
      <c r="AB795" t="s">
        <v>115</v>
      </c>
      <c r="AC795">
        <v>959</v>
      </c>
      <c r="AD795" s="8" t="b">
        <f>AND(
 H795&gt;=Filters!$B$3,
 H795&lt;=Filters!$B$4,
 I795&gt;=Filters!$B$5,
 OR(Filters!$B$6="All",B795=Filters!$B$6),
 F795&gt;=Filters!$B$7,
 F795&lt;=Filters!$B$8,
 OR(Filters!$B$9="All",G795=Filters!$B$9)
)</f>
        <v>0</v>
      </c>
      <c r="AE795">
        <f t="shared" si="156"/>
        <v>6</v>
      </c>
      <c r="AF795">
        <f t="shared" si="157"/>
        <v>7</v>
      </c>
      <c r="AG795">
        <f t="shared" si="158"/>
        <v>7</v>
      </c>
      <c r="AH795" s="9" t="str">
        <f t="shared" si="159"/>
        <v/>
      </c>
      <c r="AI795" s="9" t="str">
        <f t="shared" si="160"/>
        <v/>
      </c>
      <c r="AJ795" s="9" t="str">
        <f t="shared" si="161"/>
        <v/>
      </c>
      <c r="AK795" s="9" t="str">
        <f t="shared" si="162"/>
        <v/>
      </c>
      <c r="AL795" s="9" t="str">
        <f t="shared" si="163"/>
        <v/>
      </c>
      <c r="AM795" s="9" t="str">
        <f t="shared" si="164"/>
        <v/>
      </c>
      <c r="AN795" s="9" t="str">
        <f t="shared" si="165"/>
        <v/>
      </c>
      <c r="AO795" s="9" t="str">
        <f t="shared" si="166"/>
        <v/>
      </c>
      <c r="AP795" s="9" t="str">
        <f t="shared" si="167"/>
        <v/>
      </c>
      <c r="AQ795" s="10" t="str">
        <f t="shared" si="168"/>
        <v/>
      </c>
    </row>
    <row r="796" spans="1:43">
      <c r="A796">
        <v>795</v>
      </c>
      <c r="B796" t="s">
        <v>19</v>
      </c>
      <c r="C796" t="s">
        <v>135</v>
      </c>
      <c r="D796" t="s">
        <v>136</v>
      </c>
      <c r="E796" t="s">
        <v>83</v>
      </c>
      <c r="G796" t="s">
        <v>18</v>
      </c>
      <c r="H796" s="4">
        <v>31455000</v>
      </c>
      <c r="I796" s="5">
        <v>512</v>
      </c>
      <c r="J796" s="5">
        <v>0</v>
      </c>
      <c r="K796" s="5">
        <v>8</v>
      </c>
      <c r="L796">
        <v>3.4</v>
      </c>
      <c r="M796">
        <v>3.5</v>
      </c>
      <c r="N796">
        <v>7.9</v>
      </c>
      <c r="O796" s="6">
        <v>12</v>
      </c>
      <c r="P796" s="7">
        <v>0.92</v>
      </c>
      <c r="U796" t="s">
        <v>84</v>
      </c>
      <c r="V796" t="s">
        <v>1196</v>
      </c>
      <c r="W796">
        <v>1.2</v>
      </c>
      <c r="X796" t="s">
        <v>84</v>
      </c>
      <c r="Y796" t="s">
        <v>1197</v>
      </c>
      <c r="Z796" t="s">
        <v>1198</v>
      </c>
      <c r="AA796" t="s">
        <v>139</v>
      </c>
      <c r="AB796" t="s">
        <v>118</v>
      </c>
      <c r="AC796">
        <v>1165</v>
      </c>
      <c r="AD796" s="8" t="b">
        <f>AND(
 H796&gt;=Filters!$B$3,
 H796&lt;=Filters!$B$4,
 I796&gt;=Filters!$B$5,
 OR(Filters!$B$6="All",B796=Filters!$B$6),
 F796&gt;=Filters!$B$7,
 F796&lt;=Filters!$B$8,
 OR(Filters!$B$9="All",G796=Filters!$B$9)
)</f>
        <v>0</v>
      </c>
      <c r="AE796">
        <f t="shared" si="156"/>
        <v>6</v>
      </c>
      <c r="AF796">
        <f t="shared" si="157"/>
        <v>7</v>
      </c>
      <c r="AG796">
        <f t="shared" si="158"/>
        <v>7</v>
      </c>
      <c r="AH796" s="9" t="str">
        <f t="shared" si="159"/>
        <v/>
      </c>
      <c r="AI796" s="9" t="str">
        <f t="shared" si="160"/>
        <v/>
      </c>
      <c r="AJ796" s="9" t="str">
        <f t="shared" si="161"/>
        <v/>
      </c>
      <c r="AK796" s="9" t="str">
        <f t="shared" si="162"/>
        <v/>
      </c>
      <c r="AL796" s="9" t="str">
        <f t="shared" si="163"/>
        <v/>
      </c>
      <c r="AM796" s="9" t="str">
        <f t="shared" si="164"/>
        <v/>
      </c>
      <c r="AN796" s="9" t="str">
        <f t="shared" si="165"/>
        <v/>
      </c>
      <c r="AO796" s="9" t="str">
        <f t="shared" si="166"/>
        <v/>
      </c>
      <c r="AP796" s="9" t="str">
        <f t="shared" si="167"/>
        <v/>
      </c>
      <c r="AQ796" s="10" t="str">
        <f t="shared" si="168"/>
        <v/>
      </c>
    </row>
    <row r="797" spans="1:43">
      <c r="A797">
        <v>796</v>
      </c>
      <c r="B797" t="s">
        <v>29</v>
      </c>
      <c r="C797" t="s">
        <v>546</v>
      </c>
      <c r="D797" t="s">
        <v>547</v>
      </c>
      <c r="E797" t="s">
        <v>168</v>
      </c>
      <c r="G797" t="s">
        <v>18</v>
      </c>
      <c r="H797" s="4">
        <v>62910000</v>
      </c>
      <c r="I797" s="5">
        <v>256</v>
      </c>
      <c r="J797" s="5">
        <v>0</v>
      </c>
      <c r="K797" s="5">
        <v>8</v>
      </c>
      <c r="L797">
        <v>7</v>
      </c>
      <c r="M797">
        <v>3.5</v>
      </c>
      <c r="N797">
        <v>7.7</v>
      </c>
      <c r="O797" s="6">
        <v>14</v>
      </c>
      <c r="P797" s="7">
        <v>1.42</v>
      </c>
      <c r="U797" t="s">
        <v>84</v>
      </c>
      <c r="V797" t="s">
        <v>98</v>
      </c>
      <c r="W797">
        <v>2.5</v>
      </c>
      <c r="X797" t="s">
        <v>84</v>
      </c>
      <c r="Y797" t="s">
        <v>99</v>
      </c>
      <c r="Z797" t="s">
        <v>100</v>
      </c>
      <c r="AA797" t="s">
        <v>1199</v>
      </c>
      <c r="AB797" t="s">
        <v>115</v>
      </c>
      <c r="AC797">
        <v>2330</v>
      </c>
      <c r="AD797" s="8" t="b">
        <f>AND(
 H797&gt;=Filters!$B$3,
 H797&lt;=Filters!$B$4,
 I797&gt;=Filters!$B$5,
 OR(Filters!$B$6="All",B797=Filters!$B$6),
 F797&gt;=Filters!$B$7,
 F797&lt;=Filters!$B$8,
 OR(Filters!$B$9="All",G797=Filters!$B$9)
)</f>
        <v>0</v>
      </c>
      <c r="AE797">
        <f t="shared" si="156"/>
        <v>6</v>
      </c>
      <c r="AF797">
        <f t="shared" si="157"/>
        <v>7</v>
      </c>
      <c r="AG797">
        <f t="shared" si="158"/>
        <v>7</v>
      </c>
      <c r="AH797" s="9" t="str">
        <f t="shared" si="159"/>
        <v/>
      </c>
      <c r="AI797" s="9" t="str">
        <f t="shared" si="160"/>
        <v/>
      </c>
      <c r="AJ797" s="9" t="str">
        <f t="shared" si="161"/>
        <v/>
      </c>
      <c r="AK797" s="9" t="str">
        <f t="shared" si="162"/>
        <v/>
      </c>
      <c r="AL797" s="9" t="str">
        <f t="shared" si="163"/>
        <v/>
      </c>
      <c r="AM797" s="9" t="str">
        <f t="shared" si="164"/>
        <v/>
      </c>
      <c r="AN797" s="9" t="str">
        <f t="shared" si="165"/>
        <v/>
      </c>
      <c r="AO797" s="9" t="str">
        <f t="shared" si="166"/>
        <v/>
      </c>
      <c r="AP797" s="9" t="str">
        <f t="shared" si="167"/>
        <v/>
      </c>
      <c r="AQ797" s="10" t="str">
        <f t="shared" si="168"/>
        <v/>
      </c>
    </row>
    <row r="798" spans="1:43">
      <c r="A798">
        <v>797</v>
      </c>
      <c r="B798" t="s">
        <v>21</v>
      </c>
      <c r="C798" t="s">
        <v>1200</v>
      </c>
      <c r="D798" t="s">
        <v>1201</v>
      </c>
      <c r="E798" t="s">
        <v>97</v>
      </c>
      <c r="G798" t="s">
        <v>18</v>
      </c>
      <c r="H798" s="4">
        <v>8073000</v>
      </c>
      <c r="I798" s="5">
        <v>32</v>
      </c>
      <c r="J798" s="5">
        <v>0</v>
      </c>
      <c r="K798" s="5">
        <v>4</v>
      </c>
      <c r="L798">
        <v>1</v>
      </c>
      <c r="M798">
        <v>3.5</v>
      </c>
      <c r="N798">
        <v>4</v>
      </c>
      <c r="O798" s="6">
        <v>14</v>
      </c>
      <c r="P798" s="7">
        <v>1.63</v>
      </c>
      <c r="U798" t="s">
        <v>84</v>
      </c>
      <c r="V798" t="s">
        <v>198</v>
      </c>
      <c r="W798">
        <v>1.1000000000000001</v>
      </c>
      <c r="X798" t="s">
        <v>84</v>
      </c>
      <c r="Y798" t="s">
        <v>199</v>
      </c>
      <c r="Z798" t="s">
        <v>155</v>
      </c>
      <c r="AA798" t="s">
        <v>114</v>
      </c>
      <c r="AB798" t="s">
        <v>115</v>
      </c>
      <c r="AC798">
        <v>299</v>
      </c>
      <c r="AD798" s="8" t="b">
        <f>AND(
 H798&gt;=Filters!$B$3,
 H798&lt;=Filters!$B$4,
 I798&gt;=Filters!$B$5,
 OR(Filters!$B$6="All",B798=Filters!$B$6),
 F798&gt;=Filters!$B$7,
 F798&lt;=Filters!$B$8,
 OR(Filters!$B$9="All",G798=Filters!$B$9)
)</f>
        <v>0</v>
      </c>
      <c r="AE798">
        <f t="shared" si="156"/>
        <v>6</v>
      </c>
      <c r="AF798">
        <f t="shared" si="157"/>
        <v>7</v>
      </c>
      <c r="AG798">
        <f t="shared" si="158"/>
        <v>7</v>
      </c>
      <c r="AH798" s="9" t="str">
        <f t="shared" si="159"/>
        <v/>
      </c>
      <c r="AI798" s="9" t="str">
        <f t="shared" si="160"/>
        <v/>
      </c>
      <c r="AJ798" s="9" t="str">
        <f t="shared" si="161"/>
        <v/>
      </c>
      <c r="AK798" s="9" t="str">
        <f t="shared" si="162"/>
        <v/>
      </c>
      <c r="AL798" s="9" t="str">
        <f t="shared" si="163"/>
        <v/>
      </c>
      <c r="AM798" s="9" t="str">
        <f t="shared" si="164"/>
        <v/>
      </c>
      <c r="AN798" s="9" t="str">
        <f t="shared" si="165"/>
        <v/>
      </c>
      <c r="AO798" s="9" t="str">
        <f t="shared" si="166"/>
        <v/>
      </c>
      <c r="AP798" s="9" t="str">
        <f t="shared" si="167"/>
        <v/>
      </c>
      <c r="AQ798" s="10" t="str">
        <f t="shared" si="168"/>
        <v/>
      </c>
    </row>
    <row r="799" spans="1:43">
      <c r="A799">
        <v>798</v>
      </c>
      <c r="B799" t="s">
        <v>23</v>
      </c>
      <c r="C799" t="s">
        <v>1032</v>
      </c>
      <c r="D799" t="s">
        <v>1033</v>
      </c>
      <c r="E799" t="s">
        <v>97</v>
      </c>
      <c r="G799" t="s">
        <v>18</v>
      </c>
      <c r="H799" s="4">
        <v>21870000</v>
      </c>
      <c r="I799" s="5">
        <v>128</v>
      </c>
      <c r="J799" s="5">
        <v>0</v>
      </c>
      <c r="K799" s="5">
        <v>8</v>
      </c>
      <c r="L799">
        <v>7</v>
      </c>
      <c r="M799">
        <v>3.5</v>
      </c>
      <c r="N799">
        <v>3.92</v>
      </c>
      <c r="O799" s="6">
        <v>15.6</v>
      </c>
      <c r="P799" s="7">
        <v>1.95</v>
      </c>
      <c r="U799" t="s">
        <v>84</v>
      </c>
      <c r="V799" t="s">
        <v>98</v>
      </c>
      <c r="W799">
        <v>2.5</v>
      </c>
      <c r="X799" t="s">
        <v>84</v>
      </c>
      <c r="Y799" t="s">
        <v>99</v>
      </c>
      <c r="Z799" t="s">
        <v>87</v>
      </c>
      <c r="AA799" t="s">
        <v>114</v>
      </c>
      <c r="AB799" t="s">
        <v>115</v>
      </c>
      <c r="AC799">
        <v>810</v>
      </c>
      <c r="AD799" s="8" t="b">
        <f>AND(
 H799&gt;=Filters!$B$3,
 H799&lt;=Filters!$B$4,
 I799&gt;=Filters!$B$5,
 OR(Filters!$B$6="All",B799=Filters!$B$6),
 F799&gt;=Filters!$B$7,
 F799&lt;=Filters!$B$8,
 OR(Filters!$B$9="All",G799=Filters!$B$9)
)</f>
        <v>0</v>
      </c>
      <c r="AE799">
        <f t="shared" si="156"/>
        <v>6</v>
      </c>
      <c r="AF799">
        <f t="shared" si="157"/>
        <v>7</v>
      </c>
      <c r="AG799">
        <f t="shared" si="158"/>
        <v>7</v>
      </c>
      <c r="AH799" s="9" t="str">
        <f t="shared" si="159"/>
        <v/>
      </c>
      <c r="AI799" s="9" t="str">
        <f t="shared" si="160"/>
        <v/>
      </c>
      <c r="AJ799" s="9" t="str">
        <f t="shared" si="161"/>
        <v/>
      </c>
      <c r="AK799" s="9" t="str">
        <f t="shared" si="162"/>
        <v/>
      </c>
      <c r="AL799" s="9" t="str">
        <f t="shared" si="163"/>
        <v/>
      </c>
      <c r="AM799" s="9" t="str">
        <f t="shared" si="164"/>
        <v/>
      </c>
      <c r="AN799" s="9" t="str">
        <f t="shared" si="165"/>
        <v/>
      </c>
      <c r="AO799" s="9" t="str">
        <f t="shared" si="166"/>
        <v/>
      </c>
      <c r="AP799" s="9" t="str">
        <f t="shared" si="167"/>
        <v/>
      </c>
      <c r="AQ799" s="10" t="str">
        <f t="shared" si="168"/>
        <v/>
      </c>
    </row>
    <row r="800" spans="1:43">
      <c r="A800">
        <v>799</v>
      </c>
      <c r="B800" t="s">
        <v>29</v>
      </c>
      <c r="C800" t="s">
        <v>517</v>
      </c>
      <c r="D800" t="s">
        <v>518</v>
      </c>
      <c r="E800" t="s">
        <v>168</v>
      </c>
      <c r="G800" t="s">
        <v>18</v>
      </c>
      <c r="H800" s="4">
        <v>36423000</v>
      </c>
      <c r="I800" s="5">
        <v>256</v>
      </c>
      <c r="J800" s="5">
        <v>0</v>
      </c>
      <c r="K800" s="5">
        <v>8</v>
      </c>
      <c r="L800">
        <v>9.4</v>
      </c>
      <c r="M800">
        <v>3.5</v>
      </c>
      <c r="N800">
        <v>6.7</v>
      </c>
      <c r="O800" s="6">
        <v>13.9</v>
      </c>
      <c r="P800" s="7">
        <v>1.38</v>
      </c>
      <c r="U800" t="s">
        <v>84</v>
      </c>
      <c r="V800" t="s">
        <v>140</v>
      </c>
      <c r="W800">
        <v>2.7</v>
      </c>
      <c r="X800" t="s">
        <v>84</v>
      </c>
      <c r="Y800" t="s">
        <v>99</v>
      </c>
      <c r="Z800" t="s">
        <v>100</v>
      </c>
      <c r="AA800" t="s">
        <v>149</v>
      </c>
      <c r="AB800" t="s">
        <v>115</v>
      </c>
      <c r="AC800">
        <v>1349</v>
      </c>
      <c r="AD800" s="8" t="b">
        <f>AND(
 H800&gt;=Filters!$B$3,
 H800&lt;=Filters!$B$4,
 I800&gt;=Filters!$B$5,
 OR(Filters!$B$6="All",B800=Filters!$B$6),
 F800&gt;=Filters!$B$7,
 F800&lt;=Filters!$B$8,
 OR(Filters!$B$9="All",G800=Filters!$B$9)
)</f>
        <v>0</v>
      </c>
      <c r="AE800">
        <f t="shared" si="156"/>
        <v>6</v>
      </c>
      <c r="AF800">
        <f t="shared" si="157"/>
        <v>7</v>
      </c>
      <c r="AG800">
        <f t="shared" si="158"/>
        <v>7</v>
      </c>
      <c r="AH800" s="9" t="str">
        <f t="shared" si="159"/>
        <v/>
      </c>
      <c r="AI800" s="9" t="str">
        <f t="shared" si="160"/>
        <v/>
      </c>
      <c r="AJ800" s="9" t="str">
        <f t="shared" si="161"/>
        <v/>
      </c>
      <c r="AK800" s="9" t="str">
        <f t="shared" si="162"/>
        <v/>
      </c>
      <c r="AL800" s="9" t="str">
        <f t="shared" si="163"/>
        <v/>
      </c>
      <c r="AM800" s="9" t="str">
        <f t="shared" si="164"/>
        <v/>
      </c>
      <c r="AN800" s="9" t="str">
        <f t="shared" si="165"/>
        <v/>
      </c>
      <c r="AO800" s="9" t="str">
        <f t="shared" si="166"/>
        <v/>
      </c>
      <c r="AP800" s="9" t="str">
        <f t="shared" si="167"/>
        <v/>
      </c>
      <c r="AQ800" s="10" t="str">
        <f t="shared" si="168"/>
        <v/>
      </c>
    </row>
    <row r="801" spans="1:43">
      <c r="A801">
        <v>800</v>
      </c>
      <c r="B801" t="s">
        <v>23</v>
      </c>
      <c r="C801" t="s">
        <v>853</v>
      </c>
      <c r="D801" t="s">
        <v>854</v>
      </c>
      <c r="E801" t="s">
        <v>97</v>
      </c>
      <c r="G801" t="s">
        <v>18</v>
      </c>
      <c r="H801" s="4">
        <v>19953000</v>
      </c>
      <c r="I801" s="5">
        <v>256</v>
      </c>
      <c r="J801" s="5">
        <v>0</v>
      </c>
      <c r="K801" s="5">
        <v>8</v>
      </c>
      <c r="L801">
        <v>4</v>
      </c>
      <c r="M801">
        <v>6.5</v>
      </c>
      <c r="N801">
        <v>5.92</v>
      </c>
      <c r="O801" s="6">
        <v>15.6</v>
      </c>
      <c r="P801" s="7">
        <v>2</v>
      </c>
      <c r="U801" t="s">
        <v>84</v>
      </c>
      <c r="V801" t="s">
        <v>129</v>
      </c>
      <c r="W801">
        <v>2</v>
      </c>
      <c r="X801" t="s">
        <v>104</v>
      </c>
      <c r="Y801" t="s">
        <v>1202</v>
      </c>
      <c r="Z801" t="s">
        <v>100</v>
      </c>
      <c r="AA801" t="s">
        <v>101</v>
      </c>
      <c r="AB801" t="s">
        <v>115</v>
      </c>
      <c r="AC801">
        <v>739</v>
      </c>
      <c r="AD801" s="8" t="b">
        <f>AND(
 H801&gt;=Filters!$B$3,
 H801&lt;=Filters!$B$4,
 I801&gt;=Filters!$B$5,
 OR(Filters!$B$6="All",B801=Filters!$B$6),
 F801&gt;=Filters!$B$7,
 F801&lt;=Filters!$B$8,
 OR(Filters!$B$9="All",G801=Filters!$B$9)
)</f>
        <v>1</v>
      </c>
      <c r="AE801">
        <f t="shared" si="156"/>
        <v>6</v>
      </c>
      <c r="AF801">
        <f t="shared" si="157"/>
        <v>7</v>
      </c>
      <c r="AG801">
        <f t="shared" si="158"/>
        <v>7</v>
      </c>
      <c r="AH801" s="9">
        <f t="shared" si="159"/>
        <v>0.33333333333333331</v>
      </c>
      <c r="AI801" s="9">
        <f t="shared" si="160"/>
        <v>0.80952380952380942</v>
      </c>
      <c r="AJ801" s="9">
        <f t="shared" si="161"/>
        <v>0.63095238095238093</v>
      </c>
      <c r="AK801" s="9">
        <f t="shared" si="162"/>
        <v>0.56190476190476191</v>
      </c>
      <c r="AL801" s="9">
        <f t="shared" si="163"/>
        <v>0.90476190476190466</v>
      </c>
      <c r="AM801" s="9">
        <f t="shared" si="164"/>
        <v>0.5714285714285714</v>
      </c>
      <c r="AN801" s="9">
        <f t="shared" si="165"/>
        <v>0.69047619047619047</v>
      </c>
      <c r="AO801" s="9">
        <f t="shared" si="166"/>
        <v>0.69047619047619047</v>
      </c>
      <c r="AP801" s="9">
        <f t="shared" si="167"/>
        <v>0.61720950510062522</v>
      </c>
      <c r="AQ801" s="10">
        <f t="shared" si="168"/>
        <v>0.61721030610062522</v>
      </c>
    </row>
    <row r="802" spans="1:43">
      <c r="A802">
        <v>801</v>
      </c>
      <c r="B802" t="s">
        <v>26</v>
      </c>
      <c r="C802" t="s">
        <v>917</v>
      </c>
      <c r="D802" t="s">
        <v>918</v>
      </c>
      <c r="E802" t="s">
        <v>468</v>
      </c>
      <c r="G802" t="s">
        <v>18</v>
      </c>
      <c r="H802" s="4">
        <v>55752300</v>
      </c>
      <c r="I802" s="5">
        <v>256</v>
      </c>
      <c r="J802" s="5">
        <v>0</v>
      </c>
      <c r="K802" s="5">
        <v>8</v>
      </c>
      <c r="L802">
        <v>9.6</v>
      </c>
      <c r="M802">
        <v>8</v>
      </c>
      <c r="N802">
        <v>5.92</v>
      </c>
      <c r="O802" s="6">
        <v>15.6</v>
      </c>
      <c r="P802" s="7">
        <v>3.14</v>
      </c>
      <c r="U802" t="s">
        <v>84</v>
      </c>
      <c r="V802" t="s">
        <v>210</v>
      </c>
      <c r="W802">
        <v>2.8</v>
      </c>
      <c r="X802" t="s">
        <v>122</v>
      </c>
      <c r="Y802" t="s">
        <v>1122</v>
      </c>
      <c r="Z802" t="s">
        <v>100</v>
      </c>
      <c r="AA802" t="s">
        <v>101</v>
      </c>
      <c r="AB802" t="s">
        <v>115</v>
      </c>
      <c r="AC802">
        <v>2064.9</v>
      </c>
      <c r="AD802" s="8" t="b">
        <f>AND(
 H802&gt;=Filters!$B$3,
 H802&lt;=Filters!$B$4,
 I802&gt;=Filters!$B$5,
 OR(Filters!$B$6="All",B802=Filters!$B$6),
 F802&gt;=Filters!$B$7,
 F802&lt;=Filters!$B$8,
 OR(Filters!$B$9="All",G802=Filters!$B$9)
)</f>
        <v>0</v>
      </c>
      <c r="AE802">
        <f t="shared" si="156"/>
        <v>6</v>
      </c>
      <c r="AF802">
        <f t="shared" si="157"/>
        <v>7</v>
      </c>
      <c r="AG802">
        <f t="shared" si="158"/>
        <v>7</v>
      </c>
      <c r="AH802" s="9" t="str">
        <f t="shared" si="159"/>
        <v/>
      </c>
      <c r="AI802" s="9" t="str">
        <f t="shared" si="160"/>
        <v/>
      </c>
      <c r="AJ802" s="9" t="str">
        <f t="shared" si="161"/>
        <v/>
      </c>
      <c r="AK802" s="9" t="str">
        <f t="shared" si="162"/>
        <v/>
      </c>
      <c r="AL802" s="9" t="str">
        <f t="shared" si="163"/>
        <v/>
      </c>
      <c r="AM802" s="9" t="str">
        <f t="shared" si="164"/>
        <v/>
      </c>
      <c r="AN802" s="9" t="str">
        <f t="shared" si="165"/>
        <v/>
      </c>
      <c r="AO802" s="9" t="str">
        <f t="shared" si="166"/>
        <v/>
      </c>
      <c r="AP802" s="9" t="str">
        <f t="shared" si="167"/>
        <v/>
      </c>
      <c r="AQ802" s="10" t="str">
        <f t="shared" si="168"/>
        <v/>
      </c>
    </row>
    <row r="803" spans="1:43">
      <c r="A803">
        <v>802</v>
      </c>
      <c r="B803" t="s">
        <v>21</v>
      </c>
      <c r="C803" t="s">
        <v>1203</v>
      </c>
      <c r="D803" t="s">
        <v>1204</v>
      </c>
      <c r="E803" t="s">
        <v>97</v>
      </c>
      <c r="G803" t="s">
        <v>18</v>
      </c>
      <c r="H803" s="4">
        <v>29673000</v>
      </c>
      <c r="I803" s="5">
        <v>256</v>
      </c>
      <c r="J803" s="5">
        <v>0</v>
      </c>
      <c r="K803" s="5">
        <v>8</v>
      </c>
      <c r="L803">
        <v>7</v>
      </c>
      <c r="M803">
        <v>3.5</v>
      </c>
      <c r="N803">
        <v>5.92</v>
      </c>
      <c r="O803" s="6">
        <v>15.6</v>
      </c>
      <c r="P803" s="7">
        <v>2.37</v>
      </c>
      <c r="U803" t="s">
        <v>84</v>
      </c>
      <c r="V803" t="s">
        <v>98</v>
      </c>
      <c r="W803">
        <v>2.5</v>
      </c>
      <c r="X803" t="s">
        <v>84</v>
      </c>
      <c r="Y803" t="s">
        <v>99</v>
      </c>
      <c r="Z803" t="s">
        <v>100</v>
      </c>
      <c r="AA803" t="s">
        <v>101</v>
      </c>
      <c r="AB803" t="s">
        <v>115</v>
      </c>
      <c r="AC803">
        <v>1099</v>
      </c>
      <c r="AD803" s="8" t="b">
        <f>AND(
 H803&gt;=Filters!$B$3,
 H803&lt;=Filters!$B$4,
 I803&gt;=Filters!$B$5,
 OR(Filters!$B$6="All",B803=Filters!$B$6),
 F803&gt;=Filters!$B$7,
 F803&lt;=Filters!$B$8,
 OR(Filters!$B$9="All",G803=Filters!$B$9)
)</f>
        <v>0</v>
      </c>
      <c r="AE803">
        <f t="shared" si="156"/>
        <v>6</v>
      </c>
      <c r="AF803">
        <f t="shared" si="157"/>
        <v>7</v>
      </c>
      <c r="AG803">
        <f t="shared" si="158"/>
        <v>7</v>
      </c>
      <c r="AH803" s="9" t="str">
        <f t="shared" si="159"/>
        <v/>
      </c>
      <c r="AI803" s="9" t="str">
        <f t="shared" si="160"/>
        <v/>
      </c>
      <c r="AJ803" s="9" t="str">
        <f t="shared" si="161"/>
        <v/>
      </c>
      <c r="AK803" s="9" t="str">
        <f t="shared" si="162"/>
        <v/>
      </c>
      <c r="AL803" s="9" t="str">
        <f t="shared" si="163"/>
        <v/>
      </c>
      <c r="AM803" s="9" t="str">
        <f t="shared" si="164"/>
        <v/>
      </c>
      <c r="AN803" s="9" t="str">
        <f t="shared" si="165"/>
        <v/>
      </c>
      <c r="AO803" s="9" t="str">
        <f t="shared" si="166"/>
        <v/>
      </c>
      <c r="AP803" s="9" t="str">
        <f t="shared" si="167"/>
        <v/>
      </c>
      <c r="AQ803" s="10" t="str">
        <f t="shared" si="168"/>
        <v/>
      </c>
    </row>
    <row r="804" spans="1:43">
      <c r="A804">
        <v>803</v>
      </c>
      <c r="B804" t="s">
        <v>23</v>
      </c>
      <c r="C804" t="s">
        <v>147</v>
      </c>
      <c r="D804" t="s">
        <v>148</v>
      </c>
      <c r="E804" t="s">
        <v>83</v>
      </c>
      <c r="G804" t="s">
        <v>18</v>
      </c>
      <c r="H804" s="4">
        <v>40473000</v>
      </c>
      <c r="I804" s="5">
        <v>256</v>
      </c>
      <c r="J804" s="5">
        <v>0</v>
      </c>
      <c r="K804" s="5">
        <v>8</v>
      </c>
      <c r="L804">
        <v>7</v>
      </c>
      <c r="M804">
        <v>3.5</v>
      </c>
      <c r="N804">
        <v>5.96</v>
      </c>
      <c r="O804" s="6">
        <v>13.3</v>
      </c>
      <c r="P804" s="7">
        <v>1.29</v>
      </c>
      <c r="U804" t="s">
        <v>84</v>
      </c>
      <c r="V804" t="s">
        <v>98</v>
      </c>
      <c r="W804">
        <v>2.5</v>
      </c>
      <c r="X804" t="s">
        <v>84</v>
      </c>
      <c r="Y804" t="s">
        <v>99</v>
      </c>
      <c r="Z804" t="s">
        <v>100</v>
      </c>
      <c r="AA804" t="s">
        <v>101</v>
      </c>
      <c r="AB804" t="s">
        <v>115</v>
      </c>
      <c r="AC804">
        <v>1499</v>
      </c>
      <c r="AD804" s="8" t="b">
        <f>AND(
 H804&gt;=Filters!$B$3,
 H804&lt;=Filters!$B$4,
 I804&gt;=Filters!$B$5,
 OR(Filters!$B$6="All",B804=Filters!$B$6),
 F804&gt;=Filters!$B$7,
 F804&lt;=Filters!$B$8,
 OR(Filters!$B$9="All",G804=Filters!$B$9)
)</f>
        <v>0</v>
      </c>
      <c r="AE804">
        <f t="shared" si="156"/>
        <v>6</v>
      </c>
      <c r="AF804">
        <f t="shared" si="157"/>
        <v>7</v>
      </c>
      <c r="AG804">
        <f t="shared" si="158"/>
        <v>7</v>
      </c>
      <c r="AH804" s="9" t="str">
        <f t="shared" si="159"/>
        <v/>
      </c>
      <c r="AI804" s="9" t="str">
        <f t="shared" si="160"/>
        <v/>
      </c>
      <c r="AJ804" s="9" t="str">
        <f t="shared" si="161"/>
        <v/>
      </c>
      <c r="AK804" s="9" t="str">
        <f t="shared" si="162"/>
        <v/>
      </c>
      <c r="AL804" s="9" t="str">
        <f t="shared" si="163"/>
        <v/>
      </c>
      <c r="AM804" s="9" t="str">
        <f t="shared" si="164"/>
        <v/>
      </c>
      <c r="AN804" s="9" t="str">
        <f t="shared" si="165"/>
        <v/>
      </c>
      <c r="AO804" s="9" t="str">
        <f t="shared" si="166"/>
        <v/>
      </c>
      <c r="AP804" s="9" t="str">
        <f t="shared" si="167"/>
        <v/>
      </c>
      <c r="AQ804" s="10" t="str">
        <f t="shared" si="168"/>
        <v/>
      </c>
    </row>
    <row r="805" spans="1:43">
      <c r="A805">
        <v>804</v>
      </c>
      <c r="B805" t="s">
        <v>23</v>
      </c>
      <c r="C805" t="s">
        <v>437</v>
      </c>
      <c r="D805" t="s">
        <v>438</v>
      </c>
      <c r="E805" t="s">
        <v>97</v>
      </c>
      <c r="G805" t="s">
        <v>18</v>
      </c>
      <c r="H805" s="4">
        <v>47223000</v>
      </c>
      <c r="I805" s="5">
        <v>256</v>
      </c>
      <c r="J805" s="5">
        <v>0</v>
      </c>
      <c r="K805" s="5">
        <v>8</v>
      </c>
      <c r="L805">
        <v>7</v>
      </c>
      <c r="M805">
        <v>9.1999999999999993</v>
      </c>
      <c r="N805">
        <v>9.7200000000000006</v>
      </c>
      <c r="O805" s="6">
        <v>15.6</v>
      </c>
      <c r="P805" s="7">
        <v>2.06</v>
      </c>
      <c r="U805" t="s">
        <v>84</v>
      </c>
      <c r="V805" t="s">
        <v>159</v>
      </c>
      <c r="W805">
        <v>2.5</v>
      </c>
      <c r="X805" t="s">
        <v>122</v>
      </c>
      <c r="Y805" t="s">
        <v>160</v>
      </c>
      <c r="Z805" t="s">
        <v>100</v>
      </c>
      <c r="AA805" t="s">
        <v>439</v>
      </c>
      <c r="AB805" t="s">
        <v>115</v>
      </c>
      <c r="AC805">
        <v>1749</v>
      </c>
      <c r="AD805" s="8" t="b">
        <f>AND(
 H805&gt;=Filters!$B$3,
 H805&lt;=Filters!$B$4,
 I805&gt;=Filters!$B$5,
 OR(Filters!$B$6="All",B805=Filters!$B$6),
 F805&gt;=Filters!$B$7,
 F805&lt;=Filters!$B$8,
 OR(Filters!$B$9="All",G805=Filters!$B$9)
)</f>
        <v>0</v>
      </c>
      <c r="AE805">
        <f t="shared" si="156"/>
        <v>6</v>
      </c>
      <c r="AF805">
        <f t="shared" si="157"/>
        <v>7</v>
      </c>
      <c r="AG805">
        <f t="shared" si="158"/>
        <v>7</v>
      </c>
      <c r="AH805" s="9" t="str">
        <f t="shared" si="159"/>
        <v/>
      </c>
      <c r="AI805" s="9" t="str">
        <f t="shared" si="160"/>
        <v/>
      </c>
      <c r="AJ805" s="9" t="str">
        <f t="shared" si="161"/>
        <v/>
      </c>
      <c r="AK805" s="9" t="str">
        <f t="shared" si="162"/>
        <v/>
      </c>
      <c r="AL805" s="9" t="str">
        <f t="shared" si="163"/>
        <v/>
      </c>
      <c r="AM805" s="9" t="str">
        <f t="shared" si="164"/>
        <v/>
      </c>
      <c r="AN805" s="9" t="str">
        <f t="shared" si="165"/>
        <v/>
      </c>
      <c r="AO805" s="9" t="str">
        <f t="shared" si="166"/>
        <v/>
      </c>
      <c r="AP805" s="9" t="str">
        <f t="shared" si="167"/>
        <v/>
      </c>
      <c r="AQ805" s="10" t="str">
        <f t="shared" si="168"/>
        <v/>
      </c>
    </row>
    <row r="806" spans="1:43">
      <c r="A806">
        <v>805</v>
      </c>
      <c r="B806" t="s">
        <v>23</v>
      </c>
      <c r="C806" t="s">
        <v>1205</v>
      </c>
      <c r="D806" t="s">
        <v>1206</v>
      </c>
      <c r="E806" t="s">
        <v>152</v>
      </c>
      <c r="G806" t="s">
        <v>18</v>
      </c>
      <c r="H806" s="4">
        <v>20088000</v>
      </c>
      <c r="I806" s="5">
        <v>128</v>
      </c>
      <c r="J806" s="5">
        <v>0</v>
      </c>
      <c r="K806" s="5">
        <v>4</v>
      </c>
      <c r="L806">
        <v>1.2</v>
      </c>
      <c r="M806">
        <v>3.5</v>
      </c>
      <c r="N806">
        <v>3.88</v>
      </c>
      <c r="O806" s="6">
        <v>11.6</v>
      </c>
      <c r="P806" s="7">
        <v>1.63</v>
      </c>
      <c r="U806" t="s">
        <v>84</v>
      </c>
      <c r="V806" t="s">
        <v>229</v>
      </c>
      <c r="W806">
        <v>1.1000000000000001</v>
      </c>
      <c r="X806" t="s">
        <v>84</v>
      </c>
      <c r="Y806" t="s">
        <v>418</v>
      </c>
      <c r="Z806" t="s">
        <v>87</v>
      </c>
      <c r="AA806" t="s">
        <v>114</v>
      </c>
      <c r="AB806" t="s">
        <v>115</v>
      </c>
      <c r="AC806">
        <v>744</v>
      </c>
      <c r="AD806" s="8" t="b">
        <f>AND(
 H806&gt;=Filters!$B$3,
 H806&lt;=Filters!$B$4,
 I806&gt;=Filters!$B$5,
 OR(Filters!$B$6="All",B806=Filters!$B$6),
 F806&gt;=Filters!$B$7,
 F806&lt;=Filters!$B$8,
 OR(Filters!$B$9="All",G806=Filters!$B$9)
)</f>
        <v>0</v>
      </c>
      <c r="AE806">
        <f t="shared" si="156"/>
        <v>6</v>
      </c>
      <c r="AF806">
        <f t="shared" si="157"/>
        <v>7</v>
      </c>
      <c r="AG806">
        <f t="shared" si="158"/>
        <v>7</v>
      </c>
      <c r="AH806" s="9" t="str">
        <f t="shared" si="159"/>
        <v/>
      </c>
      <c r="AI806" s="9" t="str">
        <f t="shared" si="160"/>
        <v/>
      </c>
      <c r="AJ806" s="9" t="str">
        <f t="shared" si="161"/>
        <v/>
      </c>
      <c r="AK806" s="9" t="str">
        <f t="shared" si="162"/>
        <v/>
      </c>
      <c r="AL806" s="9" t="str">
        <f t="shared" si="163"/>
        <v/>
      </c>
      <c r="AM806" s="9" t="str">
        <f t="shared" si="164"/>
        <v/>
      </c>
      <c r="AN806" s="9" t="str">
        <f t="shared" si="165"/>
        <v/>
      </c>
      <c r="AO806" s="9" t="str">
        <f t="shared" si="166"/>
        <v/>
      </c>
      <c r="AP806" s="9" t="str">
        <f t="shared" si="167"/>
        <v/>
      </c>
      <c r="AQ806" s="10" t="str">
        <f t="shared" si="168"/>
        <v/>
      </c>
    </row>
    <row r="807" spans="1:43">
      <c r="A807">
        <v>806</v>
      </c>
      <c r="B807" t="s">
        <v>26</v>
      </c>
      <c r="C807" t="s">
        <v>1207</v>
      </c>
      <c r="D807" t="s">
        <v>1166</v>
      </c>
      <c r="E807" t="s">
        <v>152</v>
      </c>
      <c r="G807" t="s">
        <v>18</v>
      </c>
      <c r="H807" s="4">
        <v>37503000</v>
      </c>
      <c r="I807" s="5">
        <v>256</v>
      </c>
      <c r="J807" s="5">
        <v>0</v>
      </c>
      <c r="K807" s="5">
        <v>8</v>
      </c>
      <c r="L807">
        <v>7.2</v>
      </c>
      <c r="M807">
        <v>3.5</v>
      </c>
      <c r="N807">
        <v>3.92</v>
      </c>
      <c r="O807" s="6">
        <v>12.5</v>
      </c>
      <c r="P807" s="7">
        <v>1.26</v>
      </c>
      <c r="U807" t="s">
        <v>84</v>
      </c>
      <c r="V807" t="s">
        <v>633</v>
      </c>
      <c r="W807">
        <v>2.6</v>
      </c>
      <c r="X807" t="s">
        <v>84</v>
      </c>
      <c r="Y807" t="s">
        <v>99</v>
      </c>
      <c r="Z807" t="s">
        <v>100</v>
      </c>
      <c r="AA807" t="s">
        <v>114</v>
      </c>
      <c r="AB807" t="s">
        <v>115</v>
      </c>
      <c r="AC807">
        <v>1389</v>
      </c>
      <c r="AD807" s="8" t="b">
        <f>AND(
 H807&gt;=Filters!$B$3,
 H807&lt;=Filters!$B$4,
 I807&gt;=Filters!$B$5,
 OR(Filters!$B$6="All",B807=Filters!$B$6),
 F807&gt;=Filters!$B$7,
 F807&lt;=Filters!$B$8,
 OR(Filters!$B$9="All",G807=Filters!$B$9)
)</f>
        <v>0</v>
      </c>
      <c r="AE807">
        <f t="shared" si="156"/>
        <v>6</v>
      </c>
      <c r="AF807">
        <f t="shared" si="157"/>
        <v>7</v>
      </c>
      <c r="AG807">
        <f t="shared" si="158"/>
        <v>7</v>
      </c>
      <c r="AH807" s="9" t="str">
        <f t="shared" si="159"/>
        <v/>
      </c>
      <c r="AI807" s="9" t="str">
        <f t="shared" si="160"/>
        <v/>
      </c>
      <c r="AJ807" s="9" t="str">
        <f t="shared" si="161"/>
        <v/>
      </c>
      <c r="AK807" s="9" t="str">
        <f t="shared" si="162"/>
        <v/>
      </c>
      <c r="AL807" s="9" t="str">
        <f t="shared" si="163"/>
        <v/>
      </c>
      <c r="AM807" s="9" t="str">
        <f t="shared" si="164"/>
        <v/>
      </c>
      <c r="AN807" s="9" t="str">
        <f t="shared" si="165"/>
        <v/>
      </c>
      <c r="AO807" s="9" t="str">
        <f t="shared" si="166"/>
        <v/>
      </c>
      <c r="AP807" s="9" t="str">
        <f t="shared" si="167"/>
        <v/>
      </c>
      <c r="AQ807" s="10" t="str">
        <f t="shared" si="168"/>
        <v/>
      </c>
    </row>
    <row r="808" spans="1:43">
      <c r="A808">
        <v>807</v>
      </c>
      <c r="B808" t="s">
        <v>35</v>
      </c>
      <c r="C808" t="s">
        <v>373</v>
      </c>
      <c r="D808" t="s">
        <v>374</v>
      </c>
      <c r="E808" t="s">
        <v>97</v>
      </c>
      <c r="G808" t="s">
        <v>18</v>
      </c>
      <c r="H808" s="4">
        <v>21060000</v>
      </c>
      <c r="I808" s="5">
        <v>0</v>
      </c>
      <c r="J808" s="5">
        <v>500</v>
      </c>
      <c r="K808" s="5">
        <v>4</v>
      </c>
      <c r="L808">
        <v>6.6</v>
      </c>
      <c r="M808">
        <v>3.5</v>
      </c>
      <c r="N808">
        <v>3.92</v>
      </c>
      <c r="O808" s="6">
        <v>15.6</v>
      </c>
      <c r="P808" s="7">
        <v>2.1</v>
      </c>
      <c r="U808" t="s">
        <v>84</v>
      </c>
      <c r="V808" t="s">
        <v>375</v>
      </c>
      <c r="W808">
        <v>2.2999999999999998</v>
      </c>
      <c r="X808" t="s">
        <v>84</v>
      </c>
      <c r="Y808" t="s">
        <v>130</v>
      </c>
      <c r="Z808" t="s">
        <v>113</v>
      </c>
      <c r="AA808" t="s">
        <v>114</v>
      </c>
      <c r="AB808" t="s">
        <v>115</v>
      </c>
      <c r="AC808">
        <v>780</v>
      </c>
      <c r="AD808" s="8" t="b">
        <f>AND(
 H808&gt;=Filters!$B$3,
 H808&lt;=Filters!$B$4,
 I808&gt;=Filters!$B$5,
 OR(Filters!$B$6="All",B808=Filters!$B$6),
 F808&gt;=Filters!$B$7,
 F808&lt;=Filters!$B$8,
 OR(Filters!$B$9="All",G808=Filters!$B$9)
)</f>
        <v>0</v>
      </c>
      <c r="AE808">
        <f t="shared" si="156"/>
        <v>6</v>
      </c>
      <c r="AF808">
        <f t="shared" si="157"/>
        <v>7</v>
      </c>
      <c r="AG808">
        <f t="shared" si="158"/>
        <v>7</v>
      </c>
      <c r="AH808" s="9" t="str">
        <f t="shared" si="159"/>
        <v/>
      </c>
      <c r="AI808" s="9" t="str">
        <f t="shared" si="160"/>
        <v/>
      </c>
      <c r="AJ808" s="9" t="str">
        <f t="shared" si="161"/>
        <v/>
      </c>
      <c r="AK808" s="9" t="str">
        <f t="shared" si="162"/>
        <v/>
      </c>
      <c r="AL808" s="9" t="str">
        <f t="shared" si="163"/>
        <v/>
      </c>
      <c r="AM808" s="9" t="str">
        <f t="shared" si="164"/>
        <v/>
      </c>
      <c r="AN808" s="9" t="str">
        <f t="shared" si="165"/>
        <v/>
      </c>
      <c r="AO808" s="9" t="str">
        <f t="shared" si="166"/>
        <v/>
      </c>
      <c r="AP808" s="9" t="str">
        <f t="shared" si="167"/>
        <v/>
      </c>
      <c r="AQ808" s="10" t="str">
        <f t="shared" si="168"/>
        <v/>
      </c>
    </row>
    <row r="809" spans="1:43">
      <c r="A809">
        <v>808</v>
      </c>
      <c r="B809" t="s">
        <v>26</v>
      </c>
      <c r="C809" t="s">
        <v>1208</v>
      </c>
      <c r="D809" t="s">
        <v>1209</v>
      </c>
      <c r="E809" t="s">
        <v>97</v>
      </c>
      <c r="G809" t="s">
        <v>18</v>
      </c>
      <c r="H809" s="4">
        <v>16983000</v>
      </c>
      <c r="I809" s="5">
        <v>0</v>
      </c>
      <c r="J809" s="5">
        <v>2048</v>
      </c>
      <c r="K809" s="5">
        <v>8</v>
      </c>
      <c r="L809">
        <v>6</v>
      </c>
      <c r="M809">
        <v>6.5</v>
      </c>
      <c r="N809">
        <v>3.92</v>
      </c>
      <c r="O809" s="6">
        <v>15.6</v>
      </c>
      <c r="P809" s="7">
        <v>2.04</v>
      </c>
      <c r="U809" t="s">
        <v>104</v>
      </c>
      <c r="V809" t="s">
        <v>1210</v>
      </c>
      <c r="W809">
        <v>2.5</v>
      </c>
      <c r="X809" t="s">
        <v>104</v>
      </c>
      <c r="Y809" t="s">
        <v>1211</v>
      </c>
      <c r="Z809" t="s">
        <v>283</v>
      </c>
      <c r="AA809" t="s">
        <v>114</v>
      </c>
      <c r="AB809" t="s">
        <v>115</v>
      </c>
      <c r="AC809">
        <v>629</v>
      </c>
      <c r="AD809" s="8" t="b">
        <f>AND(
 H809&gt;=Filters!$B$3,
 H809&lt;=Filters!$B$4,
 I809&gt;=Filters!$B$5,
 OR(Filters!$B$6="All",B809=Filters!$B$6),
 F809&gt;=Filters!$B$7,
 F809&lt;=Filters!$B$8,
 OR(Filters!$B$9="All",G809=Filters!$B$9)
)</f>
        <v>0</v>
      </c>
      <c r="AE809">
        <f t="shared" si="156"/>
        <v>6</v>
      </c>
      <c r="AF809">
        <f t="shared" si="157"/>
        <v>7</v>
      </c>
      <c r="AG809">
        <f t="shared" si="158"/>
        <v>7</v>
      </c>
      <c r="AH809" s="9" t="str">
        <f t="shared" si="159"/>
        <v/>
      </c>
      <c r="AI809" s="9" t="str">
        <f t="shared" si="160"/>
        <v/>
      </c>
      <c r="AJ809" s="9" t="str">
        <f t="shared" si="161"/>
        <v/>
      </c>
      <c r="AK809" s="9" t="str">
        <f t="shared" si="162"/>
        <v/>
      </c>
      <c r="AL809" s="9" t="str">
        <f t="shared" si="163"/>
        <v/>
      </c>
      <c r="AM809" s="9" t="str">
        <f t="shared" si="164"/>
        <v/>
      </c>
      <c r="AN809" s="9" t="str">
        <f t="shared" si="165"/>
        <v/>
      </c>
      <c r="AO809" s="9" t="str">
        <f t="shared" si="166"/>
        <v/>
      </c>
      <c r="AP809" s="9" t="str">
        <f t="shared" si="167"/>
        <v/>
      </c>
      <c r="AQ809" s="10" t="str">
        <f t="shared" si="168"/>
        <v/>
      </c>
    </row>
    <row r="810" spans="1:43">
      <c r="A810">
        <v>809</v>
      </c>
      <c r="B810" t="s">
        <v>23</v>
      </c>
      <c r="C810" t="s">
        <v>391</v>
      </c>
      <c r="D810" t="s">
        <v>392</v>
      </c>
      <c r="E810" t="s">
        <v>158</v>
      </c>
      <c r="G810" t="s">
        <v>18</v>
      </c>
      <c r="H810" s="4">
        <v>45333000</v>
      </c>
      <c r="I810" s="5">
        <v>512</v>
      </c>
      <c r="J810" s="5">
        <v>0</v>
      </c>
      <c r="K810" s="5">
        <v>16</v>
      </c>
      <c r="L810">
        <v>9.6</v>
      </c>
      <c r="M810">
        <v>9.1999999999999993</v>
      </c>
      <c r="N810">
        <v>9.42</v>
      </c>
      <c r="O810" s="6">
        <v>15.6</v>
      </c>
      <c r="P810" s="7">
        <v>2.62</v>
      </c>
      <c r="U810" t="s">
        <v>84</v>
      </c>
      <c r="V810" t="s">
        <v>210</v>
      </c>
      <c r="W810">
        <v>2.8</v>
      </c>
      <c r="X810" t="s">
        <v>122</v>
      </c>
      <c r="Y810" t="s">
        <v>260</v>
      </c>
      <c r="Z810" t="s">
        <v>106</v>
      </c>
      <c r="AA810" t="s">
        <v>471</v>
      </c>
      <c r="AB810" t="s">
        <v>115</v>
      </c>
      <c r="AC810">
        <v>1679</v>
      </c>
      <c r="AD810" s="8" t="b">
        <f>AND(
 H810&gt;=Filters!$B$3,
 H810&lt;=Filters!$B$4,
 I810&gt;=Filters!$B$5,
 OR(Filters!$B$6="All",B810=Filters!$B$6),
 F810&gt;=Filters!$B$7,
 F810&lt;=Filters!$B$8,
 OR(Filters!$B$9="All",G810=Filters!$B$9)
)</f>
        <v>0</v>
      </c>
      <c r="AE810">
        <f t="shared" si="156"/>
        <v>6</v>
      </c>
      <c r="AF810">
        <f t="shared" si="157"/>
        <v>7</v>
      </c>
      <c r="AG810">
        <f t="shared" si="158"/>
        <v>7</v>
      </c>
      <c r="AH810" s="9" t="str">
        <f t="shared" si="159"/>
        <v/>
      </c>
      <c r="AI810" s="9" t="str">
        <f t="shared" si="160"/>
        <v/>
      </c>
      <c r="AJ810" s="9" t="str">
        <f t="shared" si="161"/>
        <v/>
      </c>
      <c r="AK810" s="9" t="str">
        <f t="shared" si="162"/>
        <v/>
      </c>
      <c r="AL810" s="9" t="str">
        <f t="shared" si="163"/>
        <v/>
      </c>
      <c r="AM810" s="9" t="str">
        <f t="shared" si="164"/>
        <v/>
      </c>
      <c r="AN810" s="9" t="str">
        <f t="shared" si="165"/>
        <v/>
      </c>
      <c r="AO810" s="9" t="str">
        <f t="shared" si="166"/>
        <v/>
      </c>
      <c r="AP810" s="9" t="str">
        <f t="shared" si="167"/>
        <v/>
      </c>
      <c r="AQ810" s="10" t="str">
        <f t="shared" si="168"/>
        <v/>
      </c>
    </row>
    <row r="811" spans="1:43">
      <c r="A811">
        <v>810</v>
      </c>
      <c r="B811" t="s">
        <v>29</v>
      </c>
      <c r="C811" t="s">
        <v>968</v>
      </c>
      <c r="D811" t="s">
        <v>969</v>
      </c>
      <c r="E811" t="s">
        <v>97</v>
      </c>
      <c r="G811" t="s">
        <v>18</v>
      </c>
      <c r="H811" s="4">
        <v>16443000</v>
      </c>
      <c r="I811" s="5">
        <v>0</v>
      </c>
      <c r="J811" s="5">
        <v>1024</v>
      </c>
      <c r="K811" s="5">
        <v>4</v>
      </c>
      <c r="L811">
        <v>7</v>
      </c>
      <c r="M811">
        <v>8.5</v>
      </c>
      <c r="N811">
        <v>5.92</v>
      </c>
      <c r="O811" s="6">
        <v>15.6</v>
      </c>
      <c r="P811" s="7">
        <v>2.4</v>
      </c>
      <c r="U811" t="s">
        <v>84</v>
      </c>
      <c r="V811" t="s">
        <v>98</v>
      </c>
      <c r="W811">
        <v>2.5</v>
      </c>
      <c r="X811" t="s">
        <v>122</v>
      </c>
      <c r="Y811" t="s">
        <v>311</v>
      </c>
      <c r="Z811" t="s">
        <v>146</v>
      </c>
      <c r="AA811" t="s">
        <v>101</v>
      </c>
      <c r="AB811" t="s">
        <v>115</v>
      </c>
      <c r="AC811">
        <v>609</v>
      </c>
      <c r="AD811" s="8" t="b">
        <f>AND(
 H811&gt;=Filters!$B$3,
 H811&lt;=Filters!$B$4,
 I811&gt;=Filters!$B$5,
 OR(Filters!$B$6="All",B811=Filters!$B$6),
 F811&gt;=Filters!$B$7,
 F811&lt;=Filters!$B$8,
 OR(Filters!$B$9="All",G811=Filters!$B$9)
)</f>
        <v>0</v>
      </c>
      <c r="AE811">
        <f t="shared" si="156"/>
        <v>6</v>
      </c>
      <c r="AF811">
        <f t="shared" si="157"/>
        <v>7</v>
      </c>
      <c r="AG811">
        <f t="shared" si="158"/>
        <v>7</v>
      </c>
      <c r="AH811" s="9" t="str">
        <f t="shared" si="159"/>
        <v/>
      </c>
      <c r="AI811" s="9" t="str">
        <f t="shared" si="160"/>
        <v/>
      </c>
      <c r="AJ811" s="9" t="str">
        <f t="shared" si="161"/>
        <v/>
      </c>
      <c r="AK811" s="9" t="str">
        <f t="shared" si="162"/>
        <v/>
      </c>
      <c r="AL811" s="9" t="str">
        <f t="shared" si="163"/>
        <v/>
      </c>
      <c r="AM811" s="9" t="str">
        <f t="shared" si="164"/>
        <v/>
      </c>
      <c r="AN811" s="9" t="str">
        <f t="shared" si="165"/>
        <v/>
      </c>
      <c r="AO811" s="9" t="str">
        <f t="shared" si="166"/>
        <v/>
      </c>
      <c r="AP811" s="9" t="str">
        <f t="shared" si="167"/>
        <v/>
      </c>
      <c r="AQ811" s="10" t="str">
        <f t="shared" si="168"/>
        <v/>
      </c>
    </row>
    <row r="812" spans="1:43">
      <c r="A812">
        <v>811</v>
      </c>
      <c r="B812" t="s">
        <v>26</v>
      </c>
      <c r="C812" t="s">
        <v>1212</v>
      </c>
      <c r="D812" t="s">
        <v>1213</v>
      </c>
      <c r="E812" t="s">
        <v>158</v>
      </c>
      <c r="G812" t="s">
        <v>18</v>
      </c>
      <c r="H812" s="4">
        <v>47223000</v>
      </c>
      <c r="I812" s="5">
        <v>0</v>
      </c>
      <c r="J812" s="5">
        <v>1024</v>
      </c>
      <c r="K812" s="5">
        <v>12</v>
      </c>
      <c r="L812">
        <v>9.6</v>
      </c>
      <c r="M812">
        <v>8</v>
      </c>
      <c r="N812">
        <v>6.24</v>
      </c>
      <c r="O812" s="6">
        <v>17.3</v>
      </c>
      <c r="P812" s="7">
        <v>3.74</v>
      </c>
      <c r="U812" t="s">
        <v>84</v>
      </c>
      <c r="V812" t="s">
        <v>210</v>
      </c>
      <c r="W812">
        <v>2.8</v>
      </c>
      <c r="X812" t="s">
        <v>104</v>
      </c>
      <c r="Y812" t="s">
        <v>226</v>
      </c>
      <c r="Z812" t="s">
        <v>146</v>
      </c>
      <c r="AA812" t="s">
        <v>128</v>
      </c>
      <c r="AB812" t="s">
        <v>115</v>
      </c>
      <c r="AC812">
        <v>1749</v>
      </c>
      <c r="AD812" s="8" t="b">
        <f>AND(
 H812&gt;=Filters!$B$3,
 H812&lt;=Filters!$B$4,
 I812&gt;=Filters!$B$5,
 OR(Filters!$B$6="All",B812=Filters!$B$6),
 F812&gt;=Filters!$B$7,
 F812&lt;=Filters!$B$8,
 OR(Filters!$B$9="All",G812=Filters!$B$9)
)</f>
        <v>0</v>
      </c>
      <c r="AE812">
        <f t="shared" si="156"/>
        <v>6</v>
      </c>
      <c r="AF812">
        <f t="shared" si="157"/>
        <v>7</v>
      </c>
      <c r="AG812">
        <f t="shared" si="158"/>
        <v>7</v>
      </c>
      <c r="AH812" s="9" t="str">
        <f t="shared" si="159"/>
        <v/>
      </c>
      <c r="AI812" s="9" t="str">
        <f t="shared" si="160"/>
        <v/>
      </c>
      <c r="AJ812" s="9" t="str">
        <f t="shared" si="161"/>
        <v/>
      </c>
      <c r="AK812" s="9" t="str">
        <f t="shared" si="162"/>
        <v/>
      </c>
      <c r="AL812" s="9" t="str">
        <f t="shared" si="163"/>
        <v/>
      </c>
      <c r="AM812" s="9" t="str">
        <f t="shared" si="164"/>
        <v/>
      </c>
      <c r="AN812" s="9" t="str">
        <f t="shared" si="165"/>
        <v/>
      </c>
      <c r="AO812" s="9" t="str">
        <f t="shared" si="166"/>
        <v/>
      </c>
      <c r="AP812" s="9" t="str">
        <f t="shared" si="167"/>
        <v/>
      </c>
      <c r="AQ812" s="10" t="str">
        <f t="shared" si="168"/>
        <v/>
      </c>
    </row>
    <row r="813" spans="1:43">
      <c r="A813">
        <v>812</v>
      </c>
      <c r="B813" t="s">
        <v>30</v>
      </c>
      <c r="C813" t="s">
        <v>385</v>
      </c>
      <c r="D813" t="s">
        <v>386</v>
      </c>
      <c r="E813" t="s">
        <v>158</v>
      </c>
      <c r="G813" t="s">
        <v>18</v>
      </c>
      <c r="H813" s="4">
        <v>65205000</v>
      </c>
      <c r="I813" s="5">
        <v>512</v>
      </c>
      <c r="J813" s="5">
        <v>1024</v>
      </c>
      <c r="K813" s="5">
        <v>16</v>
      </c>
      <c r="L813">
        <v>9.6</v>
      </c>
      <c r="M813">
        <v>9.1999999999999993</v>
      </c>
      <c r="N813">
        <v>5.83</v>
      </c>
      <c r="O813" s="6">
        <v>17.3</v>
      </c>
      <c r="P813" s="7">
        <v>2.9</v>
      </c>
      <c r="U813" t="s">
        <v>84</v>
      </c>
      <c r="V813" t="s">
        <v>210</v>
      </c>
      <c r="W813">
        <v>2.8</v>
      </c>
      <c r="X813" t="s">
        <v>122</v>
      </c>
      <c r="Y813" t="s">
        <v>248</v>
      </c>
      <c r="Z813" t="s">
        <v>428</v>
      </c>
      <c r="AA813" t="s">
        <v>101</v>
      </c>
      <c r="AB813" t="s">
        <v>115</v>
      </c>
      <c r="AC813">
        <v>2415</v>
      </c>
      <c r="AD813" s="8" t="b">
        <f>AND(
 H813&gt;=Filters!$B$3,
 H813&lt;=Filters!$B$4,
 I813&gt;=Filters!$B$5,
 OR(Filters!$B$6="All",B813=Filters!$B$6),
 F813&gt;=Filters!$B$7,
 F813&lt;=Filters!$B$8,
 OR(Filters!$B$9="All",G813=Filters!$B$9)
)</f>
        <v>0</v>
      </c>
      <c r="AE813">
        <f t="shared" si="156"/>
        <v>6</v>
      </c>
      <c r="AF813">
        <f t="shared" si="157"/>
        <v>7</v>
      </c>
      <c r="AG813">
        <f t="shared" si="158"/>
        <v>7</v>
      </c>
      <c r="AH813" s="9" t="str">
        <f t="shared" si="159"/>
        <v/>
      </c>
      <c r="AI813" s="9" t="str">
        <f t="shared" si="160"/>
        <v/>
      </c>
      <c r="AJ813" s="9" t="str">
        <f t="shared" si="161"/>
        <v/>
      </c>
      <c r="AK813" s="9" t="str">
        <f t="shared" si="162"/>
        <v/>
      </c>
      <c r="AL813" s="9" t="str">
        <f t="shared" si="163"/>
        <v/>
      </c>
      <c r="AM813" s="9" t="str">
        <f t="shared" si="164"/>
        <v/>
      </c>
      <c r="AN813" s="9" t="str">
        <f t="shared" si="165"/>
        <v/>
      </c>
      <c r="AO813" s="9" t="str">
        <f t="shared" si="166"/>
        <v/>
      </c>
      <c r="AP813" s="9" t="str">
        <f t="shared" si="167"/>
        <v/>
      </c>
      <c r="AQ813" s="10" t="str">
        <f t="shared" si="168"/>
        <v/>
      </c>
    </row>
    <row r="814" spans="1:43">
      <c r="A814">
        <v>813</v>
      </c>
      <c r="B814" t="s">
        <v>34</v>
      </c>
      <c r="C814" t="s">
        <v>1131</v>
      </c>
      <c r="D814" t="s">
        <v>1132</v>
      </c>
      <c r="E814" t="s">
        <v>83</v>
      </c>
      <c r="G814" t="s">
        <v>18</v>
      </c>
      <c r="H814" s="4">
        <v>40473000</v>
      </c>
      <c r="I814" s="5">
        <v>256</v>
      </c>
      <c r="J814" s="5">
        <v>0</v>
      </c>
      <c r="K814" s="5">
        <v>8</v>
      </c>
      <c r="L814">
        <v>7</v>
      </c>
      <c r="M814">
        <v>3.5</v>
      </c>
      <c r="N814">
        <v>5.96</v>
      </c>
      <c r="O814" s="6">
        <v>13.3</v>
      </c>
      <c r="P814" s="7">
        <v>0.81</v>
      </c>
      <c r="U814" t="s">
        <v>84</v>
      </c>
      <c r="V814" t="s">
        <v>98</v>
      </c>
      <c r="W814">
        <v>2.5</v>
      </c>
      <c r="X814" t="s">
        <v>84</v>
      </c>
      <c r="Y814" t="s">
        <v>99</v>
      </c>
      <c r="Z814" t="s">
        <v>100</v>
      </c>
      <c r="AA814" t="s">
        <v>101</v>
      </c>
      <c r="AB814" t="s">
        <v>115</v>
      </c>
      <c r="AC814">
        <v>1499</v>
      </c>
      <c r="AD814" s="8" t="b">
        <f>AND(
 H814&gt;=Filters!$B$3,
 H814&lt;=Filters!$B$4,
 I814&gt;=Filters!$B$5,
 OR(Filters!$B$6="All",B814=Filters!$B$6),
 F814&gt;=Filters!$B$7,
 F814&lt;=Filters!$B$8,
 OR(Filters!$B$9="All",G814=Filters!$B$9)
)</f>
        <v>0</v>
      </c>
      <c r="AE814">
        <f t="shared" si="156"/>
        <v>6</v>
      </c>
      <c r="AF814">
        <f t="shared" si="157"/>
        <v>7</v>
      </c>
      <c r="AG814">
        <f t="shared" si="158"/>
        <v>7</v>
      </c>
      <c r="AH814" s="9" t="str">
        <f t="shared" si="159"/>
        <v/>
      </c>
      <c r="AI814" s="9" t="str">
        <f t="shared" si="160"/>
        <v/>
      </c>
      <c r="AJ814" s="9" t="str">
        <f t="shared" si="161"/>
        <v/>
      </c>
      <c r="AK814" s="9" t="str">
        <f t="shared" si="162"/>
        <v/>
      </c>
      <c r="AL814" s="9" t="str">
        <f t="shared" si="163"/>
        <v/>
      </c>
      <c r="AM814" s="9" t="str">
        <f t="shared" si="164"/>
        <v/>
      </c>
      <c r="AN814" s="9" t="str">
        <f t="shared" si="165"/>
        <v/>
      </c>
      <c r="AO814" s="9" t="str">
        <f t="shared" si="166"/>
        <v/>
      </c>
      <c r="AP814" s="9" t="str">
        <f t="shared" si="167"/>
        <v/>
      </c>
      <c r="AQ814" s="10" t="str">
        <f t="shared" si="168"/>
        <v/>
      </c>
    </row>
    <row r="815" spans="1:43">
      <c r="A815">
        <v>814</v>
      </c>
      <c r="B815" t="s">
        <v>23</v>
      </c>
      <c r="C815" t="s">
        <v>853</v>
      </c>
      <c r="D815" t="s">
        <v>854</v>
      </c>
      <c r="E815" t="s">
        <v>97</v>
      </c>
      <c r="G815" t="s">
        <v>18</v>
      </c>
      <c r="H815" s="4">
        <v>25947000</v>
      </c>
      <c r="I815" s="5">
        <v>0</v>
      </c>
      <c r="J815" s="5">
        <v>1024</v>
      </c>
      <c r="K815" s="5">
        <v>8</v>
      </c>
      <c r="L815">
        <v>9.4</v>
      </c>
      <c r="M815">
        <v>6.5</v>
      </c>
      <c r="N815">
        <v>5.92</v>
      </c>
      <c r="O815" s="6">
        <v>15.6</v>
      </c>
      <c r="P815" s="7">
        <v>1.98</v>
      </c>
      <c r="U815" t="s">
        <v>84</v>
      </c>
      <c r="V815" t="s">
        <v>140</v>
      </c>
      <c r="W815">
        <v>2.7</v>
      </c>
      <c r="X815" t="s">
        <v>122</v>
      </c>
      <c r="Y815" t="s">
        <v>661</v>
      </c>
      <c r="Z815" t="s">
        <v>146</v>
      </c>
      <c r="AA815" t="s">
        <v>101</v>
      </c>
      <c r="AB815" t="s">
        <v>115</v>
      </c>
      <c r="AC815">
        <v>961</v>
      </c>
      <c r="AD815" s="8" t="b">
        <f>AND(
 H815&gt;=Filters!$B$3,
 H815&lt;=Filters!$B$4,
 I815&gt;=Filters!$B$5,
 OR(Filters!$B$6="All",B815=Filters!$B$6),
 F815&gt;=Filters!$B$7,
 F815&lt;=Filters!$B$8,
 OR(Filters!$B$9="All",G815=Filters!$B$9)
)</f>
        <v>0</v>
      </c>
      <c r="AE815">
        <f t="shared" si="156"/>
        <v>6</v>
      </c>
      <c r="AF815">
        <f t="shared" si="157"/>
        <v>7</v>
      </c>
      <c r="AG815">
        <f t="shared" si="158"/>
        <v>7</v>
      </c>
      <c r="AH815" s="9" t="str">
        <f t="shared" si="159"/>
        <v/>
      </c>
      <c r="AI815" s="9" t="str">
        <f t="shared" si="160"/>
        <v/>
      </c>
      <c r="AJ815" s="9" t="str">
        <f t="shared" si="161"/>
        <v/>
      </c>
      <c r="AK815" s="9" t="str">
        <f t="shared" si="162"/>
        <v/>
      </c>
      <c r="AL815" s="9" t="str">
        <f t="shared" si="163"/>
        <v/>
      </c>
      <c r="AM815" s="9" t="str">
        <f t="shared" si="164"/>
        <v/>
      </c>
      <c r="AN815" s="9" t="str">
        <f t="shared" si="165"/>
        <v/>
      </c>
      <c r="AO815" s="9" t="str">
        <f t="shared" si="166"/>
        <v/>
      </c>
      <c r="AP815" s="9" t="str">
        <f t="shared" si="167"/>
        <v/>
      </c>
      <c r="AQ815" s="10" t="str">
        <f t="shared" si="168"/>
        <v/>
      </c>
    </row>
    <row r="816" spans="1:43">
      <c r="A816">
        <v>815</v>
      </c>
      <c r="B816" t="s">
        <v>23</v>
      </c>
      <c r="C816" t="s">
        <v>540</v>
      </c>
      <c r="D816" t="s">
        <v>541</v>
      </c>
      <c r="E816" t="s">
        <v>97</v>
      </c>
      <c r="G816" t="s">
        <v>18</v>
      </c>
      <c r="H816" s="4">
        <v>21324870</v>
      </c>
      <c r="I816" s="5">
        <v>256</v>
      </c>
      <c r="J816" s="5">
        <v>0</v>
      </c>
      <c r="K816" s="5">
        <v>8</v>
      </c>
      <c r="L816">
        <v>7</v>
      </c>
      <c r="M816">
        <v>6.5</v>
      </c>
      <c r="N816">
        <v>5.92</v>
      </c>
      <c r="O816" s="6">
        <v>15.6</v>
      </c>
      <c r="P816" s="7">
        <v>2.1800000000000002</v>
      </c>
      <c r="U816" t="s">
        <v>84</v>
      </c>
      <c r="V816" t="s">
        <v>98</v>
      </c>
      <c r="W816">
        <v>2.5</v>
      </c>
      <c r="X816" t="s">
        <v>104</v>
      </c>
      <c r="Y816" t="s">
        <v>411</v>
      </c>
      <c r="Z816" t="s">
        <v>100</v>
      </c>
      <c r="AA816" t="s">
        <v>101</v>
      </c>
      <c r="AB816" t="s">
        <v>115</v>
      </c>
      <c r="AC816">
        <v>789.81</v>
      </c>
      <c r="AD816" s="8" t="b">
        <f>AND(
 H816&gt;=Filters!$B$3,
 H816&lt;=Filters!$B$4,
 I816&gt;=Filters!$B$5,
 OR(Filters!$B$6="All",B816=Filters!$B$6),
 F816&gt;=Filters!$B$7,
 F816&lt;=Filters!$B$8,
 OR(Filters!$B$9="All",G816=Filters!$B$9)
)</f>
        <v>1</v>
      </c>
      <c r="AE816">
        <f t="shared" si="156"/>
        <v>6</v>
      </c>
      <c r="AF816">
        <f t="shared" si="157"/>
        <v>7</v>
      </c>
      <c r="AG816">
        <f t="shared" si="158"/>
        <v>7</v>
      </c>
      <c r="AH816" s="9">
        <f t="shared" si="159"/>
        <v>0.69047619047619047</v>
      </c>
      <c r="AI816" s="9">
        <f t="shared" si="160"/>
        <v>0.80952380952380942</v>
      </c>
      <c r="AJ816" s="9">
        <f t="shared" si="161"/>
        <v>0.63095238095238093</v>
      </c>
      <c r="AK816" s="9">
        <f t="shared" si="162"/>
        <v>0.56190476190476191</v>
      </c>
      <c r="AL816" s="9">
        <f t="shared" si="163"/>
        <v>0.8833333333333333</v>
      </c>
      <c r="AM816" s="9">
        <f t="shared" si="164"/>
        <v>0.5714285714285714</v>
      </c>
      <c r="AN816" s="9">
        <f t="shared" si="165"/>
        <v>0.69047619047619047</v>
      </c>
      <c r="AO816" s="9">
        <f t="shared" si="166"/>
        <v>0.69047619047619047</v>
      </c>
      <c r="AP816" s="9">
        <f t="shared" si="167"/>
        <v>0.69072577504897792</v>
      </c>
      <c r="AQ816" s="10">
        <f t="shared" si="168"/>
        <v>0.69072659104897793</v>
      </c>
    </row>
    <row r="817" spans="1:43">
      <c r="A817">
        <v>816</v>
      </c>
      <c r="B817" t="s">
        <v>29</v>
      </c>
      <c r="C817" t="s">
        <v>1214</v>
      </c>
      <c r="D817" t="s">
        <v>1215</v>
      </c>
      <c r="E817" t="s">
        <v>83</v>
      </c>
      <c r="G817" t="s">
        <v>18</v>
      </c>
      <c r="H817" s="4">
        <v>50193000</v>
      </c>
      <c r="I817" s="5">
        <v>256</v>
      </c>
      <c r="J817" s="5">
        <v>0</v>
      </c>
      <c r="K817" s="5">
        <v>8</v>
      </c>
      <c r="L817">
        <v>9.4</v>
      </c>
      <c r="M817">
        <v>3.5</v>
      </c>
      <c r="N817">
        <v>6</v>
      </c>
      <c r="O817" s="6">
        <v>14</v>
      </c>
      <c r="P817" s="7">
        <v>1.32</v>
      </c>
      <c r="U817" t="s">
        <v>84</v>
      </c>
      <c r="V817" t="s">
        <v>140</v>
      </c>
      <c r="W817">
        <v>2.7</v>
      </c>
      <c r="X817" t="s">
        <v>84</v>
      </c>
      <c r="Y817" t="s">
        <v>99</v>
      </c>
      <c r="Z817" t="s">
        <v>100</v>
      </c>
      <c r="AA817" t="s">
        <v>101</v>
      </c>
      <c r="AB817" t="s">
        <v>115</v>
      </c>
      <c r="AC817">
        <v>1859</v>
      </c>
      <c r="AD817" s="8" t="b">
        <f>AND(
 H817&gt;=Filters!$B$3,
 H817&lt;=Filters!$B$4,
 I817&gt;=Filters!$B$5,
 OR(Filters!$B$6="All",B817=Filters!$B$6),
 F817&gt;=Filters!$B$7,
 F817&lt;=Filters!$B$8,
 OR(Filters!$B$9="All",G817=Filters!$B$9)
)</f>
        <v>0</v>
      </c>
      <c r="AE817">
        <f t="shared" si="156"/>
        <v>6</v>
      </c>
      <c r="AF817">
        <f t="shared" si="157"/>
        <v>7</v>
      </c>
      <c r="AG817">
        <f t="shared" si="158"/>
        <v>7</v>
      </c>
      <c r="AH817" s="9" t="str">
        <f t="shared" si="159"/>
        <v/>
      </c>
      <c r="AI817" s="9" t="str">
        <f t="shared" si="160"/>
        <v/>
      </c>
      <c r="AJ817" s="9" t="str">
        <f t="shared" si="161"/>
        <v/>
      </c>
      <c r="AK817" s="9" t="str">
        <f t="shared" si="162"/>
        <v/>
      </c>
      <c r="AL817" s="9" t="str">
        <f t="shared" si="163"/>
        <v/>
      </c>
      <c r="AM817" s="9" t="str">
        <f t="shared" si="164"/>
        <v/>
      </c>
      <c r="AN817" s="9" t="str">
        <f t="shared" si="165"/>
        <v/>
      </c>
      <c r="AO817" s="9" t="str">
        <f t="shared" si="166"/>
        <v/>
      </c>
      <c r="AP817" s="9" t="str">
        <f t="shared" si="167"/>
        <v/>
      </c>
      <c r="AQ817" s="10" t="str">
        <f t="shared" si="168"/>
        <v/>
      </c>
    </row>
    <row r="818" spans="1:43">
      <c r="A818">
        <v>817</v>
      </c>
      <c r="B818" t="s">
        <v>33</v>
      </c>
      <c r="C818" t="s">
        <v>1216</v>
      </c>
      <c r="D818" t="s">
        <v>1217</v>
      </c>
      <c r="E818" t="s">
        <v>83</v>
      </c>
      <c r="G818" t="s">
        <v>18</v>
      </c>
      <c r="H818" s="4">
        <v>48573000</v>
      </c>
      <c r="I818" s="5">
        <v>512</v>
      </c>
      <c r="J818" s="5">
        <v>0</v>
      </c>
      <c r="K818" s="5">
        <v>16</v>
      </c>
      <c r="L818">
        <v>9</v>
      </c>
      <c r="M818">
        <v>3.5</v>
      </c>
      <c r="N818">
        <v>10</v>
      </c>
      <c r="O818" s="6">
        <v>12.5</v>
      </c>
      <c r="P818" s="7">
        <v>1.29</v>
      </c>
      <c r="U818" t="s">
        <v>84</v>
      </c>
      <c r="V818" t="s">
        <v>140</v>
      </c>
      <c r="W818">
        <v>2.5</v>
      </c>
      <c r="X818" t="s">
        <v>84</v>
      </c>
      <c r="Y818" t="s">
        <v>99</v>
      </c>
      <c r="Z818" t="s">
        <v>106</v>
      </c>
      <c r="AA818" t="s">
        <v>382</v>
      </c>
      <c r="AB818" t="s">
        <v>115</v>
      </c>
      <c r="AC818">
        <v>1799</v>
      </c>
      <c r="AD818" s="8" t="b">
        <f>AND(
 H818&gt;=Filters!$B$3,
 H818&lt;=Filters!$B$4,
 I818&gt;=Filters!$B$5,
 OR(Filters!$B$6="All",B818=Filters!$B$6),
 F818&gt;=Filters!$B$7,
 F818&lt;=Filters!$B$8,
 OR(Filters!$B$9="All",G818=Filters!$B$9)
)</f>
        <v>0</v>
      </c>
      <c r="AE818">
        <f t="shared" si="156"/>
        <v>6</v>
      </c>
      <c r="AF818">
        <f t="shared" si="157"/>
        <v>7</v>
      </c>
      <c r="AG818">
        <f t="shared" si="158"/>
        <v>7</v>
      </c>
      <c r="AH818" s="9" t="str">
        <f t="shared" si="159"/>
        <v/>
      </c>
      <c r="AI818" s="9" t="str">
        <f t="shared" si="160"/>
        <v/>
      </c>
      <c r="AJ818" s="9" t="str">
        <f t="shared" si="161"/>
        <v/>
      </c>
      <c r="AK818" s="9" t="str">
        <f t="shared" si="162"/>
        <v/>
      </c>
      <c r="AL818" s="9" t="str">
        <f t="shared" si="163"/>
        <v/>
      </c>
      <c r="AM818" s="9" t="str">
        <f t="shared" si="164"/>
        <v/>
      </c>
      <c r="AN818" s="9" t="str">
        <f t="shared" si="165"/>
        <v/>
      </c>
      <c r="AO818" s="9" t="str">
        <f t="shared" si="166"/>
        <v/>
      </c>
      <c r="AP818" s="9" t="str">
        <f t="shared" si="167"/>
        <v/>
      </c>
      <c r="AQ818" s="10" t="str">
        <f t="shared" si="168"/>
        <v/>
      </c>
    </row>
    <row r="819" spans="1:43">
      <c r="A819">
        <v>818</v>
      </c>
      <c r="B819" t="s">
        <v>26</v>
      </c>
      <c r="C819" t="s">
        <v>1218</v>
      </c>
      <c r="D819" t="s">
        <v>936</v>
      </c>
      <c r="E819" t="s">
        <v>152</v>
      </c>
      <c r="G819" t="s">
        <v>18</v>
      </c>
      <c r="H819" s="4">
        <v>10395000</v>
      </c>
      <c r="I819" s="5">
        <v>16</v>
      </c>
      <c r="J819" s="5">
        <v>0</v>
      </c>
      <c r="K819" s="5">
        <v>4</v>
      </c>
      <c r="L819">
        <v>1.2</v>
      </c>
      <c r="M819">
        <v>3.5</v>
      </c>
      <c r="N819">
        <v>3.88</v>
      </c>
      <c r="O819" s="6">
        <v>11.6</v>
      </c>
      <c r="P819" s="7">
        <v>1.23</v>
      </c>
      <c r="U819" t="s">
        <v>84</v>
      </c>
      <c r="V819" t="s">
        <v>263</v>
      </c>
      <c r="W819">
        <v>1.6</v>
      </c>
      <c r="X819" t="s">
        <v>84</v>
      </c>
      <c r="Y819" t="s">
        <v>154</v>
      </c>
      <c r="Z819" t="s">
        <v>606</v>
      </c>
      <c r="AA819" t="s">
        <v>114</v>
      </c>
      <c r="AB819" t="s">
        <v>563</v>
      </c>
      <c r="AC819">
        <v>385</v>
      </c>
      <c r="AD819" s="8" t="b">
        <f>AND(
 H819&gt;=Filters!$B$3,
 H819&lt;=Filters!$B$4,
 I819&gt;=Filters!$B$5,
 OR(Filters!$B$6="All",B819=Filters!$B$6),
 F819&gt;=Filters!$B$7,
 F819&lt;=Filters!$B$8,
 OR(Filters!$B$9="All",G819=Filters!$B$9)
)</f>
        <v>0</v>
      </c>
      <c r="AE819">
        <f t="shared" si="156"/>
        <v>6</v>
      </c>
      <c r="AF819">
        <f t="shared" si="157"/>
        <v>7</v>
      </c>
      <c r="AG819">
        <f t="shared" si="158"/>
        <v>7</v>
      </c>
      <c r="AH819" s="9" t="str">
        <f t="shared" si="159"/>
        <v/>
      </c>
      <c r="AI819" s="9" t="str">
        <f t="shared" si="160"/>
        <v/>
      </c>
      <c r="AJ819" s="9" t="str">
        <f t="shared" si="161"/>
        <v/>
      </c>
      <c r="AK819" s="9" t="str">
        <f t="shared" si="162"/>
        <v/>
      </c>
      <c r="AL819" s="9" t="str">
        <f t="shared" si="163"/>
        <v/>
      </c>
      <c r="AM819" s="9" t="str">
        <f t="shared" si="164"/>
        <v/>
      </c>
      <c r="AN819" s="9" t="str">
        <f t="shared" si="165"/>
        <v/>
      </c>
      <c r="AO819" s="9" t="str">
        <f t="shared" si="166"/>
        <v/>
      </c>
      <c r="AP819" s="9" t="str">
        <f t="shared" si="167"/>
        <v/>
      </c>
      <c r="AQ819" s="10" t="str">
        <f t="shared" si="168"/>
        <v/>
      </c>
    </row>
    <row r="820" spans="1:43">
      <c r="A820">
        <v>819</v>
      </c>
      <c r="B820" t="s">
        <v>23</v>
      </c>
      <c r="C820" t="s">
        <v>486</v>
      </c>
      <c r="D820" t="s">
        <v>487</v>
      </c>
      <c r="E820" t="s">
        <v>158</v>
      </c>
      <c r="G820" t="s">
        <v>18</v>
      </c>
      <c r="H820" s="4">
        <v>67635540</v>
      </c>
      <c r="I820" s="5">
        <v>128</v>
      </c>
      <c r="J820" s="5">
        <v>1024</v>
      </c>
      <c r="K820" s="5">
        <v>16</v>
      </c>
      <c r="L820">
        <v>9.6</v>
      </c>
      <c r="M820">
        <v>9.1999999999999993</v>
      </c>
      <c r="N820">
        <v>6.24</v>
      </c>
      <c r="O820" s="6">
        <v>17.3</v>
      </c>
      <c r="P820" s="7">
        <v>4.3600000000000003</v>
      </c>
      <c r="U820" t="s">
        <v>84</v>
      </c>
      <c r="V820" t="s">
        <v>210</v>
      </c>
      <c r="W820">
        <v>2.8</v>
      </c>
      <c r="X820" t="s">
        <v>122</v>
      </c>
      <c r="Y820" t="s">
        <v>211</v>
      </c>
      <c r="Z820" t="s">
        <v>161</v>
      </c>
      <c r="AA820" t="s">
        <v>128</v>
      </c>
      <c r="AB820" t="s">
        <v>115</v>
      </c>
      <c r="AC820">
        <v>2505.02</v>
      </c>
      <c r="AD820" s="8" t="b">
        <f>AND(
 H820&gt;=Filters!$B$3,
 H820&lt;=Filters!$B$4,
 I820&gt;=Filters!$B$5,
 OR(Filters!$B$6="All",B820=Filters!$B$6),
 F820&gt;=Filters!$B$7,
 F820&lt;=Filters!$B$8,
 OR(Filters!$B$9="All",G820=Filters!$B$9)
)</f>
        <v>0</v>
      </c>
      <c r="AE820">
        <f t="shared" si="156"/>
        <v>6</v>
      </c>
      <c r="AF820">
        <f t="shared" si="157"/>
        <v>7</v>
      </c>
      <c r="AG820">
        <f t="shared" si="158"/>
        <v>7</v>
      </c>
      <c r="AH820" s="9" t="str">
        <f t="shared" si="159"/>
        <v/>
      </c>
      <c r="AI820" s="9" t="str">
        <f t="shared" si="160"/>
        <v/>
      </c>
      <c r="AJ820" s="9" t="str">
        <f t="shared" si="161"/>
        <v/>
      </c>
      <c r="AK820" s="9" t="str">
        <f t="shared" si="162"/>
        <v/>
      </c>
      <c r="AL820" s="9" t="str">
        <f t="shared" si="163"/>
        <v/>
      </c>
      <c r="AM820" s="9" t="str">
        <f t="shared" si="164"/>
        <v/>
      </c>
      <c r="AN820" s="9" t="str">
        <f t="shared" si="165"/>
        <v/>
      </c>
      <c r="AO820" s="9" t="str">
        <f t="shared" si="166"/>
        <v/>
      </c>
      <c r="AP820" s="9" t="str">
        <f t="shared" si="167"/>
        <v/>
      </c>
      <c r="AQ820" s="10" t="str">
        <f t="shared" si="168"/>
        <v/>
      </c>
    </row>
    <row r="821" spans="1:43">
      <c r="A821">
        <v>820</v>
      </c>
      <c r="B821" t="s">
        <v>23</v>
      </c>
      <c r="C821" t="s">
        <v>1219</v>
      </c>
      <c r="D821" t="s">
        <v>1220</v>
      </c>
      <c r="E821" t="s">
        <v>97</v>
      </c>
      <c r="G821" t="s">
        <v>18</v>
      </c>
      <c r="H821" s="4">
        <v>20385000</v>
      </c>
      <c r="I821" s="5">
        <v>0</v>
      </c>
      <c r="J821" s="5">
        <v>500</v>
      </c>
      <c r="K821" s="5">
        <v>4</v>
      </c>
      <c r="L821">
        <v>6.6</v>
      </c>
      <c r="M821">
        <v>3.5</v>
      </c>
      <c r="N821">
        <v>4</v>
      </c>
      <c r="O821" s="6">
        <v>14</v>
      </c>
      <c r="P821" s="7">
        <v>1.76</v>
      </c>
      <c r="U821" t="s">
        <v>84</v>
      </c>
      <c r="V821" t="s">
        <v>375</v>
      </c>
      <c r="W821">
        <v>2.2999999999999998</v>
      </c>
      <c r="X821" t="s">
        <v>84</v>
      </c>
      <c r="Y821" t="s">
        <v>130</v>
      </c>
      <c r="Z821" t="s">
        <v>113</v>
      </c>
      <c r="AA821" t="s">
        <v>114</v>
      </c>
      <c r="AB821" t="s">
        <v>115</v>
      </c>
      <c r="AC821">
        <v>755</v>
      </c>
      <c r="AD821" s="8" t="b">
        <f>AND(
 H821&gt;=Filters!$B$3,
 H821&lt;=Filters!$B$4,
 I821&gt;=Filters!$B$5,
 OR(Filters!$B$6="All",B821=Filters!$B$6),
 F821&gt;=Filters!$B$7,
 F821&lt;=Filters!$B$8,
 OR(Filters!$B$9="All",G821=Filters!$B$9)
)</f>
        <v>0</v>
      </c>
      <c r="AE821">
        <f t="shared" si="156"/>
        <v>6</v>
      </c>
      <c r="AF821">
        <f t="shared" si="157"/>
        <v>7</v>
      </c>
      <c r="AG821">
        <f t="shared" si="158"/>
        <v>7</v>
      </c>
      <c r="AH821" s="9" t="str">
        <f t="shared" si="159"/>
        <v/>
      </c>
      <c r="AI821" s="9" t="str">
        <f t="shared" si="160"/>
        <v/>
      </c>
      <c r="AJ821" s="9" t="str">
        <f t="shared" si="161"/>
        <v/>
      </c>
      <c r="AK821" s="9" t="str">
        <f t="shared" si="162"/>
        <v/>
      </c>
      <c r="AL821" s="9" t="str">
        <f t="shared" si="163"/>
        <v/>
      </c>
      <c r="AM821" s="9" t="str">
        <f t="shared" si="164"/>
        <v/>
      </c>
      <c r="AN821" s="9" t="str">
        <f t="shared" si="165"/>
        <v/>
      </c>
      <c r="AO821" s="9" t="str">
        <f t="shared" si="166"/>
        <v/>
      </c>
      <c r="AP821" s="9" t="str">
        <f t="shared" si="167"/>
        <v/>
      </c>
      <c r="AQ821" s="10" t="str">
        <f t="shared" si="168"/>
        <v/>
      </c>
    </row>
    <row r="822" spans="1:43">
      <c r="A822">
        <v>821</v>
      </c>
      <c r="B822" t="s">
        <v>29</v>
      </c>
      <c r="C822" t="s">
        <v>1221</v>
      </c>
      <c r="D822" t="s">
        <v>1222</v>
      </c>
      <c r="E822" t="s">
        <v>97</v>
      </c>
      <c r="G822" t="s">
        <v>18</v>
      </c>
      <c r="H822" s="4">
        <v>13227300</v>
      </c>
      <c r="I822" s="5">
        <v>0</v>
      </c>
      <c r="J822" s="5">
        <v>500</v>
      </c>
      <c r="K822" s="5">
        <v>4</v>
      </c>
      <c r="L822">
        <v>4</v>
      </c>
      <c r="M822">
        <v>3.5</v>
      </c>
      <c r="N822">
        <v>3.92</v>
      </c>
      <c r="O822" s="6">
        <v>15.6</v>
      </c>
      <c r="P822" s="7">
        <v>2.1</v>
      </c>
      <c r="U822" t="s">
        <v>84</v>
      </c>
      <c r="V822" t="s">
        <v>129</v>
      </c>
      <c r="W822">
        <v>2</v>
      </c>
      <c r="X822" t="s">
        <v>84</v>
      </c>
      <c r="Y822" t="s">
        <v>130</v>
      </c>
      <c r="Z822" t="s">
        <v>113</v>
      </c>
      <c r="AA822" t="s">
        <v>114</v>
      </c>
      <c r="AB822" t="s">
        <v>115</v>
      </c>
      <c r="AC822">
        <v>489.9</v>
      </c>
      <c r="AD822" s="8" t="b">
        <f>AND(
 H822&gt;=Filters!$B$3,
 H822&lt;=Filters!$B$4,
 I822&gt;=Filters!$B$5,
 OR(Filters!$B$6="All",B822=Filters!$B$6),
 F822&gt;=Filters!$B$7,
 F822&lt;=Filters!$B$8,
 OR(Filters!$B$9="All",G822=Filters!$B$9)
)</f>
        <v>0</v>
      </c>
      <c r="AE822">
        <f t="shared" si="156"/>
        <v>6</v>
      </c>
      <c r="AF822">
        <f t="shared" si="157"/>
        <v>7</v>
      </c>
      <c r="AG822">
        <f t="shared" si="158"/>
        <v>7</v>
      </c>
      <c r="AH822" s="9" t="str">
        <f t="shared" si="159"/>
        <v/>
      </c>
      <c r="AI822" s="9" t="str">
        <f t="shared" si="160"/>
        <v/>
      </c>
      <c r="AJ822" s="9" t="str">
        <f t="shared" si="161"/>
        <v/>
      </c>
      <c r="AK822" s="9" t="str">
        <f t="shared" si="162"/>
        <v/>
      </c>
      <c r="AL822" s="9" t="str">
        <f t="shared" si="163"/>
        <v/>
      </c>
      <c r="AM822" s="9" t="str">
        <f t="shared" si="164"/>
        <v/>
      </c>
      <c r="AN822" s="9" t="str">
        <f t="shared" si="165"/>
        <v/>
      </c>
      <c r="AO822" s="9" t="str">
        <f t="shared" si="166"/>
        <v/>
      </c>
      <c r="AP822" s="9" t="str">
        <f t="shared" si="167"/>
        <v/>
      </c>
      <c r="AQ822" s="10" t="str">
        <f t="shared" si="168"/>
        <v/>
      </c>
    </row>
    <row r="823" spans="1:43">
      <c r="A823">
        <v>822</v>
      </c>
      <c r="B823" t="s">
        <v>35</v>
      </c>
      <c r="C823" t="s">
        <v>1223</v>
      </c>
      <c r="D823" t="s">
        <v>1224</v>
      </c>
      <c r="E823" t="s">
        <v>83</v>
      </c>
      <c r="G823" t="s">
        <v>18</v>
      </c>
      <c r="H823" s="4">
        <v>29430000</v>
      </c>
      <c r="I823" s="5">
        <v>128</v>
      </c>
      <c r="J823" s="5">
        <v>0</v>
      </c>
      <c r="K823" s="5">
        <v>4</v>
      </c>
      <c r="L823">
        <v>7</v>
      </c>
      <c r="M823">
        <v>3.5</v>
      </c>
      <c r="N823">
        <v>4</v>
      </c>
      <c r="O823" s="6">
        <v>14</v>
      </c>
      <c r="P823" s="7">
        <v>1.25</v>
      </c>
      <c r="U823" t="s">
        <v>84</v>
      </c>
      <c r="V823" t="s">
        <v>98</v>
      </c>
      <c r="W823">
        <v>2.5</v>
      </c>
      <c r="X823" t="s">
        <v>84</v>
      </c>
      <c r="Y823" t="s">
        <v>99</v>
      </c>
      <c r="Z823" t="s">
        <v>87</v>
      </c>
      <c r="AA823" t="s">
        <v>114</v>
      </c>
      <c r="AB823" t="s">
        <v>115</v>
      </c>
      <c r="AC823">
        <v>1090</v>
      </c>
      <c r="AD823" s="8" t="b">
        <f>AND(
 H823&gt;=Filters!$B$3,
 H823&lt;=Filters!$B$4,
 I823&gt;=Filters!$B$5,
 OR(Filters!$B$6="All",B823=Filters!$B$6),
 F823&gt;=Filters!$B$7,
 F823&lt;=Filters!$B$8,
 OR(Filters!$B$9="All",G823=Filters!$B$9)
)</f>
        <v>0</v>
      </c>
      <c r="AE823">
        <f t="shared" si="156"/>
        <v>6</v>
      </c>
      <c r="AF823">
        <f t="shared" si="157"/>
        <v>7</v>
      </c>
      <c r="AG823">
        <f t="shared" si="158"/>
        <v>7</v>
      </c>
      <c r="AH823" s="9" t="str">
        <f t="shared" si="159"/>
        <v/>
      </c>
      <c r="AI823" s="9" t="str">
        <f t="shared" si="160"/>
        <v/>
      </c>
      <c r="AJ823" s="9" t="str">
        <f t="shared" si="161"/>
        <v/>
      </c>
      <c r="AK823" s="9" t="str">
        <f t="shared" si="162"/>
        <v/>
      </c>
      <c r="AL823" s="9" t="str">
        <f t="shared" si="163"/>
        <v/>
      </c>
      <c r="AM823" s="9" t="str">
        <f t="shared" si="164"/>
        <v/>
      </c>
      <c r="AN823" s="9" t="str">
        <f t="shared" si="165"/>
        <v/>
      </c>
      <c r="AO823" s="9" t="str">
        <f t="shared" si="166"/>
        <v/>
      </c>
      <c r="AP823" s="9" t="str">
        <f t="shared" si="167"/>
        <v/>
      </c>
      <c r="AQ823" s="10" t="str">
        <f t="shared" si="168"/>
        <v/>
      </c>
    </row>
    <row r="824" spans="1:43">
      <c r="A824">
        <v>823</v>
      </c>
      <c r="B824" t="s">
        <v>29</v>
      </c>
      <c r="C824" t="s">
        <v>682</v>
      </c>
      <c r="D824" t="s">
        <v>683</v>
      </c>
      <c r="E824" t="s">
        <v>83</v>
      </c>
      <c r="G824" t="s">
        <v>18</v>
      </c>
      <c r="H824" s="4">
        <v>67473000</v>
      </c>
      <c r="I824" s="5">
        <v>512</v>
      </c>
      <c r="J824" s="5">
        <v>0</v>
      </c>
      <c r="K824" s="5">
        <v>8</v>
      </c>
      <c r="L824">
        <v>9.4</v>
      </c>
      <c r="M824">
        <v>3.5</v>
      </c>
      <c r="N824">
        <v>6.4</v>
      </c>
      <c r="O824" s="6">
        <v>14</v>
      </c>
      <c r="P824" s="7">
        <v>1.1299999999999999</v>
      </c>
      <c r="U824" t="s">
        <v>84</v>
      </c>
      <c r="V824" t="s">
        <v>140</v>
      </c>
      <c r="W824">
        <v>2.7</v>
      </c>
      <c r="X824" t="s">
        <v>84</v>
      </c>
      <c r="Y824" t="s">
        <v>99</v>
      </c>
      <c r="Z824" t="s">
        <v>106</v>
      </c>
      <c r="AA824" t="s">
        <v>128</v>
      </c>
      <c r="AB824" t="s">
        <v>115</v>
      </c>
      <c r="AC824">
        <v>2499</v>
      </c>
      <c r="AD824" s="8" t="b">
        <f>AND(
 H824&gt;=Filters!$B$3,
 H824&lt;=Filters!$B$4,
 I824&gt;=Filters!$B$5,
 OR(Filters!$B$6="All",B824=Filters!$B$6),
 F824&gt;=Filters!$B$7,
 F824&lt;=Filters!$B$8,
 OR(Filters!$B$9="All",G824=Filters!$B$9)
)</f>
        <v>0</v>
      </c>
      <c r="AE824">
        <f t="shared" si="156"/>
        <v>6</v>
      </c>
      <c r="AF824">
        <f t="shared" si="157"/>
        <v>7</v>
      </c>
      <c r="AG824">
        <f t="shared" si="158"/>
        <v>7</v>
      </c>
      <c r="AH824" s="9" t="str">
        <f t="shared" si="159"/>
        <v/>
      </c>
      <c r="AI824" s="9" t="str">
        <f t="shared" si="160"/>
        <v/>
      </c>
      <c r="AJ824" s="9" t="str">
        <f t="shared" si="161"/>
        <v/>
      </c>
      <c r="AK824" s="9" t="str">
        <f t="shared" si="162"/>
        <v/>
      </c>
      <c r="AL824" s="9" t="str">
        <f t="shared" si="163"/>
        <v/>
      </c>
      <c r="AM824" s="9" t="str">
        <f t="shared" si="164"/>
        <v/>
      </c>
      <c r="AN824" s="9" t="str">
        <f t="shared" si="165"/>
        <v/>
      </c>
      <c r="AO824" s="9" t="str">
        <f t="shared" si="166"/>
        <v/>
      </c>
      <c r="AP824" s="9" t="str">
        <f t="shared" si="167"/>
        <v/>
      </c>
      <c r="AQ824" s="10" t="str">
        <f t="shared" si="168"/>
        <v/>
      </c>
    </row>
    <row r="825" spans="1:43">
      <c r="A825">
        <v>824</v>
      </c>
      <c r="B825" t="s">
        <v>30</v>
      </c>
      <c r="C825" t="s">
        <v>1225</v>
      </c>
      <c r="D825" t="s">
        <v>1226</v>
      </c>
      <c r="E825" t="s">
        <v>158</v>
      </c>
      <c r="G825" t="s">
        <v>18</v>
      </c>
      <c r="H825" s="4">
        <v>32373000</v>
      </c>
      <c r="I825" s="5">
        <v>256</v>
      </c>
      <c r="J825" s="5">
        <v>0</v>
      </c>
      <c r="K825" s="5">
        <v>8</v>
      </c>
      <c r="L825">
        <v>7</v>
      </c>
      <c r="M825">
        <v>9.1999999999999993</v>
      </c>
      <c r="N825">
        <v>5.92</v>
      </c>
      <c r="O825" s="6">
        <v>15.6</v>
      </c>
      <c r="P825" s="7">
        <v>2.4</v>
      </c>
      <c r="U825" t="s">
        <v>84</v>
      </c>
      <c r="V825" t="s">
        <v>159</v>
      </c>
      <c r="W825">
        <v>2.5</v>
      </c>
      <c r="X825" t="s">
        <v>122</v>
      </c>
      <c r="Y825" t="s">
        <v>160</v>
      </c>
      <c r="Z825" t="s">
        <v>100</v>
      </c>
      <c r="AA825" t="s">
        <v>101</v>
      </c>
      <c r="AB825" t="s">
        <v>115</v>
      </c>
      <c r="AC825">
        <v>1199</v>
      </c>
      <c r="AD825" s="8" t="b">
        <f>AND(
 H825&gt;=Filters!$B$3,
 H825&lt;=Filters!$B$4,
 I825&gt;=Filters!$B$5,
 OR(Filters!$B$6="All",B825=Filters!$B$6),
 F825&gt;=Filters!$B$7,
 F825&lt;=Filters!$B$8,
 OR(Filters!$B$9="All",G825=Filters!$B$9)
)</f>
        <v>0</v>
      </c>
      <c r="AE825">
        <f t="shared" si="156"/>
        <v>6</v>
      </c>
      <c r="AF825">
        <f t="shared" si="157"/>
        <v>7</v>
      </c>
      <c r="AG825">
        <f t="shared" si="158"/>
        <v>7</v>
      </c>
      <c r="AH825" s="9" t="str">
        <f t="shared" si="159"/>
        <v/>
      </c>
      <c r="AI825" s="9" t="str">
        <f t="shared" si="160"/>
        <v/>
      </c>
      <c r="AJ825" s="9" t="str">
        <f t="shared" si="161"/>
        <v/>
      </c>
      <c r="AK825" s="9" t="str">
        <f t="shared" si="162"/>
        <v/>
      </c>
      <c r="AL825" s="9" t="str">
        <f t="shared" si="163"/>
        <v/>
      </c>
      <c r="AM825" s="9" t="str">
        <f t="shared" si="164"/>
        <v/>
      </c>
      <c r="AN825" s="9" t="str">
        <f t="shared" si="165"/>
        <v/>
      </c>
      <c r="AO825" s="9" t="str">
        <f t="shared" si="166"/>
        <v/>
      </c>
      <c r="AP825" s="9" t="str">
        <f t="shared" si="167"/>
        <v/>
      </c>
      <c r="AQ825" s="10" t="str">
        <f t="shared" si="168"/>
        <v/>
      </c>
    </row>
    <row r="826" spans="1:43">
      <c r="A826">
        <v>825</v>
      </c>
      <c r="B826" t="s">
        <v>29</v>
      </c>
      <c r="C826" t="s">
        <v>1003</v>
      </c>
      <c r="D826" t="s">
        <v>547</v>
      </c>
      <c r="E826" t="s">
        <v>83</v>
      </c>
      <c r="G826" t="s">
        <v>18</v>
      </c>
      <c r="H826" s="4">
        <v>50625000</v>
      </c>
      <c r="I826" s="5">
        <v>256</v>
      </c>
      <c r="J826" s="5">
        <v>0</v>
      </c>
      <c r="K826" s="5">
        <v>8</v>
      </c>
      <c r="L826">
        <v>7</v>
      </c>
      <c r="M826">
        <v>3.5</v>
      </c>
      <c r="N826">
        <v>6.4</v>
      </c>
      <c r="O826" s="6">
        <v>14</v>
      </c>
      <c r="P826" s="7">
        <v>1.1299999999999999</v>
      </c>
      <c r="U826" t="s">
        <v>84</v>
      </c>
      <c r="V826" t="s">
        <v>98</v>
      </c>
      <c r="W826">
        <v>2.5</v>
      </c>
      <c r="X826" t="s">
        <v>84</v>
      </c>
      <c r="Y826" t="s">
        <v>99</v>
      </c>
      <c r="Z826" t="s">
        <v>117</v>
      </c>
      <c r="AA826" t="s">
        <v>128</v>
      </c>
      <c r="AB826" t="s">
        <v>115</v>
      </c>
      <c r="AC826">
        <v>1875</v>
      </c>
      <c r="AD826" s="8" t="b">
        <f>AND(
 H826&gt;=Filters!$B$3,
 H826&lt;=Filters!$B$4,
 I826&gt;=Filters!$B$5,
 OR(Filters!$B$6="All",B826=Filters!$B$6),
 F826&gt;=Filters!$B$7,
 F826&lt;=Filters!$B$8,
 OR(Filters!$B$9="All",G826=Filters!$B$9)
)</f>
        <v>0</v>
      </c>
      <c r="AE826">
        <f t="shared" si="156"/>
        <v>6</v>
      </c>
      <c r="AF826">
        <f t="shared" si="157"/>
        <v>7</v>
      </c>
      <c r="AG826">
        <f t="shared" si="158"/>
        <v>7</v>
      </c>
      <c r="AH826" s="9" t="str">
        <f t="shared" si="159"/>
        <v/>
      </c>
      <c r="AI826" s="9" t="str">
        <f t="shared" si="160"/>
        <v/>
      </c>
      <c r="AJ826" s="9" t="str">
        <f t="shared" si="161"/>
        <v/>
      </c>
      <c r="AK826" s="9" t="str">
        <f t="shared" si="162"/>
        <v/>
      </c>
      <c r="AL826" s="9" t="str">
        <f t="shared" si="163"/>
        <v/>
      </c>
      <c r="AM826" s="9" t="str">
        <f t="shared" si="164"/>
        <v/>
      </c>
      <c r="AN826" s="9" t="str">
        <f t="shared" si="165"/>
        <v/>
      </c>
      <c r="AO826" s="9" t="str">
        <f t="shared" si="166"/>
        <v/>
      </c>
      <c r="AP826" s="9" t="str">
        <f t="shared" si="167"/>
        <v/>
      </c>
      <c r="AQ826" s="10" t="str">
        <f t="shared" si="168"/>
        <v/>
      </c>
    </row>
    <row r="827" spans="1:43">
      <c r="A827">
        <v>826</v>
      </c>
      <c r="B827" t="s">
        <v>35</v>
      </c>
      <c r="C827" t="s">
        <v>373</v>
      </c>
      <c r="D827" t="s">
        <v>374</v>
      </c>
      <c r="E827" t="s">
        <v>97</v>
      </c>
      <c r="G827" t="s">
        <v>18</v>
      </c>
      <c r="H827" s="4">
        <v>13473000</v>
      </c>
      <c r="I827" s="5">
        <v>128</v>
      </c>
      <c r="J827" s="5">
        <v>0</v>
      </c>
      <c r="K827" s="5">
        <v>4</v>
      </c>
      <c r="L827">
        <v>3.2</v>
      </c>
      <c r="M827">
        <v>3.5</v>
      </c>
      <c r="N827">
        <v>4</v>
      </c>
      <c r="O827" s="6">
        <v>14</v>
      </c>
      <c r="P827" s="7">
        <v>1.75</v>
      </c>
      <c r="U827" t="s">
        <v>84</v>
      </c>
      <c r="V827" t="s">
        <v>1227</v>
      </c>
      <c r="W827">
        <v>2.1</v>
      </c>
      <c r="X827" t="s">
        <v>84</v>
      </c>
      <c r="Y827" t="s">
        <v>605</v>
      </c>
      <c r="Z827" t="s">
        <v>87</v>
      </c>
      <c r="AA827" t="s">
        <v>114</v>
      </c>
      <c r="AB827" t="s">
        <v>115</v>
      </c>
      <c r="AC827">
        <v>499</v>
      </c>
      <c r="AD827" s="8" t="b">
        <f>AND(
 H827&gt;=Filters!$B$3,
 H827&lt;=Filters!$B$4,
 I827&gt;=Filters!$B$5,
 OR(Filters!$B$6="All",B827=Filters!$B$6),
 F827&gt;=Filters!$B$7,
 F827&lt;=Filters!$B$8,
 OR(Filters!$B$9="All",G827=Filters!$B$9)
)</f>
        <v>0</v>
      </c>
      <c r="AE827">
        <f t="shared" si="156"/>
        <v>6</v>
      </c>
      <c r="AF827">
        <f t="shared" si="157"/>
        <v>7</v>
      </c>
      <c r="AG827">
        <f t="shared" si="158"/>
        <v>7</v>
      </c>
      <c r="AH827" s="9" t="str">
        <f t="shared" si="159"/>
        <v/>
      </c>
      <c r="AI827" s="9" t="str">
        <f t="shared" si="160"/>
        <v/>
      </c>
      <c r="AJ827" s="9" t="str">
        <f t="shared" si="161"/>
        <v/>
      </c>
      <c r="AK827" s="9" t="str">
        <f t="shared" si="162"/>
        <v/>
      </c>
      <c r="AL827" s="9" t="str">
        <f t="shared" si="163"/>
        <v/>
      </c>
      <c r="AM827" s="9" t="str">
        <f t="shared" si="164"/>
        <v/>
      </c>
      <c r="AN827" s="9" t="str">
        <f t="shared" si="165"/>
        <v/>
      </c>
      <c r="AO827" s="9" t="str">
        <f t="shared" si="166"/>
        <v/>
      </c>
      <c r="AP827" s="9" t="str">
        <f t="shared" si="167"/>
        <v/>
      </c>
      <c r="AQ827" s="10" t="str">
        <f t="shared" si="168"/>
        <v/>
      </c>
    </row>
    <row r="828" spans="1:43">
      <c r="A828">
        <v>827</v>
      </c>
      <c r="B828" t="s">
        <v>21</v>
      </c>
      <c r="C828" t="s">
        <v>405</v>
      </c>
      <c r="D828" t="s">
        <v>406</v>
      </c>
      <c r="E828" t="s">
        <v>168</v>
      </c>
      <c r="G828" t="s">
        <v>18</v>
      </c>
      <c r="H828" s="4">
        <v>36666000</v>
      </c>
      <c r="I828" s="5">
        <v>256</v>
      </c>
      <c r="J828" s="5">
        <v>0</v>
      </c>
      <c r="K828" s="5">
        <v>8</v>
      </c>
      <c r="L828">
        <v>7</v>
      </c>
      <c r="M828">
        <v>3.5</v>
      </c>
      <c r="N828">
        <v>6.26</v>
      </c>
      <c r="O828" s="6">
        <v>13.3</v>
      </c>
      <c r="P828" s="7">
        <v>1.1000000000000001</v>
      </c>
      <c r="U828" t="s">
        <v>84</v>
      </c>
      <c r="V828" t="s">
        <v>98</v>
      </c>
      <c r="W828">
        <v>2.5</v>
      </c>
      <c r="X828" t="s">
        <v>84</v>
      </c>
      <c r="Y828" t="s">
        <v>99</v>
      </c>
      <c r="Z828" t="s">
        <v>100</v>
      </c>
      <c r="AA828" t="s">
        <v>1228</v>
      </c>
      <c r="AB828" t="s">
        <v>115</v>
      </c>
      <c r="AC828">
        <v>1358</v>
      </c>
      <c r="AD828" s="8" t="b">
        <f>AND(
 H828&gt;=Filters!$B$3,
 H828&lt;=Filters!$B$4,
 I828&gt;=Filters!$B$5,
 OR(Filters!$B$6="All",B828=Filters!$B$6),
 F828&gt;=Filters!$B$7,
 F828&lt;=Filters!$B$8,
 OR(Filters!$B$9="All",G828=Filters!$B$9)
)</f>
        <v>0</v>
      </c>
      <c r="AE828">
        <f t="shared" si="156"/>
        <v>6</v>
      </c>
      <c r="AF828">
        <f t="shared" si="157"/>
        <v>7</v>
      </c>
      <c r="AG828">
        <f t="shared" si="158"/>
        <v>7</v>
      </c>
      <c r="AH828" s="9" t="str">
        <f t="shared" si="159"/>
        <v/>
      </c>
      <c r="AI828" s="9" t="str">
        <f t="shared" si="160"/>
        <v/>
      </c>
      <c r="AJ828" s="9" t="str">
        <f t="shared" si="161"/>
        <v/>
      </c>
      <c r="AK828" s="9" t="str">
        <f t="shared" si="162"/>
        <v/>
      </c>
      <c r="AL828" s="9" t="str">
        <f t="shared" si="163"/>
        <v/>
      </c>
      <c r="AM828" s="9" t="str">
        <f t="shared" si="164"/>
        <v/>
      </c>
      <c r="AN828" s="9" t="str">
        <f t="shared" si="165"/>
        <v/>
      </c>
      <c r="AO828" s="9" t="str">
        <f t="shared" si="166"/>
        <v/>
      </c>
      <c r="AP828" s="9" t="str">
        <f t="shared" si="167"/>
        <v/>
      </c>
      <c r="AQ828" s="10" t="str">
        <f t="shared" si="168"/>
        <v/>
      </c>
    </row>
    <row r="829" spans="1:43">
      <c r="A829">
        <v>828</v>
      </c>
      <c r="B829" t="s">
        <v>23</v>
      </c>
      <c r="C829" t="s">
        <v>1219</v>
      </c>
      <c r="D829" t="s">
        <v>1220</v>
      </c>
      <c r="E829" t="s">
        <v>97</v>
      </c>
      <c r="G829" t="s">
        <v>18</v>
      </c>
      <c r="H829" s="4">
        <v>15795000</v>
      </c>
      <c r="I829" s="5">
        <v>0</v>
      </c>
      <c r="J829" s="5">
        <v>500</v>
      </c>
      <c r="K829" s="5">
        <v>4</v>
      </c>
      <c r="L829">
        <v>4</v>
      </c>
      <c r="M829">
        <v>3.5</v>
      </c>
      <c r="N829">
        <v>4</v>
      </c>
      <c r="O829" s="6">
        <v>14</v>
      </c>
      <c r="P829" s="7">
        <v>1.76</v>
      </c>
      <c r="U829" t="s">
        <v>84</v>
      </c>
      <c r="V829" t="s">
        <v>129</v>
      </c>
      <c r="W829">
        <v>2</v>
      </c>
      <c r="X829" t="s">
        <v>84</v>
      </c>
      <c r="Y829" t="s">
        <v>130</v>
      </c>
      <c r="Z829" t="s">
        <v>113</v>
      </c>
      <c r="AA829" t="s">
        <v>114</v>
      </c>
      <c r="AB829" t="s">
        <v>115</v>
      </c>
      <c r="AC829">
        <v>585</v>
      </c>
      <c r="AD829" s="8" t="b">
        <f>AND(
 H829&gt;=Filters!$B$3,
 H829&lt;=Filters!$B$4,
 I829&gt;=Filters!$B$5,
 OR(Filters!$B$6="All",B829=Filters!$B$6),
 F829&gt;=Filters!$B$7,
 F829&lt;=Filters!$B$8,
 OR(Filters!$B$9="All",G829=Filters!$B$9)
)</f>
        <v>0</v>
      </c>
      <c r="AE829">
        <f t="shared" si="156"/>
        <v>6</v>
      </c>
      <c r="AF829">
        <f t="shared" si="157"/>
        <v>7</v>
      </c>
      <c r="AG829">
        <f t="shared" si="158"/>
        <v>7</v>
      </c>
      <c r="AH829" s="9" t="str">
        <f t="shared" si="159"/>
        <v/>
      </c>
      <c r="AI829" s="9" t="str">
        <f t="shared" si="160"/>
        <v/>
      </c>
      <c r="AJ829" s="9" t="str">
        <f t="shared" si="161"/>
        <v/>
      </c>
      <c r="AK829" s="9" t="str">
        <f t="shared" si="162"/>
        <v/>
      </c>
      <c r="AL829" s="9" t="str">
        <f t="shared" si="163"/>
        <v/>
      </c>
      <c r="AM829" s="9" t="str">
        <f t="shared" si="164"/>
        <v/>
      </c>
      <c r="AN829" s="9" t="str">
        <f t="shared" si="165"/>
        <v/>
      </c>
      <c r="AO829" s="9" t="str">
        <f t="shared" si="166"/>
        <v/>
      </c>
      <c r="AP829" s="9" t="str">
        <f t="shared" si="167"/>
        <v/>
      </c>
      <c r="AQ829" s="10" t="str">
        <f t="shared" si="168"/>
        <v/>
      </c>
    </row>
    <row r="830" spans="1:43">
      <c r="A830">
        <v>829</v>
      </c>
      <c r="B830" t="s">
        <v>17</v>
      </c>
      <c r="C830" t="s">
        <v>1229</v>
      </c>
      <c r="D830" t="s">
        <v>936</v>
      </c>
      <c r="E830" t="s">
        <v>152</v>
      </c>
      <c r="G830" t="s">
        <v>18</v>
      </c>
      <c r="H830" s="4">
        <v>9585000</v>
      </c>
      <c r="I830" s="5">
        <v>32</v>
      </c>
      <c r="J830" s="5">
        <v>0</v>
      </c>
      <c r="K830" s="5">
        <v>4</v>
      </c>
      <c r="L830">
        <v>1.2</v>
      </c>
      <c r="M830">
        <v>3.5</v>
      </c>
      <c r="N830">
        <v>4.28</v>
      </c>
      <c r="O830" s="6">
        <v>11.6</v>
      </c>
      <c r="P830" s="7">
        <v>1.35</v>
      </c>
      <c r="U830" t="s">
        <v>84</v>
      </c>
      <c r="V830" t="s">
        <v>263</v>
      </c>
      <c r="W830">
        <v>1.6</v>
      </c>
      <c r="X830" t="s">
        <v>84</v>
      </c>
      <c r="Y830" t="s">
        <v>154</v>
      </c>
      <c r="Z830" t="s">
        <v>155</v>
      </c>
      <c r="AA830" t="s">
        <v>338</v>
      </c>
      <c r="AB830" t="s">
        <v>563</v>
      </c>
      <c r="AC830">
        <v>355</v>
      </c>
      <c r="AD830" s="8" t="b">
        <f>AND(
 H830&gt;=Filters!$B$3,
 H830&lt;=Filters!$B$4,
 I830&gt;=Filters!$B$5,
 OR(Filters!$B$6="All",B830=Filters!$B$6),
 F830&gt;=Filters!$B$7,
 F830&lt;=Filters!$B$8,
 OR(Filters!$B$9="All",G830=Filters!$B$9)
)</f>
        <v>0</v>
      </c>
      <c r="AE830">
        <f t="shared" si="156"/>
        <v>6</v>
      </c>
      <c r="AF830">
        <f t="shared" si="157"/>
        <v>7</v>
      </c>
      <c r="AG830">
        <f t="shared" si="158"/>
        <v>7</v>
      </c>
      <c r="AH830" s="9" t="str">
        <f t="shared" si="159"/>
        <v/>
      </c>
      <c r="AI830" s="9" t="str">
        <f t="shared" si="160"/>
        <v/>
      </c>
      <c r="AJ830" s="9" t="str">
        <f t="shared" si="161"/>
        <v/>
      </c>
      <c r="AK830" s="9" t="str">
        <f t="shared" si="162"/>
        <v/>
      </c>
      <c r="AL830" s="9" t="str">
        <f t="shared" si="163"/>
        <v/>
      </c>
      <c r="AM830" s="9" t="str">
        <f t="shared" si="164"/>
        <v/>
      </c>
      <c r="AN830" s="9" t="str">
        <f t="shared" si="165"/>
        <v/>
      </c>
      <c r="AO830" s="9" t="str">
        <f t="shared" si="166"/>
        <v/>
      </c>
      <c r="AP830" s="9" t="str">
        <f t="shared" si="167"/>
        <v/>
      </c>
      <c r="AQ830" s="10" t="str">
        <f t="shared" si="168"/>
        <v/>
      </c>
    </row>
    <row r="831" spans="1:43">
      <c r="A831">
        <v>830</v>
      </c>
      <c r="B831" t="s">
        <v>17</v>
      </c>
      <c r="C831" t="s">
        <v>1171</v>
      </c>
      <c r="D831" t="s">
        <v>125</v>
      </c>
      <c r="E831" t="s">
        <v>97</v>
      </c>
      <c r="G831" t="s">
        <v>18</v>
      </c>
      <c r="H831" s="4">
        <v>16713000</v>
      </c>
      <c r="I831" s="5">
        <v>128</v>
      </c>
      <c r="J831" s="5">
        <v>0</v>
      </c>
      <c r="K831" s="5">
        <v>8</v>
      </c>
      <c r="L831">
        <v>4.8</v>
      </c>
      <c r="M831">
        <v>3.5</v>
      </c>
      <c r="N831">
        <v>6.4</v>
      </c>
      <c r="O831" s="6">
        <v>14</v>
      </c>
      <c r="P831" s="7">
        <v>1.5</v>
      </c>
      <c r="U831" t="s">
        <v>84</v>
      </c>
      <c r="V831" t="s">
        <v>144</v>
      </c>
      <c r="W831">
        <v>2.4</v>
      </c>
      <c r="X831" t="s">
        <v>84</v>
      </c>
      <c r="Y831" t="s">
        <v>99</v>
      </c>
      <c r="Z831" t="s">
        <v>87</v>
      </c>
      <c r="AA831" t="s">
        <v>128</v>
      </c>
      <c r="AB831" t="s">
        <v>115</v>
      </c>
      <c r="AC831">
        <v>619</v>
      </c>
      <c r="AD831" s="8" t="b">
        <f>AND(
 H831&gt;=Filters!$B$3,
 H831&lt;=Filters!$B$4,
 I831&gt;=Filters!$B$5,
 OR(Filters!$B$6="All",B831=Filters!$B$6),
 F831&gt;=Filters!$B$7,
 F831&lt;=Filters!$B$8,
 OR(Filters!$B$9="All",G831=Filters!$B$9)
)</f>
        <v>0</v>
      </c>
      <c r="AE831">
        <f t="shared" si="156"/>
        <v>6</v>
      </c>
      <c r="AF831">
        <f t="shared" si="157"/>
        <v>7</v>
      </c>
      <c r="AG831">
        <f t="shared" si="158"/>
        <v>7</v>
      </c>
      <c r="AH831" s="9" t="str">
        <f t="shared" si="159"/>
        <v/>
      </c>
      <c r="AI831" s="9" t="str">
        <f t="shared" si="160"/>
        <v/>
      </c>
      <c r="AJ831" s="9" t="str">
        <f t="shared" si="161"/>
        <v/>
      </c>
      <c r="AK831" s="9" t="str">
        <f t="shared" si="162"/>
        <v/>
      </c>
      <c r="AL831" s="9" t="str">
        <f t="shared" si="163"/>
        <v/>
      </c>
      <c r="AM831" s="9" t="str">
        <f t="shared" si="164"/>
        <v/>
      </c>
      <c r="AN831" s="9" t="str">
        <f t="shared" si="165"/>
        <v/>
      </c>
      <c r="AO831" s="9" t="str">
        <f t="shared" si="166"/>
        <v/>
      </c>
      <c r="AP831" s="9" t="str">
        <f t="shared" si="167"/>
        <v/>
      </c>
      <c r="AQ831" s="10" t="str">
        <f t="shared" si="168"/>
        <v/>
      </c>
    </row>
    <row r="832" spans="1:43">
      <c r="A832">
        <v>831</v>
      </c>
      <c r="B832" t="s">
        <v>33</v>
      </c>
      <c r="C832" t="s">
        <v>453</v>
      </c>
      <c r="D832" t="s">
        <v>454</v>
      </c>
      <c r="E832" t="s">
        <v>158</v>
      </c>
      <c r="G832" t="s">
        <v>18</v>
      </c>
      <c r="H832" s="4">
        <v>148473000</v>
      </c>
      <c r="I832" s="5">
        <v>512</v>
      </c>
      <c r="J832" s="5">
        <v>0</v>
      </c>
      <c r="K832" s="5">
        <v>32</v>
      </c>
      <c r="L832">
        <v>9.8000000000000007</v>
      </c>
      <c r="M832">
        <v>9.1999999999999993</v>
      </c>
      <c r="N832">
        <v>9.64</v>
      </c>
      <c r="O832" s="6">
        <v>17.3</v>
      </c>
      <c r="P832" s="7">
        <v>3.49</v>
      </c>
      <c r="U832" t="s">
        <v>84</v>
      </c>
      <c r="V832" t="s">
        <v>455</v>
      </c>
      <c r="W832">
        <v>2.9</v>
      </c>
      <c r="X832" t="s">
        <v>122</v>
      </c>
      <c r="Y832" t="s">
        <v>456</v>
      </c>
      <c r="Z832" t="s">
        <v>106</v>
      </c>
      <c r="AA832" t="s">
        <v>439</v>
      </c>
      <c r="AB832" t="s">
        <v>115</v>
      </c>
      <c r="AC832">
        <v>5499</v>
      </c>
      <c r="AD832" s="8" t="b">
        <f>AND(
 H832&gt;=Filters!$B$3,
 H832&lt;=Filters!$B$4,
 I832&gt;=Filters!$B$5,
 OR(Filters!$B$6="All",B832=Filters!$B$6),
 F832&gt;=Filters!$B$7,
 F832&lt;=Filters!$B$8,
 OR(Filters!$B$9="All",G832=Filters!$B$9)
)</f>
        <v>0</v>
      </c>
      <c r="AE832">
        <f t="shared" si="156"/>
        <v>6</v>
      </c>
      <c r="AF832">
        <f t="shared" si="157"/>
        <v>7</v>
      </c>
      <c r="AG832">
        <f t="shared" si="158"/>
        <v>7</v>
      </c>
      <c r="AH832" s="9" t="str">
        <f t="shared" si="159"/>
        <v/>
      </c>
      <c r="AI832" s="9" t="str">
        <f t="shared" si="160"/>
        <v/>
      </c>
      <c r="AJ832" s="9" t="str">
        <f t="shared" si="161"/>
        <v/>
      </c>
      <c r="AK832" s="9" t="str">
        <f t="shared" si="162"/>
        <v/>
      </c>
      <c r="AL832" s="9" t="str">
        <f t="shared" si="163"/>
        <v/>
      </c>
      <c r="AM832" s="9" t="str">
        <f t="shared" si="164"/>
        <v/>
      </c>
      <c r="AN832" s="9" t="str">
        <f t="shared" si="165"/>
        <v/>
      </c>
      <c r="AO832" s="9" t="str">
        <f t="shared" si="166"/>
        <v/>
      </c>
      <c r="AP832" s="9" t="str">
        <f t="shared" si="167"/>
        <v/>
      </c>
      <c r="AQ832" s="10" t="str">
        <f t="shared" si="168"/>
        <v/>
      </c>
    </row>
    <row r="833" spans="1:43">
      <c r="A833">
        <v>832</v>
      </c>
      <c r="B833" t="s">
        <v>29</v>
      </c>
      <c r="C833" t="s">
        <v>682</v>
      </c>
      <c r="D833" t="s">
        <v>683</v>
      </c>
      <c r="E833" t="s">
        <v>83</v>
      </c>
      <c r="G833" t="s">
        <v>18</v>
      </c>
      <c r="H833" s="4">
        <v>56673000</v>
      </c>
      <c r="I833" s="5">
        <v>512</v>
      </c>
      <c r="J833" s="5">
        <v>0</v>
      </c>
      <c r="K833" s="5">
        <v>16</v>
      </c>
      <c r="L833">
        <v>9.1999999999999993</v>
      </c>
      <c r="M833">
        <v>3.5</v>
      </c>
      <c r="N833">
        <v>7.4</v>
      </c>
      <c r="O833" s="6">
        <v>14</v>
      </c>
      <c r="P833" s="7">
        <v>1.1000000000000001</v>
      </c>
      <c r="U833" t="s">
        <v>84</v>
      </c>
      <c r="V833" t="s">
        <v>548</v>
      </c>
      <c r="W833">
        <v>2.6</v>
      </c>
      <c r="X833" t="s">
        <v>84</v>
      </c>
      <c r="Y833" t="s">
        <v>130</v>
      </c>
      <c r="Z833" t="s">
        <v>106</v>
      </c>
      <c r="AA833" t="s">
        <v>803</v>
      </c>
      <c r="AB833" t="s">
        <v>115</v>
      </c>
      <c r="AC833">
        <v>2099</v>
      </c>
      <c r="AD833" s="8" t="b">
        <f>AND(
 H833&gt;=Filters!$B$3,
 H833&lt;=Filters!$B$4,
 I833&gt;=Filters!$B$5,
 OR(Filters!$B$6="All",B833=Filters!$B$6),
 F833&gt;=Filters!$B$7,
 F833&lt;=Filters!$B$8,
 OR(Filters!$B$9="All",G833=Filters!$B$9)
)</f>
        <v>0</v>
      </c>
      <c r="AE833">
        <f t="shared" si="156"/>
        <v>6</v>
      </c>
      <c r="AF833">
        <f t="shared" si="157"/>
        <v>7</v>
      </c>
      <c r="AG833">
        <f t="shared" si="158"/>
        <v>7</v>
      </c>
      <c r="AH833" s="9" t="str">
        <f t="shared" si="159"/>
        <v/>
      </c>
      <c r="AI833" s="9" t="str">
        <f t="shared" si="160"/>
        <v/>
      </c>
      <c r="AJ833" s="9" t="str">
        <f t="shared" si="161"/>
        <v/>
      </c>
      <c r="AK833" s="9" t="str">
        <f t="shared" si="162"/>
        <v/>
      </c>
      <c r="AL833" s="9" t="str">
        <f t="shared" si="163"/>
        <v/>
      </c>
      <c r="AM833" s="9" t="str">
        <f t="shared" si="164"/>
        <v/>
      </c>
      <c r="AN833" s="9" t="str">
        <f t="shared" si="165"/>
        <v/>
      </c>
      <c r="AO833" s="9" t="str">
        <f t="shared" si="166"/>
        <v/>
      </c>
      <c r="AP833" s="9" t="str">
        <f t="shared" si="167"/>
        <v/>
      </c>
      <c r="AQ833" s="10" t="str">
        <f t="shared" si="168"/>
        <v/>
      </c>
    </row>
    <row r="834" spans="1:43">
      <c r="A834">
        <v>833</v>
      </c>
      <c r="B834" t="s">
        <v>21</v>
      </c>
      <c r="C834" t="s">
        <v>244</v>
      </c>
      <c r="D834" t="s">
        <v>245</v>
      </c>
      <c r="E834" t="s">
        <v>97</v>
      </c>
      <c r="G834" t="s">
        <v>18</v>
      </c>
      <c r="H834" s="4">
        <v>14013000</v>
      </c>
      <c r="I834" s="5">
        <v>0</v>
      </c>
      <c r="J834" s="5">
        <v>1024</v>
      </c>
      <c r="K834" s="5">
        <v>4</v>
      </c>
      <c r="L834">
        <v>7</v>
      </c>
      <c r="M834">
        <v>8.5</v>
      </c>
      <c r="N834">
        <v>5.92</v>
      </c>
      <c r="O834" s="6">
        <v>15.6</v>
      </c>
      <c r="P834" s="7">
        <v>2.1</v>
      </c>
      <c r="U834" t="s">
        <v>84</v>
      </c>
      <c r="V834" t="s">
        <v>98</v>
      </c>
      <c r="W834">
        <v>2.5</v>
      </c>
      <c r="X834" t="s">
        <v>122</v>
      </c>
      <c r="Y834" t="s">
        <v>1230</v>
      </c>
      <c r="Z834" t="s">
        <v>146</v>
      </c>
      <c r="AA834" t="s">
        <v>101</v>
      </c>
      <c r="AB834" t="s">
        <v>201</v>
      </c>
      <c r="AC834">
        <v>519</v>
      </c>
      <c r="AD834" s="8" t="b">
        <f>AND(
 H834&gt;=Filters!$B$3,
 H834&lt;=Filters!$B$4,
 I834&gt;=Filters!$B$5,
 OR(Filters!$B$6="All",B834=Filters!$B$6),
 F834&gt;=Filters!$B$7,
 F834&lt;=Filters!$B$8,
 OR(Filters!$B$9="All",G834=Filters!$B$9)
)</f>
        <v>0</v>
      </c>
      <c r="AE834">
        <f t="shared" ref="AE834:AE897" si="169">IF(Q834="",6,Q834)</f>
        <v>6</v>
      </c>
      <c r="AF834">
        <f t="shared" ref="AF834:AF897" si="170">IF(R834="",7,R834)</f>
        <v>7</v>
      </c>
      <c r="AG834">
        <f t="shared" ref="AG834:AG897" si="171">IF(S834="",7,S834)</f>
        <v>7</v>
      </c>
      <c r="AH834" s="9" t="str">
        <f t="shared" ref="AH834:AH897" si="172">IF(AD834,IF(CPU_MAX=CPU_MIN,1,(L834-CPU_MIN)/(CPU_MAX-CPU_MIN)),"")</f>
        <v/>
      </c>
      <c r="AI834" s="9" t="str">
        <f t="shared" ref="AI834:AI897" si="173">IF(AD834,IF(RAM_MAX=RAM_MIN,1,(K834-RAM_MIN)/(RAM_MAX-RAM_MIN)),"")</f>
        <v/>
      </c>
      <c r="AJ834" s="9" t="str">
        <f t="shared" ref="AJ834:AJ897" si="174">IF(AD834,IF(GPU_MAX=GPU_MIN,1,(M834-GPU_MIN)/(GPU_MAX-GPU_MIN)),"")</f>
        <v/>
      </c>
      <c r="AK834" s="9" t="str">
        <f t="shared" ref="AK834:AK897" si="175">IF(AD834,IF(SCREEN_MAX=SCREEN_MIN,1,(N834-SCREEN_MIN)/(SCREEN_MAX-SCREEN_MIN)),"")</f>
        <v/>
      </c>
      <c r="AL834" s="9" t="str">
        <f t="shared" ref="AL834:AL897" si="176">IF(AD834,IF(WEIGHT_MAX=WEIGHT_MIN,1,(WEIGHT_MAX-P834)/(WEIGHT_MAX-WEIGHT_MIN)),"")</f>
        <v/>
      </c>
      <c r="AM834" s="9" t="str">
        <f t="shared" ref="AM834:AM897" si="177">IF(AD834,IF(BATTERY_MAX=BATTERY_MIN,1,(AE834-BATTERY_MIN)/(BATTERY_MAX-BATTERY_MIN)),"")</f>
        <v/>
      </c>
      <c r="AN834" s="9" t="str">
        <f t="shared" ref="AN834:AN897" si="178">IF(AD834,IF(DURABILITY_MAX=DURABILITY_MIN,1,(AF834-DURABILITY_MIN)/(DURABILITY_MAX-DURABILITY_MIN)),"")</f>
        <v/>
      </c>
      <c r="AO834" s="9" t="str">
        <f t="shared" ref="AO834:AO897" si="179">IF(AD834,IF(UPGRADE_MAX=UPGRADE_MIN,1,(AG834-UPGRADE_MIN)/(UPGRADE_MAX-UPGRADE_MIN)),"")</f>
        <v/>
      </c>
      <c r="AP834" s="9" t="str">
        <f t="shared" ref="AP834:AP897" si="180">IF(AD834,W_CPU*AH834+W_RAM*AI834+W_GPU*AJ834+W_SCREEN*AK834+W_WEIGHT*AL834+W_BATTERY*AM834+W_DURABILITY*AN834+W_UPGRADE*AO834,"" )</f>
        <v/>
      </c>
      <c r="AQ834" s="10" t="str">
        <f t="shared" ref="AQ834:AQ897" si="181">IF(AP834="","",AP834+ROW()*0.000000001)</f>
        <v/>
      </c>
    </row>
    <row r="835" spans="1:43">
      <c r="A835">
        <v>834</v>
      </c>
      <c r="B835" t="s">
        <v>29</v>
      </c>
      <c r="C835" t="s">
        <v>1231</v>
      </c>
      <c r="D835" t="s">
        <v>1142</v>
      </c>
      <c r="E835" t="s">
        <v>97</v>
      </c>
      <c r="G835" t="s">
        <v>18</v>
      </c>
      <c r="H835" s="4">
        <v>32022000</v>
      </c>
      <c r="I835" s="5">
        <v>256</v>
      </c>
      <c r="J835" s="5">
        <v>0</v>
      </c>
      <c r="K835" s="5">
        <v>8</v>
      </c>
      <c r="L835">
        <v>6.6</v>
      </c>
      <c r="M835">
        <v>3.5</v>
      </c>
      <c r="N835">
        <v>6</v>
      </c>
      <c r="O835" s="6">
        <v>14</v>
      </c>
      <c r="P835" s="7">
        <v>1.7</v>
      </c>
      <c r="U835" t="s">
        <v>84</v>
      </c>
      <c r="V835" t="s">
        <v>375</v>
      </c>
      <c r="W835">
        <v>2.2999999999999998</v>
      </c>
      <c r="X835" t="s">
        <v>84</v>
      </c>
      <c r="Y835" t="s">
        <v>130</v>
      </c>
      <c r="Z835" t="s">
        <v>100</v>
      </c>
      <c r="AA835" t="s">
        <v>101</v>
      </c>
      <c r="AB835" t="s">
        <v>115</v>
      </c>
      <c r="AC835">
        <v>1186</v>
      </c>
      <c r="AD835" s="8" t="b">
        <f>AND(
 H835&gt;=Filters!$B$3,
 H835&lt;=Filters!$B$4,
 I835&gt;=Filters!$B$5,
 OR(Filters!$B$6="All",B835=Filters!$B$6),
 F835&gt;=Filters!$B$7,
 F835&lt;=Filters!$B$8,
 OR(Filters!$B$9="All",G835=Filters!$B$9)
)</f>
        <v>0</v>
      </c>
      <c r="AE835">
        <f t="shared" si="169"/>
        <v>6</v>
      </c>
      <c r="AF835">
        <f t="shared" si="170"/>
        <v>7</v>
      </c>
      <c r="AG835">
        <f t="shared" si="171"/>
        <v>7</v>
      </c>
      <c r="AH835" s="9" t="str">
        <f t="shared" si="172"/>
        <v/>
      </c>
      <c r="AI835" s="9" t="str">
        <f t="shared" si="173"/>
        <v/>
      </c>
      <c r="AJ835" s="9" t="str">
        <f t="shared" si="174"/>
        <v/>
      </c>
      <c r="AK835" s="9" t="str">
        <f t="shared" si="175"/>
        <v/>
      </c>
      <c r="AL835" s="9" t="str">
        <f t="shared" si="176"/>
        <v/>
      </c>
      <c r="AM835" s="9" t="str">
        <f t="shared" si="177"/>
        <v/>
      </c>
      <c r="AN835" s="9" t="str">
        <f t="shared" si="178"/>
        <v/>
      </c>
      <c r="AO835" s="9" t="str">
        <f t="shared" si="179"/>
        <v/>
      </c>
      <c r="AP835" s="9" t="str">
        <f t="shared" si="180"/>
        <v/>
      </c>
      <c r="AQ835" s="10" t="str">
        <f t="shared" si="181"/>
        <v/>
      </c>
    </row>
    <row r="836" spans="1:43">
      <c r="A836">
        <v>835</v>
      </c>
      <c r="B836" t="s">
        <v>29</v>
      </c>
      <c r="C836" t="s">
        <v>1232</v>
      </c>
      <c r="D836" t="s">
        <v>762</v>
      </c>
      <c r="E836" t="s">
        <v>97</v>
      </c>
      <c r="G836" t="s">
        <v>18</v>
      </c>
      <c r="H836" s="4">
        <v>44550000</v>
      </c>
      <c r="I836" s="5">
        <v>256</v>
      </c>
      <c r="J836" s="5">
        <v>0</v>
      </c>
      <c r="K836" s="5">
        <v>8</v>
      </c>
      <c r="L836">
        <v>7.2</v>
      </c>
      <c r="M836">
        <v>3.5</v>
      </c>
      <c r="N836">
        <v>6.4</v>
      </c>
      <c r="O836" s="6">
        <v>14</v>
      </c>
      <c r="P836" s="7">
        <v>1.32</v>
      </c>
      <c r="U836" t="s">
        <v>84</v>
      </c>
      <c r="V836" t="s">
        <v>633</v>
      </c>
      <c r="W836">
        <v>2.6</v>
      </c>
      <c r="X836" t="s">
        <v>84</v>
      </c>
      <c r="Y836" t="s">
        <v>99</v>
      </c>
      <c r="Z836" t="s">
        <v>100</v>
      </c>
      <c r="AA836" t="s">
        <v>128</v>
      </c>
      <c r="AB836" t="s">
        <v>115</v>
      </c>
      <c r="AC836">
        <v>1650</v>
      </c>
      <c r="AD836" s="8" t="b">
        <f>AND(
 H836&gt;=Filters!$B$3,
 H836&lt;=Filters!$B$4,
 I836&gt;=Filters!$B$5,
 OR(Filters!$B$6="All",B836=Filters!$B$6),
 F836&gt;=Filters!$B$7,
 F836&lt;=Filters!$B$8,
 OR(Filters!$B$9="All",G836=Filters!$B$9)
)</f>
        <v>0</v>
      </c>
      <c r="AE836">
        <f t="shared" si="169"/>
        <v>6</v>
      </c>
      <c r="AF836">
        <f t="shared" si="170"/>
        <v>7</v>
      </c>
      <c r="AG836">
        <f t="shared" si="171"/>
        <v>7</v>
      </c>
      <c r="AH836" s="9" t="str">
        <f t="shared" si="172"/>
        <v/>
      </c>
      <c r="AI836" s="9" t="str">
        <f t="shared" si="173"/>
        <v/>
      </c>
      <c r="AJ836" s="9" t="str">
        <f t="shared" si="174"/>
        <v/>
      </c>
      <c r="AK836" s="9" t="str">
        <f t="shared" si="175"/>
        <v/>
      </c>
      <c r="AL836" s="9" t="str">
        <f t="shared" si="176"/>
        <v/>
      </c>
      <c r="AM836" s="9" t="str">
        <f t="shared" si="177"/>
        <v/>
      </c>
      <c r="AN836" s="9" t="str">
        <f t="shared" si="178"/>
        <v/>
      </c>
      <c r="AO836" s="9" t="str">
        <f t="shared" si="179"/>
        <v/>
      </c>
      <c r="AP836" s="9" t="str">
        <f t="shared" si="180"/>
        <v/>
      </c>
      <c r="AQ836" s="10" t="str">
        <f t="shared" si="181"/>
        <v/>
      </c>
    </row>
    <row r="837" spans="1:43">
      <c r="A837">
        <v>836</v>
      </c>
      <c r="B837" t="s">
        <v>23</v>
      </c>
      <c r="C837" t="s">
        <v>1057</v>
      </c>
      <c r="D837" t="s">
        <v>1058</v>
      </c>
      <c r="E837" t="s">
        <v>158</v>
      </c>
      <c r="G837" t="s">
        <v>18</v>
      </c>
      <c r="H837" s="4">
        <v>74915010</v>
      </c>
      <c r="I837" s="5">
        <v>256</v>
      </c>
      <c r="J837" s="5">
        <v>1024</v>
      </c>
      <c r="K837" s="5">
        <v>16</v>
      </c>
      <c r="L837">
        <v>9.6</v>
      </c>
      <c r="M837">
        <v>9.1999999999999993</v>
      </c>
      <c r="N837">
        <v>5.92</v>
      </c>
      <c r="O837" s="6">
        <v>15.6</v>
      </c>
      <c r="P837" s="7">
        <v>3.21</v>
      </c>
      <c r="U837" t="s">
        <v>84</v>
      </c>
      <c r="V837" t="s">
        <v>210</v>
      </c>
      <c r="W837">
        <v>2.8</v>
      </c>
      <c r="X837" t="s">
        <v>122</v>
      </c>
      <c r="Y837" t="s">
        <v>248</v>
      </c>
      <c r="Z837" t="s">
        <v>212</v>
      </c>
      <c r="AA837" t="s">
        <v>101</v>
      </c>
      <c r="AB837" t="s">
        <v>115</v>
      </c>
      <c r="AC837">
        <v>2774.63</v>
      </c>
      <c r="AD837" s="8" t="b">
        <f>AND(
 H837&gt;=Filters!$B$3,
 H837&lt;=Filters!$B$4,
 I837&gt;=Filters!$B$5,
 OR(Filters!$B$6="All",B837=Filters!$B$6),
 F837&gt;=Filters!$B$7,
 F837&lt;=Filters!$B$8,
 OR(Filters!$B$9="All",G837=Filters!$B$9)
)</f>
        <v>0</v>
      </c>
      <c r="AE837">
        <f t="shared" si="169"/>
        <v>6</v>
      </c>
      <c r="AF837">
        <f t="shared" si="170"/>
        <v>7</v>
      </c>
      <c r="AG837">
        <f t="shared" si="171"/>
        <v>7</v>
      </c>
      <c r="AH837" s="9" t="str">
        <f t="shared" si="172"/>
        <v/>
      </c>
      <c r="AI837" s="9" t="str">
        <f t="shared" si="173"/>
        <v/>
      </c>
      <c r="AJ837" s="9" t="str">
        <f t="shared" si="174"/>
        <v/>
      </c>
      <c r="AK837" s="9" t="str">
        <f t="shared" si="175"/>
        <v/>
      </c>
      <c r="AL837" s="9" t="str">
        <f t="shared" si="176"/>
        <v/>
      </c>
      <c r="AM837" s="9" t="str">
        <f t="shared" si="177"/>
        <v/>
      </c>
      <c r="AN837" s="9" t="str">
        <f t="shared" si="178"/>
        <v/>
      </c>
      <c r="AO837" s="9" t="str">
        <f t="shared" si="179"/>
        <v/>
      </c>
      <c r="AP837" s="9" t="str">
        <f t="shared" si="180"/>
        <v/>
      </c>
      <c r="AQ837" s="10" t="str">
        <f t="shared" si="181"/>
        <v/>
      </c>
    </row>
    <row r="838" spans="1:43">
      <c r="A838">
        <v>837</v>
      </c>
      <c r="B838" t="s">
        <v>21</v>
      </c>
      <c r="C838" t="s">
        <v>1233</v>
      </c>
      <c r="D838" t="s">
        <v>1234</v>
      </c>
      <c r="E838" t="s">
        <v>158</v>
      </c>
      <c r="G838" t="s">
        <v>18</v>
      </c>
      <c r="H838" s="4">
        <v>65313000</v>
      </c>
      <c r="I838" s="5">
        <v>256</v>
      </c>
      <c r="J838" s="5">
        <v>1024</v>
      </c>
      <c r="K838" s="5">
        <v>16</v>
      </c>
      <c r="L838">
        <v>9.6</v>
      </c>
      <c r="M838">
        <v>9.1999999999999993</v>
      </c>
      <c r="N838">
        <v>5.83</v>
      </c>
      <c r="O838" s="6">
        <v>17.3</v>
      </c>
      <c r="P838" s="7">
        <v>2.9</v>
      </c>
      <c r="U838" t="s">
        <v>84</v>
      </c>
      <c r="V838" t="s">
        <v>210</v>
      </c>
      <c r="W838">
        <v>2.8</v>
      </c>
      <c r="X838" t="s">
        <v>122</v>
      </c>
      <c r="Y838" t="s">
        <v>248</v>
      </c>
      <c r="Z838" t="s">
        <v>212</v>
      </c>
      <c r="AA838" t="s">
        <v>101</v>
      </c>
      <c r="AB838" t="s">
        <v>115</v>
      </c>
      <c r="AC838">
        <v>2419</v>
      </c>
      <c r="AD838" s="8" t="b">
        <f>AND(
 H838&gt;=Filters!$B$3,
 H838&lt;=Filters!$B$4,
 I838&gt;=Filters!$B$5,
 OR(Filters!$B$6="All",B838=Filters!$B$6),
 F838&gt;=Filters!$B$7,
 F838&lt;=Filters!$B$8,
 OR(Filters!$B$9="All",G838=Filters!$B$9)
)</f>
        <v>0</v>
      </c>
      <c r="AE838">
        <f t="shared" si="169"/>
        <v>6</v>
      </c>
      <c r="AF838">
        <f t="shared" si="170"/>
        <v>7</v>
      </c>
      <c r="AG838">
        <f t="shared" si="171"/>
        <v>7</v>
      </c>
      <c r="AH838" s="9" t="str">
        <f t="shared" si="172"/>
        <v/>
      </c>
      <c r="AI838" s="9" t="str">
        <f t="shared" si="173"/>
        <v/>
      </c>
      <c r="AJ838" s="9" t="str">
        <f t="shared" si="174"/>
        <v/>
      </c>
      <c r="AK838" s="9" t="str">
        <f t="shared" si="175"/>
        <v/>
      </c>
      <c r="AL838" s="9" t="str">
        <f t="shared" si="176"/>
        <v/>
      </c>
      <c r="AM838" s="9" t="str">
        <f t="shared" si="177"/>
        <v/>
      </c>
      <c r="AN838" s="9" t="str">
        <f t="shared" si="178"/>
        <v/>
      </c>
      <c r="AO838" s="9" t="str">
        <f t="shared" si="179"/>
        <v/>
      </c>
      <c r="AP838" s="9" t="str">
        <f t="shared" si="180"/>
        <v/>
      </c>
      <c r="AQ838" s="10" t="str">
        <f t="shared" si="181"/>
        <v/>
      </c>
    </row>
    <row r="839" spans="1:43">
      <c r="A839">
        <v>838</v>
      </c>
      <c r="B839" t="s">
        <v>35</v>
      </c>
      <c r="C839" t="s">
        <v>373</v>
      </c>
      <c r="D839" t="s">
        <v>374</v>
      </c>
      <c r="E839" t="s">
        <v>97</v>
      </c>
      <c r="G839" t="s">
        <v>18</v>
      </c>
      <c r="H839" s="4">
        <v>18063000</v>
      </c>
      <c r="I839" s="5">
        <v>0</v>
      </c>
      <c r="J839" s="5">
        <v>500</v>
      </c>
      <c r="K839" s="5">
        <v>4</v>
      </c>
      <c r="L839">
        <v>4.8</v>
      </c>
      <c r="M839">
        <v>3.5</v>
      </c>
      <c r="N839">
        <v>3.92</v>
      </c>
      <c r="O839" s="6">
        <v>15.6</v>
      </c>
      <c r="P839" s="7">
        <v>2</v>
      </c>
      <c r="U839" t="s">
        <v>84</v>
      </c>
      <c r="V839" t="s">
        <v>144</v>
      </c>
      <c r="W839">
        <v>2.4</v>
      </c>
      <c r="X839" t="s">
        <v>84</v>
      </c>
      <c r="Y839" t="s">
        <v>99</v>
      </c>
      <c r="Z839" t="s">
        <v>113</v>
      </c>
      <c r="AA839" t="s">
        <v>114</v>
      </c>
      <c r="AB839" t="s">
        <v>115</v>
      </c>
      <c r="AC839">
        <v>669</v>
      </c>
      <c r="AD839" s="8" t="b">
        <f>AND(
 H839&gt;=Filters!$B$3,
 H839&lt;=Filters!$B$4,
 I839&gt;=Filters!$B$5,
 OR(Filters!$B$6="All",B839=Filters!$B$6),
 F839&gt;=Filters!$B$7,
 F839&lt;=Filters!$B$8,
 OR(Filters!$B$9="All",G839=Filters!$B$9)
)</f>
        <v>0</v>
      </c>
      <c r="AE839">
        <f t="shared" si="169"/>
        <v>6</v>
      </c>
      <c r="AF839">
        <f t="shared" si="170"/>
        <v>7</v>
      </c>
      <c r="AG839">
        <f t="shared" si="171"/>
        <v>7</v>
      </c>
      <c r="AH839" s="9" t="str">
        <f t="shared" si="172"/>
        <v/>
      </c>
      <c r="AI839" s="9" t="str">
        <f t="shared" si="173"/>
        <v/>
      </c>
      <c r="AJ839" s="9" t="str">
        <f t="shared" si="174"/>
        <v/>
      </c>
      <c r="AK839" s="9" t="str">
        <f t="shared" si="175"/>
        <v/>
      </c>
      <c r="AL839" s="9" t="str">
        <f t="shared" si="176"/>
        <v/>
      </c>
      <c r="AM839" s="9" t="str">
        <f t="shared" si="177"/>
        <v/>
      </c>
      <c r="AN839" s="9" t="str">
        <f t="shared" si="178"/>
        <v/>
      </c>
      <c r="AO839" s="9" t="str">
        <f t="shared" si="179"/>
        <v/>
      </c>
      <c r="AP839" s="9" t="str">
        <f t="shared" si="180"/>
        <v/>
      </c>
      <c r="AQ839" s="10" t="str">
        <f t="shared" si="181"/>
        <v/>
      </c>
    </row>
    <row r="840" spans="1:43">
      <c r="A840">
        <v>839</v>
      </c>
      <c r="B840" t="s">
        <v>29</v>
      </c>
      <c r="C840" t="s">
        <v>1235</v>
      </c>
      <c r="D840" t="s">
        <v>1236</v>
      </c>
      <c r="E840" t="s">
        <v>97</v>
      </c>
      <c r="G840" t="s">
        <v>18</v>
      </c>
      <c r="H840" s="4">
        <v>8775000</v>
      </c>
      <c r="I840" s="5">
        <v>16</v>
      </c>
      <c r="J840" s="5">
        <v>0</v>
      </c>
      <c r="K840" s="5">
        <v>4</v>
      </c>
      <c r="L840">
        <v>1.2</v>
      </c>
      <c r="M840">
        <v>3.5</v>
      </c>
      <c r="N840">
        <v>4</v>
      </c>
      <c r="O840" s="6">
        <v>14</v>
      </c>
      <c r="P840" s="7">
        <v>1.5</v>
      </c>
      <c r="U840" t="s">
        <v>84</v>
      </c>
      <c r="V840" t="s">
        <v>983</v>
      </c>
      <c r="W840">
        <v>1.6</v>
      </c>
      <c r="X840" t="s">
        <v>84</v>
      </c>
      <c r="Y840" t="s">
        <v>154</v>
      </c>
      <c r="Z840" t="s">
        <v>606</v>
      </c>
      <c r="AA840" t="s">
        <v>114</v>
      </c>
      <c r="AB840" t="s">
        <v>563</v>
      </c>
      <c r="AC840">
        <v>325</v>
      </c>
      <c r="AD840" s="8" t="b">
        <f>AND(
 H840&gt;=Filters!$B$3,
 H840&lt;=Filters!$B$4,
 I840&gt;=Filters!$B$5,
 OR(Filters!$B$6="All",B840=Filters!$B$6),
 F840&gt;=Filters!$B$7,
 F840&lt;=Filters!$B$8,
 OR(Filters!$B$9="All",G840=Filters!$B$9)
)</f>
        <v>0</v>
      </c>
      <c r="AE840">
        <f t="shared" si="169"/>
        <v>6</v>
      </c>
      <c r="AF840">
        <f t="shared" si="170"/>
        <v>7</v>
      </c>
      <c r="AG840">
        <f t="shared" si="171"/>
        <v>7</v>
      </c>
      <c r="AH840" s="9" t="str">
        <f t="shared" si="172"/>
        <v/>
      </c>
      <c r="AI840" s="9" t="str">
        <f t="shared" si="173"/>
        <v/>
      </c>
      <c r="AJ840" s="9" t="str">
        <f t="shared" si="174"/>
        <v/>
      </c>
      <c r="AK840" s="9" t="str">
        <f t="shared" si="175"/>
        <v/>
      </c>
      <c r="AL840" s="9" t="str">
        <f t="shared" si="176"/>
        <v/>
      </c>
      <c r="AM840" s="9" t="str">
        <f t="shared" si="177"/>
        <v/>
      </c>
      <c r="AN840" s="9" t="str">
        <f t="shared" si="178"/>
        <v/>
      </c>
      <c r="AO840" s="9" t="str">
        <f t="shared" si="179"/>
        <v/>
      </c>
      <c r="AP840" s="9" t="str">
        <f t="shared" si="180"/>
        <v/>
      </c>
      <c r="AQ840" s="10" t="str">
        <f t="shared" si="181"/>
        <v/>
      </c>
    </row>
    <row r="841" spans="1:43">
      <c r="A841">
        <v>840</v>
      </c>
      <c r="B841" t="s">
        <v>21</v>
      </c>
      <c r="C841" t="s">
        <v>1237</v>
      </c>
      <c r="D841" t="s">
        <v>1238</v>
      </c>
      <c r="E841" t="s">
        <v>97</v>
      </c>
      <c r="G841" t="s">
        <v>18</v>
      </c>
      <c r="H841" s="4">
        <v>15930000</v>
      </c>
      <c r="I841" s="5">
        <v>0</v>
      </c>
      <c r="J841" s="5">
        <v>128</v>
      </c>
      <c r="K841" s="5">
        <v>8</v>
      </c>
      <c r="L841">
        <v>7</v>
      </c>
      <c r="M841">
        <v>3.5</v>
      </c>
      <c r="N841">
        <v>5.92</v>
      </c>
      <c r="O841" s="6">
        <v>15.6</v>
      </c>
      <c r="P841" s="7">
        <v>2.2999999999999998</v>
      </c>
      <c r="U841" t="s">
        <v>84</v>
      </c>
      <c r="V841" t="s">
        <v>98</v>
      </c>
      <c r="W841">
        <v>2.5</v>
      </c>
      <c r="X841" t="s">
        <v>84</v>
      </c>
      <c r="Y841" t="s">
        <v>99</v>
      </c>
      <c r="Z841" t="s">
        <v>1239</v>
      </c>
      <c r="AA841" t="s">
        <v>101</v>
      </c>
      <c r="AB841" t="s">
        <v>115</v>
      </c>
      <c r="AC841">
        <v>590</v>
      </c>
      <c r="AD841" s="8" t="b">
        <f>AND(
 H841&gt;=Filters!$B$3,
 H841&lt;=Filters!$B$4,
 I841&gt;=Filters!$B$5,
 OR(Filters!$B$6="All",B841=Filters!$B$6),
 F841&gt;=Filters!$B$7,
 F841&lt;=Filters!$B$8,
 OR(Filters!$B$9="All",G841=Filters!$B$9)
)</f>
        <v>0</v>
      </c>
      <c r="AE841">
        <f t="shared" si="169"/>
        <v>6</v>
      </c>
      <c r="AF841">
        <f t="shared" si="170"/>
        <v>7</v>
      </c>
      <c r="AG841">
        <f t="shared" si="171"/>
        <v>7</v>
      </c>
      <c r="AH841" s="9" t="str">
        <f t="shared" si="172"/>
        <v/>
      </c>
      <c r="AI841" s="9" t="str">
        <f t="shared" si="173"/>
        <v/>
      </c>
      <c r="AJ841" s="9" t="str">
        <f t="shared" si="174"/>
        <v/>
      </c>
      <c r="AK841" s="9" t="str">
        <f t="shared" si="175"/>
        <v/>
      </c>
      <c r="AL841" s="9" t="str">
        <f t="shared" si="176"/>
        <v/>
      </c>
      <c r="AM841" s="9" t="str">
        <f t="shared" si="177"/>
        <v/>
      </c>
      <c r="AN841" s="9" t="str">
        <f t="shared" si="178"/>
        <v/>
      </c>
      <c r="AO841" s="9" t="str">
        <f t="shared" si="179"/>
        <v/>
      </c>
      <c r="AP841" s="9" t="str">
        <f t="shared" si="180"/>
        <v/>
      </c>
      <c r="AQ841" s="10" t="str">
        <f t="shared" si="181"/>
        <v/>
      </c>
    </row>
    <row r="842" spans="1:43">
      <c r="A842">
        <v>841</v>
      </c>
      <c r="B842" t="s">
        <v>21</v>
      </c>
      <c r="C842" t="s">
        <v>1240</v>
      </c>
      <c r="D842" t="s">
        <v>1241</v>
      </c>
      <c r="E842" t="s">
        <v>158</v>
      </c>
      <c r="G842" t="s">
        <v>18</v>
      </c>
      <c r="H842" s="4">
        <v>48573000</v>
      </c>
      <c r="I842" s="5">
        <v>512</v>
      </c>
      <c r="J842" s="5">
        <v>1024</v>
      </c>
      <c r="K842" s="5">
        <v>16</v>
      </c>
      <c r="L842">
        <v>9.1999999999999993</v>
      </c>
      <c r="M842">
        <v>9.1999999999999993</v>
      </c>
      <c r="N842">
        <v>5.83</v>
      </c>
      <c r="O842" s="6">
        <v>17.3</v>
      </c>
      <c r="P842" s="7">
        <v>2.73</v>
      </c>
      <c r="U842" t="s">
        <v>84</v>
      </c>
      <c r="V842" t="s">
        <v>808</v>
      </c>
      <c r="W842">
        <v>2.6</v>
      </c>
      <c r="X842" t="s">
        <v>122</v>
      </c>
      <c r="Y842" t="s">
        <v>211</v>
      </c>
      <c r="Z842" t="s">
        <v>428</v>
      </c>
      <c r="AA842" t="s">
        <v>101</v>
      </c>
      <c r="AB842" t="s">
        <v>115</v>
      </c>
      <c r="AC842">
        <v>1799</v>
      </c>
      <c r="AD842" s="8" t="b">
        <f>AND(
 H842&gt;=Filters!$B$3,
 H842&lt;=Filters!$B$4,
 I842&gt;=Filters!$B$5,
 OR(Filters!$B$6="All",B842=Filters!$B$6),
 F842&gt;=Filters!$B$7,
 F842&lt;=Filters!$B$8,
 OR(Filters!$B$9="All",G842=Filters!$B$9)
)</f>
        <v>0</v>
      </c>
      <c r="AE842">
        <f t="shared" si="169"/>
        <v>6</v>
      </c>
      <c r="AF842">
        <f t="shared" si="170"/>
        <v>7</v>
      </c>
      <c r="AG842">
        <f t="shared" si="171"/>
        <v>7</v>
      </c>
      <c r="AH842" s="9" t="str">
        <f t="shared" si="172"/>
        <v/>
      </c>
      <c r="AI842" s="9" t="str">
        <f t="shared" si="173"/>
        <v/>
      </c>
      <c r="AJ842" s="9" t="str">
        <f t="shared" si="174"/>
        <v/>
      </c>
      <c r="AK842" s="9" t="str">
        <f t="shared" si="175"/>
        <v/>
      </c>
      <c r="AL842" s="9" t="str">
        <f t="shared" si="176"/>
        <v/>
      </c>
      <c r="AM842" s="9" t="str">
        <f t="shared" si="177"/>
        <v/>
      </c>
      <c r="AN842" s="9" t="str">
        <f t="shared" si="178"/>
        <v/>
      </c>
      <c r="AO842" s="9" t="str">
        <f t="shared" si="179"/>
        <v/>
      </c>
      <c r="AP842" s="9" t="str">
        <f t="shared" si="180"/>
        <v/>
      </c>
      <c r="AQ842" s="10" t="str">
        <f t="shared" si="181"/>
        <v/>
      </c>
    </row>
    <row r="843" spans="1:43">
      <c r="A843">
        <v>842</v>
      </c>
      <c r="B843" t="s">
        <v>23</v>
      </c>
      <c r="C843" t="s">
        <v>486</v>
      </c>
      <c r="D843" t="s">
        <v>487</v>
      </c>
      <c r="E843" t="s">
        <v>158</v>
      </c>
      <c r="G843" t="s">
        <v>18</v>
      </c>
      <c r="H843" s="4">
        <v>82968030</v>
      </c>
      <c r="I843" s="5">
        <v>512</v>
      </c>
      <c r="J843" s="5">
        <v>1024</v>
      </c>
      <c r="K843" s="5">
        <v>32</v>
      </c>
      <c r="L843">
        <v>9.6</v>
      </c>
      <c r="M843">
        <v>9.1999999999999993</v>
      </c>
      <c r="N843">
        <v>6.24</v>
      </c>
      <c r="O843" s="6">
        <v>17.3</v>
      </c>
      <c r="P843" s="7">
        <v>4.42</v>
      </c>
      <c r="U843" t="s">
        <v>84</v>
      </c>
      <c r="V843" t="s">
        <v>210</v>
      </c>
      <c r="W843">
        <v>2.8</v>
      </c>
      <c r="X843" t="s">
        <v>122</v>
      </c>
      <c r="Y843" t="s">
        <v>248</v>
      </c>
      <c r="Z843" t="s">
        <v>428</v>
      </c>
      <c r="AA843" t="s">
        <v>128</v>
      </c>
      <c r="AB843" t="s">
        <v>115</v>
      </c>
      <c r="AC843">
        <v>3072.89</v>
      </c>
      <c r="AD843" s="8" t="b">
        <f>AND(
 H843&gt;=Filters!$B$3,
 H843&lt;=Filters!$B$4,
 I843&gt;=Filters!$B$5,
 OR(Filters!$B$6="All",B843=Filters!$B$6),
 F843&gt;=Filters!$B$7,
 F843&lt;=Filters!$B$8,
 OR(Filters!$B$9="All",G843=Filters!$B$9)
)</f>
        <v>0</v>
      </c>
      <c r="AE843">
        <f t="shared" si="169"/>
        <v>6</v>
      </c>
      <c r="AF843">
        <f t="shared" si="170"/>
        <v>7</v>
      </c>
      <c r="AG843">
        <f t="shared" si="171"/>
        <v>7</v>
      </c>
      <c r="AH843" s="9" t="str">
        <f t="shared" si="172"/>
        <v/>
      </c>
      <c r="AI843" s="9" t="str">
        <f t="shared" si="173"/>
        <v/>
      </c>
      <c r="AJ843" s="9" t="str">
        <f t="shared" si="174"/>
        <v/>
      </c>
      <c r="AK843" s="9" t="str">
        <f t="shared" si="175"/>
        <v/>
      </c>
      <c r="AL843" s="9" t="str">
        <f t="shared" si="176"/>
        <v/>
      </c>
      <c r="AM843" s="9" t="str">
        <f t="shared" si="177"/>
        <v/>
      </c>
      <c r="AN843" s="9" t="str">
        <f t="shared" si="178"/>
        <v/>
      </c>
      <c r="AO843" s="9" t="str">
        <f t="shared" si="179"/>
        <v/>
      </c>
      <c r="AP843" s="9" t="str">
        <f t="shared" si="180"/>
        <v/>
      </c>
      <c r="AQ843" s="10" t="str">
        <f t="shared" si="181"/>
        <v/>
      </c>
    </row>
    <row r="844" spans="1:43">
      <c r="A844">
        <v>843</v>
      </c>
      <c r="B844" t="s">
        <v>26</v>
      </c>
      <c r="C844" t="s">
        <v>181</v>
      </c>
      <c r="D844" t="s">
        <v>182</v>
      </c>
      <c r="E844" t="s">
        <v>97</v>
      </c>
      <c r="G844" t="s">
        <v>18</v>
      </c>
      <c r="H844" s="4">
        <v>24570000</v>
      </c>
      <c r="I844" s="5">
        <v>0</v>
      </c>
      <c r="J844" s="5">
        <v>1024</v>
      </c>
      <c r="K844" s="5">
        <v>8</v>
      </c>
      <c r="L844">
        <v>7</v>
      </c>
      <c r="M844">
        <v>6.5</v>
      </c>
      <c r="N844">
        <v>5.83</v>
      </c>
      <c r="O844" s="6">
        <v>17.3</v>
      </c>
      <c r="P844" s="7">
        <v>2.63</v>
      </c>
      <c r="U844" t="s">
        <v>84</v>
      </c>
      <c r="V844" t="s">
        <v>98</v>
      </c>
      <c r="W844">
        <v>2.5</v>
      </c>
      <c r="X844" t="s">
        <v>122</v>
      </c>
      <c r="Y844" t="s">
        <v>183</v>
      </c>
      <c r="Z844" t="s">
        <v>146</v>
      </c>
      <c r="AA844" t="s">
        <v>452</v>
      </c>
      <c r="AB844" t="s">
        <v>115</v>
      </c>
      <c r="AC844">
        <v>910</v>
      </c>
      <c r="AD844" s="8" t="b">
        <f>AND(
 H844&gt;=Filters!$B$3,
 H844&lt;=Filters!$B$4,
 I844&gt;=Filters!$B$5,
 OR(Filters!$B$6="All",B844=Filters!$B$6),
 F844&gt;=Filters!$B$7,
 F844&lt;=Filters!$B$8,
 OR(Filters!$B$9="All",G844=Filters!$B$9)
)</f>
        <v>0</v>
      </c>
      <c r="AE844">
        <f t="shared" si="169"/>
        <v>6</v>
      </c>
      <c r="AF844">
        <f t="shared" si="170"/>
        <v>7</v>
      </c>
      <c r="AG844">
        <f t="shared" si="171"/>
        <v>7</v>
      </c>
      <c r="AH844" s="9" t="str">
        <f t="shared" si="172"/>
        <v/>
      </c>
      <c r="AI844" s="9" t="str">
        <f t="shared" si="173"/>
        <v/>
      </c>
      <c r="AJ844" s="9" t="str">
        <f t="shared" si="174"/>
        <v/>
      </c>
      <c r="AK844" s="9" t="str">
        <f t="shared" si="175"/>
        <v/>
      </c>
      <c r="AL844" s="9" t="str">
        <f t="shared" si="176"/>
        <v/>
      </c>
      <c r="AM844" s="9" t="str">
        <f t="shared" si="177"/>
        <v/>
      </c>
      <c r="AN844" s="9" t="str">
        <f t="shared" si="178"/>
        <v/>
      </c>
      <c r="AO844" s="9" t="str">
        <f t="shared" si="179"/>
        <v/>
      </c>
      <c r="AP844" s="9" t="str">
        <f t="shared" si="180"/>
        <v/>
      </c>
      <c r="AQ844" s="10" t="str">
        <f t="shared" si="181"/>
        <v/>
      </c>
    </row>
    <row r="845" spans="1:43">
      <c r="A845">
        <v>844</v>
      </c>
      <c r="B845" t="s">
        <v>23</v>
      </c>
      <c r="C845" t="s">
        <v>540</v>
      </c>
      <c r="D845" t="s">
        <v>541</v>
      </c>
      <c r="E845" t="s">
        <v>97</v>
      </c>
      <c r="G845" t="s">
        <v>18</v>
      </c>
      <c r="H845" s="4">
        <v>19277730</v>
      </c>
      <c r="I845" s="5">
        <v>128</v>
      </c>
      <c r="J845" s="5">
        <v>0</v>
      </c>
      <c r="K845" s="5">
        <v>8</v>
      </c>
      <c r="L845">
        <v>7</v>
      </c>
      <c r="M845">
        <v>3.5</v>
      </c>
      <c r="N845">
        <v>3.92</v>
      </c>
      <c r="O845" s="6">
        <v>15.6</v>
      </c>
      <c r="P845" s="7">
        <v>2.1800000000000002</v>
      </c>
      <c r="U845" t="s">
        <v>84</v>
      </c>
      <c r="V845" t="s">
        <v>98</v>
      </c>
      <c r="W845">
        <v>2.5</v>
      </c>
      <c r="X845" t="s">
        <v>84</v>
      </c>
      <c r="Y845" t="s">
        <v>99</v>
      </c>
      <c r="Z845" t="s">
        <v>87</v>
      </c>
      <c r="AA845" t="s">
        <v>114</v>
      </c>
      <c r="AB845" t="s">
        <v>115</v>
      </c>
      <c r="AC845">
        <v>713.99</v>
      </c>
      <c r="AD845" s="8" t="b">
        <f>AND(
 H845&gt;=Filters!$B$3,
 H845&lt;=Filters!$B$4,
 I845&gt;=Filters!$B$5,
 OR(Filters!$B$6="All",B845=Filters!$B$6),
 F845&gt;=Filters!$B$7,
 F845&lt;=Filters!$B$8,
 OR(Filters!$B$9="All",G845=Filters!$B$9)
)</f>
        <v>0</v>
      </c>
      <c r="AE845">
        <f t="shared" si="169"/>
        <v>6</v>
      </c>
      <c r="AF845">
        <f t="shared" si="170"/>
        <v>7</v>
      </c>
      <c r="AG845">
        <f t="shared" si="171"/>
        <v>7</v>
      </c>
      <c r="AH845" s="9" t="str">
        <f t="shared" si="172"/>
        <v/>
      </c>
      <c r="AI845" s="9" t="str">
        <f t="shared" si="173"/>
        <v/>
      </c>
      <c r="AJ845" s="9" t="str">
        <f t="shared" si="174"/>
        <v/>
      </c>
      <c r="AK845" s="9" t="str">
        <f t="shared" si="175"/>
        <v/>
      </c>
      <c r="AL845" s="9" t="str">
        <f t="shared" si="176"/>
        <v/>
      </c>
      <c r="AM845" s="9" t="str">
        <f t="shared" si="177"/>
        <v/>
      </c>
      <c r="AN845" s="9" t="str">
        <f t="shared" si="178"/>
        <v/>
      </c>
      <c r="AO845" s="9" t="str">
        <f t="shared" si="179"/>
        <v/>
      </c>
      <c r="AP845" s="9" t="str">
        <f t="shared" si="180"/>
        <v/>
      </c>
      <c r="AQ845" s="10" t="str">
        <f t="shared" si="181"/>
        <v/>
      </c>
    </row>
    <row r="846" spans="1:43">
      <c r="A846">
        <v>845</v>
      </c>
      <c r="B846" t="s">
        <v>26</v>
      </c>
      <c r="C846" t="s">
        <v>398</v>
      </c>
      <c r="D846" t="s">
        <v>399</v>
      </c>
      <c r="E846" t="s">
        <v>83</v>
      </c>
      <c r="G846" t="s">
        <v>18</v>
      </c>
      <c r="H846" s="4">
        <v>50490000</v>
      </c>
      <c r="I846" s="5">
        <v>512</v>
      </c>
      <c r="J846" s="5">
        <v>0</v>
      </c>
      <c r="K846" s="5">
        <v>8</v>
      </c>
      <c r="L846">
        <v>9</v>
      </c>
      <c r="M846">
        <v>3.5</v>
      </c>
      <c r="N846">
        <v>6</v>
      </c>
      <c r="O846" s="6">
        <v>14</v>
      </c>
      <c r="P846" s="7">
        <v>1.54</v>
      </c>
      <c r="U846" t="s">
        <v>84</v>
      </c>
      <c r="V846" t="s">
        <v>485</v>
      </c>
      <c r="W846">
        <v>2.5</v>
      </c>
      <c r="X846" t="s">
        <v>84</v>
      </c>
      <c r="Y846" t="s">
        <v>130</v>
      </c>
      <c r="Z846" t="s">
        <v>106</v>
      </c>
      <c r="AA846" t="s">
        <v>101</v>
      </c>
      <c r="AB846" t="s">
        <v>869</v>
      </c>
      <c r="AC846">
        <v>1870</v>
      </c>
      <c r="AD846" s="8" t="b">
        <f>AND(
 H846&gt;=Filters!$B$3,
 H846&lt;=Filters!$B$4,
 I846&gt;=Filters!$B$5,
 OR(Filters!$B$6="All",B846=Filters!$B$6),
 F846&gt;=Filters!$B$7,
 F846&lt;=Filters!$B$8,
 OR(Filters!$B$9="All",G846=Filters!$B$9)
)</f>
        <v>0</v>
      </c>
      <c r="AE846">
        <f t="shared" si="169"/>
        <v>6</v>
      </c>
      <c r="AF846">
        <f t="shared" si="170"/>
        <v>7</v>
      </c>
      <c r="AG846">
        <f t="shared" si="171"/>
        <v>7</v>
      </c>
      <c r="AH846" s="9" t="str">
        <f t="shared" si="172"/>
        <v/>
      </c>
      <c r="AI846" s="9" t="str">
        <f t="shared" si="173"/>
        <v/>
      </c>
      <c r="AJ846" s="9" t="str">
        <f t="shared" si="174"/>
        <v/>
      </c>
      <c r="AK846" s="9" t="str">
        <f t="shared" si="175"/>
        <v/>
      </c>
      <c r="AL846" s="9" t="str">
        <f t="shared" si="176"/>
        <v/>
      </c>
      <c r="AM846" s="9" t="str">
        <f t="shared" si="177"/>
        <v/>
      </c>
      <c r="AN846" s="9" t="str">
        <f t="shared" si="178"/>
        <v/>
      </c>
      <c r="AO846" s="9" t="str">
        <f t="shared" si="179"/>
        <v/>
      </c>
      <c r="AP846" s="9" t="str">
        <f t="shared" si="180"/>
        <v/>
      </c>
      <c r="AQ846" s="10" t="str">
        <f t="shared" si="181"/>
        <v/>
      </c>
    </row>
    <row r="847" spans="1:43">
      <c r="A847">
        <v>846</v>
      </c>
      <c r="B847" t="s">
        <v>23</v>
      </c>
      <c r="C847" t="s">
        <v>540</v>
      </c>
      <c r="D847" t="s">
        <v>541</v>
      </c>
      <c r="E847" t="s">
        <v>97</v>
      </c>
      <c r="G847" t="s">
        <v>18</v>
      </c>
      <c r="H847" s="4">
        <v>19953000</v>
      </c>
      <c r="I847" s="5">
        <v>256</v>
      </c>
      <c r="J847" s="5">
        <v>0</v>
      </c>
      <c r="K847" s="5">
        <v>4</v>
      </c>
      <c r="L847">
        <v>9.4</v>
      </c>
      <c r="M847">
        <v>6.5</v>
      </c>
      <c r="N847">
        <v>5.92</v>
      </c>
      <c r="O847" s="6">
        <v>15.6</v>
      </c>
      <c r="P847" s="7">
        <v>2.1800000000000002</v>
      </c>
      <c r="U847" t="s">
        <v>84</v>
      </c>
      <c r="V847" t="s">
        <v>140</v>
      </c>
      <c r="W847">
        <v>2.7</v>
      </c>
      <c r="X847" t="s">
        <v>104</v>
      </c>
      <c r="Y847" t="s">
        <v>411</v>
      </c>
      <c r="Z847" t="s">
        <v>100</v>
      </c>
      <c r="AA847" t="s">
        <v>101</v>
      </c>
      <c r="AB847" t="s">
        <v>115</v>
      </c>
      <c r="AC847">
        <v>739</v>
      </c>
      <c r="AD847" s="8" t="b">
        <f>AND(
 H847&gt;=Filters!$B$3,
 H847&lt;=Filters!$B$4,
 I847&gt;=Filters!$B$5,
 OR(Filters!$B$6="All",B847=Filters!$B$6),
 F847&gt;=Filters!$B$7,
 F847&lt;=Filters!$B$8,
 OR(Filters!$B$9="All",G847=Filters!$B$9)
)</f>
        <v>1</v>
      </c>
      <c r="AE847">
        <f t="shared" si="169"/>
        <v>6</v>
      </c>
      <c r="AF847">
        <f t="shared" si="170"/>
        <v>7</v>
      </c>
      <c r="AG847">
        <f t="shared" si="171"/>
        <v>7</v>
      </c>
      <c r="AH847" s="9">
        <f t="shared" si="172"/>
        <v>0.97619047619047628</v>
      </c>
      <c r="AI847" s="9">
        <f t="shared" si="173"/>
        <v>0.33333333333333331</v>
      </c>
      <c r="AJ847" s="9">
        <f t="shared" si="174"/>
        <v>0.63095238095238093</v>
      </c>
      <c r="AK847" s="9">
        <f t="shared" si="175"/>
        <v>0.56190476190476191</v>
      </c>
      <c r="AL847" s="9">
        <f t="shared" si="176"/>
        <v>0.8833333333333333</v>
      </c>
      <c r="AM847" s="9">
        <f t="shared" si="177"/>
        <v>0.5714285714285714</v>
      </c>
      <c r="AN847" s="9">
        <f t="shared" si="178"/>
        <v>0.69047619047619047</v>
      </c>
      <c r="AO847" s="9">
        <f t="shared" si="179"/>
        <v>0.69047619047619047</v>
      </c>
      <c r="AP847" s="9">
        <f t="shared" si="180"/>
        <v>0.66370109023795154</v>
      </c>
      <c r="AQ847" s="10">
        <f t="shared" si="181"/>
        <v>0.66370193723795157</v>
      </c>
    </row>
    <row r="848" spans="1:43">
      <c r="A848">
        <v>847</v>
      </c>
      <c r="B848" t="s">
        <v>26</v>
      </c>
      <c r="C848" t="s">
        <v>1047</v>
      </c>
      <c r="D848" t="s">
        <v>1048</v>
      </c>
      <c r="E848" t="s">
        <v>168</v>
      </c>
      <c r="G848" t="s">
        <v>18</v>
      </c>
      <c r="H848" s="4">
        <v>16605000</v>
      </c>
      <c r="I848" s="5">
        <v>32</v>
      </c>
      <c r="J848" s="5">
        <v>0</v>
      </c>
      <c r="K848" s="5">
        <v>4</v>
      </c>
      <c r="L848">
        <v>1</v>
      </c>
      <c r="M848">
        <v>3.5</v>
      </c>
      <c r="N848">
        <v>4.18</v>
      </c>
      <c r="O848" s="6">
        <v>11.6</v>
      </c>
      <c r="P848" s="7">
        <v>1.4</v>
      </c>
      <c r="U848" t="s">
        <v>84</v>
      </c>
      <c r="V848" t="s">
        <v>198</v>
      </c>
      <c r="W848">
        <v>1.1000000000000001</v>
      </c>
      <c r="X848" t="s">
        <v>84</v>
      </c>
      <c r="Y848" t="s">
        <v>199</v>
      </c>
      <c r="Z848" t="s">
        <v>155</v>
      </c>
      <c r="AA848" t="s">
        <v>472</v>
      </c>
      <c r="AB848" t="s">
        <v>563</v>
      </c>
      <c r="AC848">
        <v>615</v>
      </c>
      <c r="AD848" s="8" t="b">
        <f>AND(
 H848&gt;=Filters!$B$3,
 H848&lt;=Filters!$B$4,
 I848&gt;=Filters!$B$5,
 OR(Filters!$B$6="All",B848=Filters!$B$6),
 F848&gt;=Filters!$B$7,
 F848&lt;=Filters!$B$8,
 OR(Filters!$B$9="All",G848=Filters!$B$9)
)</f>
        <v>0</v>
      </c>
      <c r="AE848">
        <f t="shared" si="169"/>
        <v>6</v>
      </c>
      <c r="AF848">
        <f t="shared" si="170"/>
        <v>7</v>
      </c>
      <c r="AG848">
        <f t="shared" si="171"/>
        <v>7</v>
      </c>
      <c r="AH848" s="9" t="str">
        <f t="shared" si="172"/>
        <v/>
      </c>
      <c r="AI848" s="9" t="str">
        <f t="shared" si="173"/>
        <v/>
      </c>
      <c r="AJ848" s="9" t="str">
        <f t="shared" si="174"/>
        <v/>
      </c>
      <c r="AK848" s="9" t="str">
        <f t="shared" si="175"/>
        <v/>
      </c>
      <c r="AL848" s="9" t="str">
        <f t="shared" si="176"/>
        <v/>
      </c>
      <c r="AM848" s="9" t="str">
        <f t="shared" si="177"/>
        <v/>
      </c>
      <c r="AN848" s="9" t="str">
        <f t="shared" si="178"/>
        <v/>
      </c>
      <c r="AO848" s="9" t="str">
        <f t="shared" si="179"/>
        <v/>
      </c>
      <c r="AP848" s="9" t="str">
        <f t="shared" si="180"/>
        <v/>
      </c>
      <c r="AQ848" s="10" t="str">
        <f t="shared" si="181"/>
        <v/>
      </c>
    </row>
    <row r="849" spans="1:43">
      <c r="A849">
        <v>848</v>
      </c>
      <c r="B849" t="s">
        <v>21</v>
      </c>
      <c r="C849" t="s">
        <v>1242</v>
      </c>
      <c r="D849" t="s">
        <v>1243</v>
      </c>
      <c r="E849" t="s">
        <v>83</v>
      </c>
      <c r="G849" t="s">
        <v>18</v>
      </c>
      <c r="H849" s="4">
        <v>27702000</v>
      </c>
      <c r="I849" s="5">
        <v>512</v>
      </c>
      <c r="J849" s="5">
        <v>0</v>
      </c>
      <c r="K849" s="5">
        <v>8</v>
      </c>
      <c r="L849">
        <v>6.6</v>
      </c>
      <c r="M849">
        <v>8.5</v>
      </c>
      <c r="N849">
        <v>6.37</v>
      </c>
      <c r="O849" s="6">
        <v>13.3</v>
      </c>
      <c r="P849" s="7">
        <v>1.45</v>
      </c>
      <c r="U849" t="s">
        <v>84</v>
      </c>
      <c r="V849" t="s">
        <v>375</v>
      </c>
      <c r="W849">
        <v>2.2999999999999998</v>
      </c>
      <c r="X849" t="s">
        <v>122</v>
      </c>
      <c r="Y849" t="s">
        <v>1244</v>
      </c>
      <c r="Z849" t="s">
        <v>106</v>
      </c>
      <c r="AA849" t="s">
        <v>128</v>
      </c>
      <c r="AB849" t="s">
        <v>115</v>
      </c>
      <c r="AC849">
        <v>1026</v>
      </c>
      <c r="AD849" s="8" t="b">
        <f>AND(
 H849&gt;=Filters!$B$3,
 H849&lt;=Filters!$B$4,
 I849&gt;=Filters!$B$5,
 OR(Filters!$B$6="All",B849=Filters!$B$6),
 F849&gt;=Filters!$B$7,
 F849&lt;=Filters!$B$8,
 OR(Filters!$B$9="All",G849=Filters!$B$9)
)</f>
        <v>0</v>
      </c>
      <c r="AE849">
        <f t="shared" si="169"/>
        <v>6</v>
      </c>
      <c r="AF849">
        <f t="shared" si="170"/>
        <v>7</v>
      </c>
      <c r="AG849">
        <f t="shared" si="171"/>
        <v>7</v>
      </c>
      <c r="AH849" s="9" t="str">
        <f t="shared" si="172"/>
        <v/>
      </c>
      <c r="AI849" s="9" t="str">
        <f t="shared" si="173"/>
        <v/>
      </c>
      <c r="AJ849" s="9" t="str">
        <f t="shared" si="174"/>
        <v/>
      </c>
      <c r="AK849" s="9" t="str">
        <f t="shared" si="175"/>
        <v/>
      </c>
      <c r="AL849" s="9" t="str">
        <f t="shared" si="176"/>
        <v/>
      </c>
      <c r="AM849" s="9" t="str">
        <f t="shared" si="177"/>
        <v/>
      </c>
      <c r="AN849" s="9" t="str">
        <f t="shared" si="178"/>
        <v/>
      </c>
      <c r="AO849" s="9" t="str">
        <f t="shared" si="179"/>
        <v/>
      </c>
      <c r="AP849" s="9" t="str">
        <f t="shared" si="180"/>
        <v/>
      </c>
      <c r="AQ849" s="10" t="str">
        <f t="shared" si="181"/>
        <v/>
      </c>
    </row>
    <row r="850" spans="1:43">
      <c r="A850">
        <v>849</v>
      </c>
      <c r="B850" t="s">
        <v>26</v>
      </c>
      <c r="C850" t="s">
        <v>590</v>
      </c>
      <c r="D850" t="s">
        <v>591</v>
      </c>
      <c r="E850" t="s">
        <v>168</v>
      </c>
      <c r="G850" t="s">
        <v>18</v>
      </c>
      <c r="H850" s="4">
        <v>61479000</v>
      </c>
      <c r="I850" s="5">
        <v>256</v>
      </c>
      <c r="J850" s="5">
        <v>0</v>
      </c>
      <c r="K850" s="5">
        <v>8</v>
      </c>
      <c r="L850">
        <v>7</v>
      </c>
      <c r="M850">
        <v>3.5</v>
      </c>
      <c r="N850">
        <v>6.26</v>
      </c>
      <c r="O850" s="6">
        <v>13.3</v>
      </c>
      <c r="P850" s="7">
        <v>1.28</v>
      </c>
      <c r="U850" t="s">
        <v>84</v>
      </c>
      <c r="V850" t="s">
        <v>98</v>
      </c>
      <c r="W850">
        <v>2.5</v>
      </c>
      <c r="X850" t="s">
        <v>84</v>
      </c>
      <c r="Y850" t="s">
        <v>99</v>
      </c>
      <c r="Z850" t="s">
        <v>100</v>
      </c>
      <c r="AA850" t="s">
        <v>169</v>
      </c>
      <c r="AB850" t="s">
        <v>115</v>
      </c>
      <c r="AC850">
        <v>2277</v>
      </c>
      <c r="AD850" s="8" t="b">
        <f>AND(
 H850&gt;=Filters!$B$3,
 H850&lt;=Filters!$B$4,
 I850&gt;=Filters!$B$5,
 OR(Filters!$B$6="All",B850=Filters!$B$6),
 F850&gt;=Filters!$B$7,
 F850&lt;=Filters!$B$8,
 OR(Filters!$B$9="All",G850=Filters!$B$9)
)</f>
        <v>0</v>
      </c>
      <c r="AE850">
        <f t="shared" si="169"/>
        <v>6</v>
      </c>
      <c r="AF850">
        <f t="shared" si="170"/>
        <v>7</v>
      </c>
      <c r="AG850">
        <f t="shared" si="171"/>
        <v>7</v>
      </c>
      <c r="AH850" s="9" t="str">
        <f t="shared" si="172"/>
        <v/>
      </c>
      <c r="AI850" s="9" t="str">
        <f t="shared" si="173"/>
        <v/>
      </c>
      <c r="AJ850" s="9" t="str">
        <f t="shared" si="174"/>
        <v/>
      </c>
      <c r="AK850" s="9" t="str">
        <f t="shared" si="175"/>
        <v/>
      </c>
      <c r="AL850" s="9" t="str">
        <f t="shared" si="176"/>
        <v/>
      </c>
      <c r="AM850" s="9" t="str">
        <f t="shared" si="177"/>
        <v/>
      </c>
      <c r="AN850" s="9" t="str">
        <f t="shared" si="178"/>
        <v/>
      </c>
      <c r="AO850" s="9" t="str">
        <f t="shared" si="179"/>
        <v/>
      </c>
      <c r="AP850" s="9" t="str">
        <f t="shared" si="180"/>
        <v/>
      </c>
      <c r="AQ850" s="10" t="str">
        <f t="shared" si="181"/>
        <v/>
      </c>
    </row>
    <row r="851" spans="1:43">
      <c r="A851">
        <v>850</v>
      </c>
      <c r="B851" t="s">
        <v>26</v>
      </c>
      <c r="C851" t="s">
        <v>398</v>
      </c>
      <c r="D851" t="s">
        <v>399</v>
      </c>
      <c r="E851" t="s">
        <v>83</v>
      </c>
      <c r="G851" t="s">
        <v>18</v>
      </c>
      <c r="H851" s="4">
        <v>39636000</v>
      </c>
      <c r="I851" s="5">
        <v>512</v>
      </c>
      <c r="J851" s="5">
        <v>0</v>
      </c>
      <c r="K851" s="5">
        <v>8</v>
      </c>
      <c r="L851">
        <v>9</v>
      </c>
      <c r="M851">
        <v>3.5</v>
      </c>
      <c r="N851">
        <v>6</v>
      </c>
      <c r="O851" s="6">
        <v>14</v>
      </c>
      <c r="P851" s="7">
        <v>1.54</v>
      </c>
      <c r="U851" t="s">
        <v>84</v>
      </c>
      <c r="V851" t="s">
        <v>485</v>
      </c>
      <c r="W851">
        <v>2.5</v>
      </c>
      <c r="X851" t="s">
        <v>84</v>
      </c>
      <c r="Y851" t="s">
        <v>130</v>
      </c>
      <c r="Z851" t="s">
        <v>106</v>
      </c>
      <c r="AA851" t="s">
        <v>101</v>
      </c>
      <c r="AB851" t="s">
        <v>115</v>
      </c>
      <c r="AC851">
        <v>1468</v>
      </c>
      <c r="AD851" s="8" t="b">
        <f>AND(
 H851&gt;=Filters!$B$3,
 H851&lt;=Filters!$B$4,
 I851&gt;=Filters!$B$5,
 OR(Filters!$B$6="All",B851=Filters!$B$6),
 F851&gt;=Filters!$B$7,
 F851&lt;=Filters!$B$8,
 OR(Filters!$B$9="All",G851=Filters!$B$9)
)</f>
        <v>0</v>
      </c>
      <c r="AE851">
        <f t="shared" si="169"/>
        <v>6</v>
      </c>
      <c r="AF851">
        <f t="shared" si="170"/>
        <v>7</v>
      </c>
      <c r="AG851">
        <f t="shared" si="171"/>
        <v>7</v>
      </c>
      <c r="AH851" s="9" t="str">
        <f t="shared" si="172"/>
        <v/>
      </c>
      <c r="AI851" s="9" t="str">
        <f t="shared" si="173"/>
        <v/>
      </c>
      <c r="AJ851" s="9" t="str">
        <f t="shared" si="174"/>
        <v/>
      </c>
      <c r="AK851" s="9" t="str">
        <f t="shared" si="175"/>
        <v/>
      </c>
      <c r="AL851" s="9" t="str">
        <f t="shared" si="176"/>
        <v/>
      </c>
      <c r="AM851" s="9" t="str">
        <f t="shared" si="177"/>
        <v/>
      </c>
      <c r="AN851" s="9" t="str">
        <f t="shared" si="178"/>
        <v/>
      </c>
      <c r="AO851" s="9" t="str">
        <f t="shared" si="179"/>
        <v/>
      </c>
      <c r="AP851" s="9" t="str">
        <f t="shared" si="180"/>
        <v/>
      </c>
      <c r="AQ851" s="10" t="str">
        <f t="shared" si="181"/>
        <v/>
      </c>
    </row>
    <row r="852" spans="1:43">
      <c r="A852">
        <v>851</v>
      </c>
      <c r="B852" t="s">
        <v>26</v>
      </c>
      <c r="C852" t="s">
        <v>95</v>
      </c>
      <c r="D852" t="s">
        <v>96</v>
      </c>
      <c r="E852" t="s">
        <v>97</v>
      </c>
      <c r="G852" t="s">
        <v>18</v>
      </c>
      <c r="H852" s="4">
        <v>8073000</v>
      </c>
      <c r="I852" s="5">
        <v>128</v>
      </c>
      <c r="J852" s="5">
        <v>0</v>
      </c>
      <c r="K852" s="5">
        <v>4</v>
      </c>
      <c r="L852">
        <v>1.2</v>
      </c>
      <c r="M852">
        <v>3.5</v>
      </c>
      <c r="N852">
        <v>3.92</v>
      </c>
      <c r="O852" s="6">
        <v>15.6</v>
      </c>
      <c r="P852" s="7">
        <v>1.86</v>
      </c>
      <c r="U852" t="s">
        <v>84</v>
      </c>
      <c r="V852" t="s">
        <v>263</v>
      </c>
      <c r="W852">
        <v>1.6</v>
      </c>
      <c r="X852" t="s">
        <v>84</v>
      </c>
      <c r="Y852" t="s">
        <v>154</v>
      </c>
      <c r="Z852" t="s">
        <v>87</v>
      </c>
      <c r="AA852" t="s">
        <v>114</v>
      </c>
      <c r="AB852" t="s">
        <v>102</v>
      </c>
      <c r="AC852">
        <v>299</v>
      </c>
      <c r="AD852" s="8" t="b">
        <f>AND(
 H852&gt;=Filters!$B$3,
 H852&lt;=Filters!$B$4,
 I852&gt;=Filters!$B$5,
 OR(Filters!$B$6="All",B852=Filters!$B$6),
 F852&gt;=Filters!$B$7,
 F852&lt;=Filters!$B$8,
 OR(Filters!$B$9="All",G852=Filters!$B$9)
)</f>
        <v>0</v>
      </c>
      <c r="AE852">
        <f t="shared" si="169"/>
        <v>6</v>
      </c>
      <c r="AF852">
        <f t="shared" si="170"/>
        <v>7</v>
      </c>
      <c r="AG852">
        <f t="shared" si="171"/>
        <v>7</v>
      </c>
      <c r="AH852" s="9" t="str">
        <f t="shared" si="172"/>
        <v/>
      </c>
      <c r="AI852" s="9" t="str">
        <f t="shared" si="173"/>
        <v/>
      </c>
      <c r="AJ852" s="9" t="str">
        <f t="shared" si="174"/>
        <v/>
      </c>
      <c r="AK852" s="9" t="str">
        <f t="shared" si="175"/>
        <v/>
      </c>
      <c r="AL852" s="9" t="str">
        <f t="shared" si="176"/>
        <v/>
      </c>
      <c r="AM852" s="9" t="str">
        <f t="shared" si="177"/>
        <v/>
      </c>
      <c r="AN852" s="9" t="str">
        <f t="shared" si="178"/>
        <v/>
      </c>
      <c r="AO852" s="9" t="str">
        <f t="shared" si="179"/>
        <v/>
      </c>
      <c r="AP852" s="9" t="str">
        <f t="shared" si="180"/>
        <v/>
      </c>
      <c r="AQ852" s="10" t="str">
        <f t="shared" si="181"/>
        <v/>
      </c>
    </row>
    <row r="853" spans="1:43">
      <c r="A853">
        <v>852</v>
      </c>
      <c r="B853" t="s">
        <v>21</v>
      </c>
      <c r="C853" t="s">
        <v>1245</v>
      </c>
      <c r="D853" t="s">
        <v>1246</v>
      </c>
      <c r="E853" t="s">
        <v>158</v>
      </c>
      <c r="G853" t="s">
        <v>18</v>
      </c>
      <c r="H853" s="4">
        <v>51273000</v>
      </c>
      <c r="I853" s="5">
        <v>128</v>
      </c>
      <c r="J853" s="5">
        <v>1024</v>
      </c>
      <c r="K853" s="5">
        <v>16</v>
      </c>
      <c r="L853">
        <v>9.6</v>
      </c>
      <c r="M853">
        <v>9.1999999999999993</v>
      </c>
      <c r="N853">
        <v>5.92</v>
      </c>
      <c r="O853" s="6">
        <v>15.6</v>
      </c>
      <c r="P853" s="7">
        <v>2.1</v>
      </c>
      <c r="U853" t="s">
        <v>84</v>
      </c>
      <c r="V853" t="s">
        <v>210</v>
      </c>
      <c r="W853">
        <v>2.8</v>
      </c>
      <c r="X853" t="s">
        <v>122</v>
      </c>
      <c r="Y853" t="s">
        <v>211</v>
      </c>
      <c r="Z853" t="s">
        <v>161</v>
      </c>
      <c r="AA853" t="s">
        <v>101</v>
      </c>
      <c r="AB853" t="s">
        <v>115</v>
      </c>
      <c r="AC853">
        <v>1899</v>
      </c>
      <c r="AD853" s="8" t="b">
        <f>AND(
 H853&gt;=Filters!$B$3,
 H853&lt;=Filters!$B$4,
 I853&gt;=Filters!$B$5,
 OR(Filters!$B$6="All",B853=Filters!$B$6),
 F853&gt;=Filters!$B$7,
 F853&lt;=Filters!$B$8,
 OR(Filters!$B$9="All",G853=Filters!$B$9)
)</f>
        <v>0</v>
      </c>
      <c r="AE853">
        <f t="shared" si="169"/>
        <v>6</v>
      </c>
      <c r="AF853">
        <f t="shared" si="170"/>
        <v>7</v>
      </c>
      <c r="AG853">
        <f t="shared" si="171"/>
        <v>7</v>
      </c>
      <c r="AH853" s="9" t="str">
        <f t="shared" si="172"/>
        <v/>
      </c>
      <c r="AI853" s="9" t="str">
        <f t="shared" si="173"/>
        <v/>
      </c>
      <c r="AJ853" s="9" t="str">
        <f t="shared" si="174"/>
        <v/>
      </c>
      <c r="AK853" s="9" t="str">
        <f t="shared" si="175"/>
        <v/>
      </c>
      <c r="AL853" s="9" t="str">
        <f t="shared" si="176"/>
        <v/>
      </c>
      <c r="AM853" s="9" t="str">
        <f t="shared" si="177"/>
        <v/>
      </c>
      <c r="AN853" s="9" t="str">
        <f t="shared" si="178"/>
        <v/>
      </c>
      <c r="AO853" s="9" t="str">
        <f t="shared" si="179"/>
        <v/>
      </c>
      <c r="AP853" s="9" t="str">
        <f t="shared" si="180"/>
        <v/>
      </c>
      <c r="AQ853" s="10" t="str">
        <f t="shared" si="181"/>
        <v/>
      </c>
    </row>
    <row r="854" spans="1:43">
      <c r="A854">
        <v>853</v>
      </c>
      <c r="B854" t="s">
        <v>23</v>
      </c>
      <c r="C854" t="s">
        <v>1247</v>
      </c>
      <c r="D854" t="s">
        <v>1248</v>
      </c>
      <c r="E854" t="s">
        <v>97</v>
      </c>
      <c r="G854" t="s">
        <v>18</v>
      </c>
      <c r="H854" s="4">
        <v>23355000</v>
      </c>
      <c r="I854" s="5">
        <v>0</v>
      </c>
      <c r="J854" s="5">
        <v>1024</v>
      </c>
      <c r="K854" s="5">
        <v>8</v>
      </c>
      <c r="L854">
        <v>9.4</v>
      </c>
      <c r="M854">
        <v>6.5</v>
      </c>
      <c r="N854">
        <v>5.83</v>
      </c>
      <c r="O854" s="6">
        <v>17.3</v>
      </c>
      <c r="P854" s="7">
        <v>2.83</v>
      </c>
      <c r="U854" t="s">
        <v>84</v>
      </c>
      <c r="V854" t="s">
        <v>140</v>
      </c>
      <c r="W854">
        <v>2.7</v>
      </c>
      <c r="X854" t="s">
        <v>104</v>
      </c>
      <c r="Y854" t="s">
        <v>358</v>
      </c>
      <c r="Z854" t="s">
        <v>146</v>
      </c>
      <c r="AA854" t="s">
        <v>101</v>
      </c>
      <c r="AB854" t="s">
        <v>201</v>
      </c>
      <c r="AC854">
        <v>865</v>
      </c>
      <c r="AD854" s="8" t="b">
        <f>AND(
 H854&gt;=Filters!$B$3,
 H854&lt;=Filters!$B$4,
 I854&gt;=Filters!$B$5,
 OR(Filters!$B$6="All",B854=Filters!$B$6),
 F854&gt;=Filters!$B$7,
 F854&lt;=Filters!$B$8,
 OR(Filters!$B$9="All",G854=Filters!$B$9)
)</f>
        <v>0</v>
      </c>
      <c r="AE854">
        <f t="shared" si="169"/>
        <v>6</v>
      </c>
      <c r="AF854">
        <f t="shared" si="170"/>
        <v>7</v>
      </c>
      <c r="AG854">
        <f t="shared" si="171"/>
        <v>7</v>
      </c>
      <c r="AH854" s="9" t="str">
        <f t="shared" si="172"/>
        <v/>
      </c>
      <c r="AI854" s="9" t="str">
        <f t="shared" si="173"/>
        <v/>
      </c>
      <c r="AJ854" s="9" t="str">
        <f t="shared" si="174"/>
        <v/>
      </c>
      <c r="AK854" s="9" t="str">
        <f t="shared" si="175"/>
        <v/>
      </c>
      <c r="AL854" s="9" t="str">
        <f t="shared" si="176"/>
        <v/>
      </c>
      <c r="AM854" s="9" t="str">
        <f t="shared" si="177"/>
        <v/>
      </c>
      <c r="AN854" s="9" t="str">
        <f t="shared" si="178"/>
        <v/>
      </c>
      <c r="AO854" s="9" t="str">
        <f t="shared" si="179"/>
        <v/>
      </c>
      <c r="AP854" s="9" t="str">
        <f t="shared" si="180"/>
        <v/>
      </c>
      <c r="AQ854" s="10" t="str">
        <f t="shared" si="181"/>
        <v/>
      </c>
    </row>
    <row r="855" spans="1:43">
      <c r="A855">
        <v>854</v>
      </c>
      <c r="B855" t="s">
        <v>29</v>
      </c>
      <c r="C855" t="s">
        <v>1249</v>
      </c>
      <c r="D855" t="s">
        <v>1250</v>
      </c>
      <c r="E855" t="s">
        <v>83</v>
      </c>
      <c r="G855" t="s">
        <v>18</v>
      </c>
      <c r="H855" s="4">
        <v>51381000</v>
      </c>
      <c r="I855" s="5">
        <v>256</v>
      </c>
      <c r="J855" s="5">
        <v>0</v>
      </c>
      <c r="K855" s="5">
        <v>8</v>
      </c>
      <c r="L855">
        <v>9.6</v>
      </c>
      <c r="M855">
        <v>6.5</v>
      </c>
      <c r="N855">
        <v>6.4</v>
      </c>
      <c r="O855" s="6">
        <v>14</v>
      </c>
      <c r="P855" s="7">
        <v>1.96</v>
      </c>
      <c r="U855" t="s">
        <v>84</v>
      </c>
      <c r="V855" t="s">
        <v>210</v>
      </c>
      <c r="W855">
        <v>2.8</v>
      </c>
      <c r="X855" t="s">
        <v>122</v>
      </c>
      <c r="Y855" t="s">
        <v>661</v>
      </c>
      <c r="Z855" t="s">
        <v>100</v>
      </c>
      <c r="AA855" t="s">
        <v>128</v>
      </c>
      <c r="AB855" t="s">
        <v>115</v>
      </c>
      <c r="AC855">
        <v>1903</v>
      </c>
      <c r="AD855" s="8" t="b">
        <f>AND(
 H855&gt;=Filters!$B$3,
 H855&lt;=Filters!$B$4,
 I855&gt;=Filters!$B$5,
 OR(Filters!$B$6="All",B855=Filters!$B$6),
 F855&gt;=Filters!$B$7,
 F855&lt;=Filters!$B$8,
 OR(Filters!$B$9="All",G855=Filters!$B$9)
)</f>
        <v>0</v>
      </c>
      <c r="AE855">
        <f t="shared" si="169"/>
        <v>6</v>
      </c>
      <c r="AF855">
        <f t="shared" si="170"/>
        <v>7</v>
      </c>
      <c r="AG855">
        <f t="shared" si="171"/>
        <v>7</v>
      </c>
      <c r="AH855" s="9" t="str">
        <f t="shared" si="172"/>
        <v/>
      </c>
      <c r="AI855" s="9" t="str">
        <f t="shared" si="173"/>
        <v/>
      </c>
      <c r="AJ855" s="9" t="str">
        <f t="shared" si="174"/>
        <v/>
      </c>
      <c r="AK855" s="9" t="str">
        <f t="shared" si="175"/>
        <v/>
      </c>
      <c r="AL855" s="9" t="str">
        <f t="shared" si="176"/>
        <v/>
      </c>
      <c r="AM855" s="9" t="str">
        <f t="shared" si="177"/>
        <v/>
      </c>
      <c r="AN855" s="9" t="str">
        <f t="shared" si="178"/>
        <v/>
      </c>
      <c r="AO855" s="9" t="str">
        <f t="shared" si="179"/>
        <v/>
      </c>
      <c r="AP855" s="9" t="str">
        <f t="shared" si="180"/>
        <v/>
      </c>
      <c r="AQ855" s="10" t="str">
        <f t="shared" si="181"/>
        <v/>
      </c>
    </row>
    <row r="856" spans="1:43">
      <c r="A856">
        <v>855</v>
      </c>
      <c r="B856" t="s">
        <v>21</v>
      </c>
      <c r="C856" t="s">
        <v>1251</v>
      </c>
      <c r="D856" t="s">
        <v>1252</v>
      </c>
      <c r="E856" t="s">
        <v>97</v>
      </c>
      <c r="G856" t="s">
        <v>18</v>
      </c>
      <c r="H856" s="4">
        <v>21249000</v>
      </c>
      <c r="I856" s="5">
        <v>256</v>
      </c>
      <c r="J856" s="5">
        <v>0</v>
      </c>
      <c r="K856" s="5">
        <v>8</v>
      </c>
      <c r="L856">
        <v>9.4</v>
      </c>
      <c r="M856">
        <v>9.1999999999999993</v>
      </c>
      <c r="N856">
        <v>6.32</v>
      </c>
      <c r="O856" s="6">
        <v>15.6</v>
      </c>
      <c r="P856" s="7">
        <v>2.2999999999999998</v>
      </c>
      <c r="U856" t="s">
        <v>84</v>
      </c>
      <c r="V856" t="s">
        <v>140</v>
      </c>
      <c r="W856">
        <v>2.7</v>
      </c>
      <c r="X856" t="s">
        <v>122</v>
      </c>
      <c r="Y856" t="s">
        <v>1253</v>
      </c>
      <c r="Z856" t="s">
        <v>100</v>
      </c>
      <c r="AA856" t="s">
        <v>128</v>
      </c>
      <c r="AB856" t="s">
        <v>115</v>
      </c>
      <c r="AC856">
        <v>787</v>
      </c>
      <c r="AD856" s="8" t="b">
        <f>AND(
 H856&gt;=Filters!$B$3,
 H856&lt;=Filters!$B$4,
 I856&gt;=Filters!$B$5,
 OR(Filters!$B$6="All",B856=Filters!$B$6),
 F856&gt;=Filters!$B$7,
 F856&lt;=Filters!$B$8,
 OR(Filters!$B$9="All",G856=Filters!$B$9)
)</f>
        <v>1</v>
      </c>
      <c r="AE856">
        <f t="shared" si="169"/>
        <v>6</v>
      </c>
      <c r="AF856">
        <f t="shared" si="170"/>
        <v>7</v>
      </c>
      <c r="AG856">
        <f t="shared" si="171"/>
        <v>7</v>
      </c>
      <c r="AH856" s="9">
        <f t="shared" si="172"/>
        <v>0.97619047619047628</v>
      </c>
      <c r="AI856" s="9">
        <f t="shared" si="173"/>
        <v>0.80952380952380942</v>
      </c>
      <c r="AJ856" s="9">
        <f t="shared" si="174"/>
        <v>0.95238095238095222</v>
      </c>
      <c r="AK856" s="9">
        <f t="shared" si="175"/>
        <v>0.60952380952380947</v>
      </c>
      <c r="AL856" s="9">
        <f t="shared" si="176"/>
        <v>0.86904761904761896</v>
      </c>
      <c r="AM856" s="9">
        <f t="shared" si="177"/>
        <v>0.5714285714285714</v>
      </c>
      <c r="AN856" s="9">
        <f t="shared" si="178"/>
        <v>0.69047619047619047</v>
      </c>
      <c r="AO856" s="9">
        <f t="shared" si="179"/>
        <v>0.69047619047619047</v>
      </c>
      <c r="AP856" s="9">
        <f t="shared" si="180"/>
        <v>0.77473773911759458</v>
      </c>
      <c r="AQ856" s="10">
        <f t="shared" si="181"/>
        <v>0.77473859511759458</v>
      </c>
    </row>
    <row r="857" spans="1:43">
      <c r="A857">
        <v>856</v>
      </c>
      <c r="B857" t="s">
        <v>23</v>
      </c>
      <c r="C857" t="s">
        <v>870</v>
      </c>
      <c r="D857" t="s">
        <v>871</v>
      </c>
      <c r="E857" t="s">
        <v>97</v>
      </c>
      <c r="G857" t="s">
        <v>18</v>
      </c>
      <c r="H857" s="4">
        <v>25515000</v>
      </c>
      <c r="I857" s="5">
        <v>128</v>
      </c>
      <c r="J857" s="5">
        <v>0</v>
      </c>
      <c r="K857" s="5">
        <v>8</v>
      </c>
      <c r="L857">
        <v>7</v>
      </c>
      <c r="M857">
        <v>3.5</v>
      </c>
      <c r="N857">
        <v>5.92</v>
      </c>
      <c r="O857" s="6">
        <v>15.6</v>
      </c>
      <c r="P857" s="7">
        <v>1.9</v>
      </c>
      <c r="U857" t="s">
        <v>84</v>
      </c>
      <c r="V857" t="s">
        <v>98</v>
      </c>
      <c r="W857">
        <v>2.5</v>
      </c>
      <c r="X857" t="s">
        <v>84</v>
      </c>
      <c r="Y857" t="s">
        <v>99</v>
      </c>
      <c r="Z857" t="s">
        <v>87</v>
      </c>
      <c r="AA857" t="s">
        <v>101</v>
      </c>
      <c r="AB857" t="s">
        <v>115</v>
      </c>
      <c r="AC857">
        <v>945</v>
      </c>
      <c r="AD857" s="8" t="b">
        <f>AND(
 H857&gt;=Filters!$B$3,
 H857&lt;=Filters!$B$4,
 I857&gt;=Filters!$B$5,
 OR(Filters!$B$6="All",B857=Filters!$B$6),
 F857&gt;=Filters!$B$7,
 F857&lt;=Filters!$B$8,
 OR(Filters!$B$9="All",G857=Filters!$B$9)
)</f>
        <v>0</v>
      </c>
      <c r="AE857">
        <f t="shared" si="169"/>
        <v>6</v>
      </c>
      <c r="AF857">
        <f t="shared" si="170"/>
        <v>7</v>
      </c>
      <c r="AG857">
        <f t="shared" si="171"/>
        <v>7</v>
      </c>
      <c r="AH857" s="9" t="str">
        <f t="shared" si="172"/>
        <v/>
      </c>
      <c r="AI857" s="9" t="str">
        <f t="shared" si="173"/>
        <v/>
      </c>
      <c r="AJ857" s="9" t="str">
        <f t="shared" si="174"/>
        <v/>
      </c>
      <c r="AK857" s="9" t="str">
        <f t="shared" si="175"/>
        <v/>
      </c>
      <c r="AL857" s="9" t="str">
        <f t="shared" si="176"/>
        <v/>
      </c>
      <c r="AM857" s="9" t="str">
        <f t="shared" si="177"/>
        <v/>
      </c>
      <c r="AN857" s="9" t="str">
        <f t="shared" si="178"/>
        <v/>
      </c>
      <c r="AO857" s="9" t="str">
        <f t="shared" si="179"/>
        <v/>
      </c>
      <c r="AP857" s="9" t="str">
        <f t="shared" si="180"/>
        <v/>
      </c>
      <c r="AQ857" s="10" t="str">
        <f t="shared" si="181"/>
        <v/>
      </c>
    </row>
    <row r="858" spans="1:43">
      <c r="A858">
        <v>857</v>
      </c>
      <c r="B858" t="s">
        <v>21</v>
      </c>
      <c r="C858" t="s">
        <v>1254</v>
      </c>
      <c r="D858" t="s">
        <v>1255</v>
      </c>
      <c r="E858" t="s">
        <v>97</v>
      </c>
      <c r="G858" t="s">
        <v>18</v>
      </c>
      <c r="H858" s="4">
        <v>12123000</v>
      </c>
      <c r="I858" s="5">
        <v>0</v>
      </c>
      <c r="J858" s="5">
        <v>1024</v>
      </c>
      <c r="K858" s="5">
        <v>4</v>
      </c>
      <c r="L858">
        <v>1.2</v>
      </c>
      <c r="M858">
        <v>3.5</v>
      </c>
      <c r="N858">
        <v>3.92</v>
      </c>
      <c r="O858" s="6">
        <v>15.6</v>
      </c>
      <c r="P858" s="7">
        <v>2</v>
      </c>
      <c r="U858" t="s">
        <v>84</v>
      </c>
      <c r="V858" t="s">
        <v>229</v>
      </c>
      <c r="W858">
        <v>1.1000000000000001</v>
      </c>
      <c r="X858" t="s">
        <v>84</v>
      </c>
      <c r="Y858" t="s">
        <v>418</v>
      </c>
      <c r="Z858" t="s">
        <v>146</v>
      </c>
      <c r="AA858" t="s">
        <v>114</v>
      </c>
      <c r="AB858" t="s">
        <v>115</v>
      </c>
      <c r="AC858">
        <v>449</v>
      </c>
      <c r="AD858" s="8" t="b">
        <f>AND(
 H858&gt;=Filters!$B$3,
 H858&lt;=Filters!$B$4,
 I858&gt;=Filters!$B$5,
 OR(Filters!$B$6="All",B858=Filters!$B$6),
 F858&gt;=Filters!$B$7,
 F858&lt;=Filters!$B$8,
 OR(Filters!$B$9="All",G858=Filters!$B$9)
)</f>
        <v>0</v>
      </c>
      <c r="AE858">
        <f t="shared" si="169"/>
        <v>6</v>
      </c>
      <c r="AF858">
        <f t="shared" si="170"/>
        <v>7</v>
      </c>
      <c r="AG858">
        <f t="shared" si="171"/>
        <v>7</v>
      </c>
      <c r="AH858" s="9" t="str">
        <f t="shared" si="172"/>
        <v/>
      </c>
      <c r="AI858" s="9" t="str">
        <f t="shared" si="173"/>
        <v/>
      </c>
      <c r="AJ858" s="9" t="str">
        <f t="shared" si="174"/>
        <v/>
      </c>
      <c r="AK858" s="9" t="str">
        <f t="shared" si="175"/>
        <v/>
      </c>
      <c r="AL858" s="9" t="str">
        <f t="shared" si="176"/>
        <v/>
      </c>
      <c r="AM858" s="9" t="str">
        <f t="shared" si="177"/>
        <v/>
      </c>
      <c r="AN858" s="9" t="str">
        <f t="shared" si="178"/>
        <v/>
      </c>
      <c r="AO858" s="9" t="str">
        <f t="shared" si="179"/>
        <v/>
      </c>
      <c r="AP858" s="9" t="str">
        <f t="shared" si="180"/>
        <v/>
      </c>
      <c r="AQ858" s="10" t="str">
        <f t="shared" si="181"/>
        <v/>
      </c>
    </row>
    <row r="859" spans="1:43">
      <c r="A859">
        <v>858</v>
      </c>
      <c r="B859" t="s">
        <v>26</v>
      </c>
      <c r="C859" t="s">
        <v>590</v>
      </c>
      <c r="D859" t="s">
        <v>591</v>
      </c>
      <c r="E859" t="s">
        <v>168</v>
      </c>
      <c r="G859" t="s">
        <v>18</v>
      </c>
      <c r="H859" s="4">
        <v>69093000</v>
      </c>
      <c r="I859" s="5">
        <v>256</v>
      </c>
      <c r="J859" s="5">
        <v>0</v>
      </c>
      <c r="K859" s="5">
        <v>8</v>
      </c>
      <c r="L859">
        <v>9.6</v>
      </c>
      <c r="M859">
        <v>3.5</v>
      </c>
      <c r="N859">
        <v>6.26</v>
      </c>
      <c r="O859" s="6">
        <v>13.3</v>
      </c>
      <c r="P859" s="7">
        <v>1.28</v>
      </c>
      <c r="U859" t="s">
        <v>84</v>
      </c>
      <c r="V859" t="s">
        <v>592</v>
      </c>
      <c r="W859">
        <v>2.8</v>
      </c>
      <c r="X859" t="s">
        <v>84</v>
      </c>
      <c r="Y859" t="s">
        <v>99</v>
      </c>
      <c r="Z859" t="s">
        <v>100</v>
      </c>
      <c r="AA859" t="s">
        <v>169</v>
      </c>
      <c r="AB859" t="s">
        <v>115</v>
      </c>
      <c r="AC859">
        <v>2559</v>
      </c>
      <c r="AD859" s="8" t="b">
        <f>AND(
 H859&gt;=Filters!$B$3,
 H859&lt;=Filters!$B$4,
 I859&gt;=Filters!$B$5,
 OR(Filters!$B$6="All",B859=Filters!$B$6),
 F859&gt;=Filters!$B$7,
 F859&lt;=Filters!$B$8,
 OR(Filters!$B$9="All",G859=Filters!$B$9)
)</f>
        <v>0</v>
      </c>
      <c r="AE859">
        <f t="shared" si="169"/>
        <v>6</v>
      </c>
      <c r="AF859">
        <f t="shared" si="170"/>
        <v>7</v>
      </c>
      <c r="AG859">
        <f t="shared" si="171"/>
        <v>7</v>
      </c>
      <c r="AH859" s="9" t="str">
        <f t="shared" si="172"/>
        <v/>
      </c>
      <c r="AI859" s="9" t="str">
        <f t="shared" si="173"/>
        <v/>
      </c>
      <c r="AJ859" s="9" t="str">
        <f t="shared" si="174"/>
        <v/>
      </c>
      <c r="AK859" s="9" t="str">
        <f t="shared" si="175"/>
        <v/>
      </c>
      <c r="AL859" s="9" t="str">
        <f t="shared" si="176"/>
        <v/>
      </c>
      <c r="AM859" s="9" t="str">
        <f t="shared" si="177"/>
        <v/>
      </c>
      <c r="AN859" s="9" t="str">
        <f t="shared" si="178"/>
        <v/>
      </c>
      <c r="AO859" s="9" t="str">
        <f t="shared" si="179"/>
        <v/>
      </c>
      <c r="AP859" s="9" t="str">
        <f t="shared" si="180"/>
        <v/>
      </c>
      <c r="AQ859" s="10" t="str">
        <f t="shared" si="181"/>
        <v/>
      </c>
    </row>
    <row r="860" spans="1:43">
      <c r="A860">
        <v>859</v>
      </c>
      <c r="B860" t="s">
        <v>23</v>
      </c>
      <c r="C860" t="s">
        <v>1256</v>
      </c>
      <c r="D860" t="s">
        <v>1257</v>
      </c>
      <c r="E860" t="s">
        <v>97</v>
      </c>
      <c r="G860" t="s">
        <v>18</v>
      </c>
      <c r="H860" s="4">
        <v>17523000</v>
      </c>
      <c r="I860" s="5">
        <v>0</v>
      </c>
      <c r="J860" s="5">
        <v>1024</v>
      </c>
      <c r="K860" s="5">
        <v>8</v>
      </c>
      <c r="L860">
        <v>6.6</v>
      </c>
      <c r="M860">
        <v>3.5</v>
      </c>
      <c r="N860">
        <v>6.26</v>
      </c>
      <c r="O860" s="6">
        <v>13.3</v>
      </c>
      <c r="P860" s="7">
        <v>1.62</v>
      </c>
      <c r="U860" t="s">
        <v>84</v>
      </c>
      <c r="V860" t="s">
        <v>375</v>
      </c>
      <c r="W860">
        <v>2.2999999999999998</v>
      </c>
      <c r="X860" t="s">
        <v>84</v>
      </c>
      <c r="Y860" t="s">
        <v>130</v>
      </c>
      <c r="Z860" t="s">
        <v>146</v>
      </c>
      <c r="AA860" t="s">
        <v>169</v>
      </c>
      <c r="AB860" t="s">
        <v>115</v>
      </c>
      <c r="AC860">
        <v>649</v>
      </c>
      <c r="AD860" s="8" t="b">
        <f>AND(
 H860&gt;=Filters!$B$3,
 H860&lt;=Filters!$B$4,
 I860&gt;=Filters!$B$5,
 OR(Filters!$B$6="All",B860=Filters!$B$6),
 F860&gt;=Filters!$B$7,
 F860&lt;=Filters!$B$8,
 OR(Filters!$B$9="All",G860=Filters!$B$9)
)</f>
        <v>0</v>
      </c>
      <c r="AE860">
        <f t="shared" si="169"/>
        <v>6</v>
      </c>
      <c r="AF860">
        <f t="shared" si="170"/>
        <v>7</v>
      </c>
      <c r="AG860">
        <f t="shared" si="171"/>
        <v>7</v>
      </c>
      <c r="AH860" s="9" t="str">
        <f t="shared" si="172"/>
        <v/>
      </c>
      <c r="AI860" s="9" t="str">
        <f t="shared" si="173"/>
        <v/>
      </c>
      <c r="AJ860" s="9" t="str">
        <f t="shared" si="174"/>
        <v/>
      </c>
      <c r="AK860" s="9" t="str">
        <f t="shared" si="175"/>
        <v/>
      </c>
      <c r="AL860" s="9" t="str">
        <f t="shared" si="176"/>
        <v/>
      </c>
      <c r="AM860" s="9" t="str">
        <f t="shared" si="177"/>
        <v/>
      </c>
      <c r="AN860" s="9" t="str">
        <f t="shared" si="178"/>
        <v/>
      </c>
      <c r="AO860" s="9" t="str">
        <f t="shared" si="179"/>
        <v/>
      </c>
      <c r="AP860" s="9" t="str">
        <f t="shared" si="180"/>
        <v/>
      </c>
      <c r="AQ860" s="10" t="str">
        <f t="shared" si="181"/>
        <v/>
      </c>
    </row>
    <row r="861" spans="1:43">
      <c r="A861">
        <v>860</v>
      </c>
      <c r="B861" t="s">
        <v>29</v>
      </c>
      <c r="C861" t="s">
        <v>952</v>
      </c>
      <c r="D861" t="s">
        <v>953</v>
      </c>
      <c r="E861" t="s">
        <v>97</v>
      </c>
      <c r="G861" t="s">
        <v>18</v>
      </c>
      <c r="H861" s="4">
        <v>12663000</v>
      </c>
      <c r="I861" s="5">
        <v>0</v>
      </c>
      <c r="J861" s="5">
        <v>1024</v>
      </c>
      <c r="K861" s="5">
        <v>4</v>
      </c>
      <c r="L861">
        <v>4</v>
      </c>
      <c r="M861">
        <v>3.5</v>
      </c>
      <c r="N861">
        <v>5.92</v>
      </c>
      <c r="O861" s="6">
        <v>15.6</v>
      </c>
      <c r="P861" s="7">
        <v>2.2000000000000002</v>
      </c>
      <c r="U861" t="s">
        <v>84</v>
      </c>
      <c r="V861" t="s">
        <v>129</v>
      </c>
      <c r="W861">
        <v>2</v>
      </c>
      <c r="X861" t="s">
        <v>84</v>
      </c>
      <c r="Y861" t="s">
        <v>130</v>
      </c>
      <c r="Z861" t="s">
        <v>146</v>
      </c>
      <c r="AA861" t="s">
        <v>101</v>
      </c>
      <c r="AB861" t="s">
        <v>102</v>
      </c>
      <c r="AC861">
        <v>469</v>
      </c>
      <c r="AD861" s="8" t="b">
        <f>AND(
 H861&gt;=Filters!$B$3,
 H861&lt;=Filters!$B$4,
 I861&gt;=Filters!$B$5,
 OR(Filters!$B$6="All",B861=Filters!$B$6),
 F861&gt;=Filters!$B$7,
 F861&lt;=Filters!$B$8,
 OR(Filters!$B$9="All",G861=Filters!$B$9)
)</f>
        <v>0</v>
      </c>
      <c r="AE861">
        <f t="shared" si="169"/>
        <v>6</v>
      </c>
      <c r="AF861">
        <f t="shared" si="170"/>
        <v>7</v>
      </c>
      <c r="AG861">
        <f t="shared" si="171"/>
        <v>7</v>
      </c>
      <c r="AH861" s="9" t="str">
        <f t="shared" si="172"/>
        <v/>
      </c>
      <c r="AI861" s="9" t="str">
        <f t="shared" si="173"/>
        <v/>
      </c>
      <c r="AJ861" s="9" t="str">
        <f t="shared" si="174"/>
        <v/>
      </c>
      <c r="AK861" s="9" t="str">
        <f t="shared" si="175"/>
        <v/>
      </c>
      <c r="AL861" s="9" t="str">
        <f t="shared" si="176"/>
        <v/>
      </c>
      <c r="AM861" s="9" t="str">
        <f t="shared" si="177"/>
        <v/>
      </c>
      <c r="AN861" s="9" t="str">
        <f t="shared" si="178"/>
        <v/>
      </c>
      <c r="AO861" s="9" t="str">
        <f t="shared" si="179"/>
        <v/>
      </c>
      <c r="AP861" s="9" t="str">
        <f t="shared" si="180"/>
        <v/>
      </c>
      <c r="AQ861" s="10" t="str">
        <f t="shared" si="181"/>
        <v/>
      </c>
    </row>
    <row r="862" spans="1:43">
      <c r="A862">
        <v>861</v>
      </c>
      <c r="B862" t="s">
        <v>29</v>
      </c>
      <c r="C862" t="s">
        <v>818</v>
      </c>
      <c r="D862" t="s">
        <v>819</v>
      </c>
      <c r="E862" t="s">
        <v>97</v>
      </c>
      <c r="G862" t="s">
        <v>18</v>
      </c>
      <c r="H862" s="4">
        <v>22967820</v>
      </c>
      <c r="I862" s="5">
        <v>0</v>
      </c>
      <c r="J862" s="5">
        <v>1024</v>
      </c>
      <c r="K862" s="5">
        <v>8</v>
      </c>
      <c r="L862">
        <v>7</v>
      </c>
      <c r="M862">
        <v>3.5</v>
      </c>
      <c r="N862">
        <v>6.32</v>
      </c>
      <c r="O862" s="6">
        <v>15.6</v>
      </c>
      <c r="P862" s="7">
        <v>2.2999999999999998</v>
      </c>
      <c r="U862" t="s">
        <v>84</v>
      </c>
      <c r="V862" t="s">
        <v>98</v>
      </c>
      <c r="W862">
        <v>2.5</v>
      </c>
      <c r="X862" t="s">
        <v>84</v>
      </c>
      <c r="Y862" t="s">
        <v>99</v>
      </c>
      <c r="Z862" t="s">
        <v>146</v>
      </c>
      <c r="AA862" t="s">
        <v>128</v>
      </c>
      <c r="AB862" t="s">
        <v>115</v>
      </c>
      <c r="AC862">
        <v>850.66</v>
      </c>
      <c r="AD862" s="8" t="b">
        <f>AND(
 H862&gt;=Filters!$B$3,
 H862&lt;=Filters!$B$4,
 I862&gt;=Filters!$B$5,
 OR(Filters!$B$6="All",B862=Filters!$B$6),
 F862&gt;=Filters!$B$7,
 F862&lt;=Filters!$B$8,
 OR(Filters!$B$9="All",G862=Filters!$B$9)
)</f>
        <v>0</v>
      </c>
      <c r="AE862">
        <f t="shared" si="169"/>
        <v>6</v>
      </c>
      <c r="AF862">
        <f t="shared" si="170"/>
        <v>7</v>
      </c>
      <c r="AG862">
        <f t="shared" si="171"/>
        <v>7</v>
      </c>
      <c r="AH862" s="9" t="str">
        <f t="shared" si="172"/>
        <v/>
      </c>
      <c r="AI862" s="9" t="str">
        <f t="shared" si="173"/>
        <v/>
      </c>
      <c r="AJ862" s="9" t="str">
        <f t="shared" si="174"/>
        <v/>
      </c>
      <c r="AK862" s="9" t="str">
        <f t="shared" si="175"/>
        <v/>
      </c>
      <c r="AL862" s="9" t="str">
        <f t="shared" si="176"/>
        <v/>
      </c>
      <c r="AM862" s="9" t="str">
        <f t="shared" si="177"/>
        <v/>
      </c>
      <c r="AN862" s="9" t="str">
        <f t="shared" si="178"/>
        <v/>
      </c>
      <c r="AO862" s="9" t="str">
        <f t="shared" si="179"/>
        <v/>
      </c>
      <c r="AP862" s="9" t="str">
        <f t="shared" si="180"/>
        <v/>
      </c>
      <c r="AQ862" s="10" t="str">
        <f t="shared" si="181"/>
        <v/>
      </c>
    </row>
    <row r="863" spans="1:43">
      <c r="A863">
        <v>862</v>
      </c>
      <c r="B863" t="s">
        <v>26</v>
      </c>
      <c r="C863" t="s">
        <v>957</v>
      </c>
      <c r="D863" t="s">
        <v>958</v>
      </c>
      <c r="E863" t="s">
        <v>97</v>
      </c>
      <c r="G863" t="s">
        <v>18</v>
      </c>
      <c r="H863" s="4">
        <v>36423000</v>
      </c>
      <c r="I863" s="5">
        <v>256</v>
      </c>
      <c r="J863" s="5">
        <v>0</v>
      </c>
      <c r="K863" s="5">
        <v>8</v>
      </c>
      <c r="L863">
        <v>7.2</v>
      </c>
      <c r="M863">
        <v>6.5</v>
      </c>
      <c r="N863">
        <v>5.92</v>
      </c>
      <c r="O863" s="6">
        <v>15.6</v>
      </c>
      <c r="P863" s="7">
        <v>1.84</v>
      </c>
      <c r="U863" t="s">
        <v>84</v>
      </c>
      <c r="V863" t="s">
        <v>633</v>
      </c>
      <c r="W863">
        <v>2.6</v>
      </c>
      <c r="X863" t="s">
        <v>104</v>
      </c>
      <c r="Y863" t="s">
        <v>1258</v>
      </c>
      <c r="Z863" t="s">
        <v>100</v>
      </c>
      <c r="AA863" t="s">
        <v>101</v>
      </c>
      <c r="AB863" t="s">
        <v>115</v>
      </c>
      <c r="AC863">
        <v>1349</v>
      </c>
      <c r="AD863" s="8" t="b">
        <f>AND(
 H863&gt;=Filters!$B$3,
 H863&lt;=Filters!$B$4,
 I863&gt;=Filters!$B$5,
 OR(Filters!$B$6="All",B863=Filters!$B$6),
 F863&gt;=Filters!$B$7,
 F863&lt;=Filters!$B$8,
 OR(Filters!$B$9="All",G863=Filters!$B$9)
)</f>
        <v>0</v>
      </c>
      <c r="AE863">
        <f t="shared" si="169"/>
        <v>6</v>
      </c>
      <c r="AF863">
        <f t="shared" si="170"/>
        <v>7</v>
      </c>
      <c r="AG863">
        <f t="shared" si="171"/>
        <v>7</v>
      </c>
      <c r="AH863" s="9" t="str">
        <f t="shared" si="172"/>
        <v/>
      </c>
      <c r="AI863" s="9" t="str">
        <f t="shared" si="173"/>
        <v/>
      </c>
      <c r="AJ863" s="9" t="str">
        <f t="shared" si="174"/>
        <v/>
      </c>
      <c r="AK863" s="9" t="str">
        <f t="shared" si="175"/>
        <v/>
      </c>
      <c r="AL863" s="9" t="str">
        <f t="shared" si="176"/>
        <v/>
      </c>
      <c r="AM863" s="9" t="str">
        <f t="shared" si="177"/>
        <v/>
      </c>
      <c r="AN863" s="9" t="str">
        <f t="shared" si="178"/>
        <v/>
      </c>
      <c r="AO863" s="9" t="str">
        <f t="shared" si="179"/>
        <v/>
      </c>
      <c r="AP863" s="9" t="str">
        <f t="shared" si="180"/>
        <v/>
      </c>
      <c r="AQ863" s="10" t="str">
        <f t="shared" si="181"/>
        <v/>
      </c>
    </row>
    <row r="864" spans="1:43">
      <c r="A864">
        <v>863</v>
      </c>
      <c r="B864" t="s">
        <v>35</v>
      </c>
      <c r="C864" t="s">
        <v>1259</v>
      </c>
      <c r="D864" t="s">
        <v>1260</v>
      </c>
      <c r="E864" t="s">
        <v>97</v>
      </c>
      <c r="G864" t="s">
        <v>18</v>
      </c>
      <c r="H864" s="4">
        <v>34695000</v>
      </c>
      <c r="I864" s="5">
        <v>128</v>
      </c>
      <c r="J864" s="5">
        <v>0</v>
      </c>
      <c r="K864" s="5">
        <v>4</v>
      </c>
      <c r="L864">
        <v>7</v>
      </c>
      <c r="M864">
        <v>3.5</v>
      </c>
      <c r="N864">
        <v>5.96</v>
      </c>
      <c r="O864" s="6">
        <v>13.3</v>
      </c>
      <c r="P864" s="7">
        <v>1.05</v>
      </c>
      <c r="U864" t="s">
        <v>84</v>
      </c>
      <c r="V864" t="s">
        <v>98</v>
      </c>
      <c r="W864">
        <v>2.5</v>
      </c>
      <c r="X864" t="s">
        <v>84</v>
      </c>
      <c r="Y864" t="s">
        <v>99</v>
      </c>
      <c r="Z864" t="s">
        <v>87</v>
      </c>
      <c r="AA864" t="s">
        <v>101</v>
      </c>
      <c r="AB864" t="s">
        <v>115</v>
      </c>
      <c r="AC864">
        <v>1285</v>
      </c>
      <c r="AD864" s="8" t="b">
        <f>AND(
 H864&gt;=Filters!$B$3,
 H864&lt;=Filters!$B$4,
 I864&gt;=Filters!$B$5,
 OR(Filters!$B$6="All",B864=Filters!$B$6),
 F864&gt;=Filters!$B$7,
 F864&lt;=Filters!$B$8,
 OR(Filters!$B$9="All",G864=Filters!$B$9)
)</f>
        <v>0</v>
      </c>
      <c r="AE864">
        <f t="shared" si="169"/>
        <v>6</v>
      </c>
      <c r="AF864">
        <f t="shared" si="170"/>
        <v>7</v>
      </c>
      <c r="AG864">
        <f t="shared" si="171"/>
        <v>7</v>
      </c>
      <c r="AH864" s="9" t="str">
        <f t="shared" si="172"/>
        <v/>
      </c>
      <c r="AI864" s="9" t="str">
        <f t="shared" si="173"/>
        <v/>
      </c>
      <c r="AJ864" s="9" t="str">
        <f t="shared" si="174"/>
        <v/>
      </c>
      <c r="AK864" s="9" t="str">
        <f t="shared" si="175"/>
        <v/>
      </c>
      <c r="AL864" s="9" t="str">
        <f t="shared" si="176"/>
        <v/>
      </c>
      <c r="AM864" s="9" t="str">
        <f t="shared" si="177"/>
        <v/>
      </c>
      <c r="AN864" s="9" t="str">
        <f t="shared" si="178"/>
        <v/>
      </c>
      <c r="AO864" s="9" t="str">
        <f t="shared" si="179"/>
        <v/>
      </c>
      <c r="AP864" s="9" t="str">
        <f t="shared" si="180"/>
        <v/>
      </c>
      <c r="AQ864" s="10" t="str">
        <f t="shared" si="181"/>
        <v/>
      </c>
    </row>
    <row r="865" spans="1:43">
      <c r="A865">
        <v>864</v>
      </c>
      <c r="B865" t="s">
        <v>29</v>
      </c>
      <c r="C865" t="s">
        <v>156</v>
      </c>
      <c r="D865" t="s">
        <v>157</v>
      </c>
      <c r="E865" t="s">
        <v>158</v>
      </c>
      <c r="G865" t="s">
        <v>18</v>
      </c>
      <c r="H865" s="4">
        <v>27459000</v>
      </c>
      <c r="I865" s="5">
        <v>0</v>
      </c>
      <c r="J865" s="5">
        <v>1024</v>
      </c>
      <c r="K865" s="5">
        <v>8</v>
      </c>
      <c r="L865">
        <v>7</v>
      </c>
      <c r="M865">
        <v>9.1999999999999993</v>
      </c>
      <c r="N865">
        <v>6.32</v>
      </c>
      <c r="O865" s="6">
        <v>15.6</v>
      </c>
      <c r="P865" s="7">
        <v>2.5</v>
      </c>
      <c r="U865" t="s">
        <v>84</v>
      </c>
      <c r="V865" t="s">
        <v>159</v>
      </c>
      <c r="W865">
        <v>2.5</v>
      </c>
      <c r="X865" t="s">
        <v>122</v>
      </c>
      <c r="Y865" t="s">
        <v>160</v>
      </c>
      <c r="Z865" t="s">
        <v>146</v>
      </c>
      <c r="AA865" t="s">
        <v>128</v>
      </c>
      <c r="AB865" t="s">
        <v>102</v>
      </c>
      <c r="AC865">
        <v>1017</v>
      </c>
      <c r="AD865" s="8" t="b">
        <f>AND(
 H865&gt;=Filters!$B$3,
 H865&lt;=Filters!$B$4,
 I865&gt;=Filters!$B$5,
 OR(Filters!$B$6="All",B865=Filters!$B$6),
 F865&gt;=Filters!$B$7,
 F865&lt;=Filters!$B$8,
 OR(Filters!$B$9="All",G865=Filters!$B$9)
)</f>
        <v>0</v>
      </c>
      <c r="AE865">
        <f t="shared" si="169"/>
        <v>6</v>
      </c>
      <c r="AF865">
        <f t="shared" si="170"/>
        <v>7</v>
      </c>
      <c r="AG865">
        <f t="shared" si="171"/>
        <v>7</v>
      </c>
      <c r="AH865" s="9" t="str">
        <f t="shared" si="172"/>
        <v/>
      </c>
      <c r="AI865" s="9" t="str">
        <f t="shared" si="173"/>
        <v/>
      </c>
      <c r="AJ865" s="9" t="str">
        <f t="shared" si="174"/>
        <v/>
      </c>
      <c r="AK865" s="9" t="str">
        <f t="shared" si="175"/>
        <v/>
      </c>
      <c r="AL865" s="9" t="str">
        <f t="shared" si="176"/>
        <v/>
      </c>
      <c r="AM865" s="9" t="str">
        <f t="shared" si="177"/>
        <v/>
      </c>
      <c r="AN865" s="9" t="str">
        <f t="shared" si="178"/>
        <v/>
      </c>
      <c r="AO865" s="9" t="str">
        <f t="shared" si="179"/>
        <v/>
      </c>
      <c r="AP865" s="9" t="str">
        <f t="shared" si="180"/>
        <v/>
      </c>
      <c r="AQ865" s="10" t="str">
        <f t="shared" si="181"/>
        <v/>
      </c>
    </row>
    <row r="866" spans="1:43">
      <c r="A866">
        <v>865</v>
      </c>
      <c r="B866" t="s">
        <v>23</v>
      </c>
      <c r="C866" t="s">
        <v>147</v>
      </c>
      <c r="D866" t="s">
        <v>148</v>
      </c>
      <c r="E866" t="s">
        <v>83</v>
      </c>
      <c r="G866" t="s">
        <v>18</v>
      </c>
      <c r="H866" s="4">
        <v>60480000</v>
      </c>
      <c r="I866" s="5">
        <v>512</v>
      </c>
      <c r="J866" s="5">
        <v>0</v>
      </c>
      <c r="K866" s="5">
        <v>16</v>
      </c>
      <c r="L866">
        <v>9</v>
      </c>
      <c r="M866">
        <v>4.2</v>
      </c>
      <c r="N866">
        <v>8.4600000000000009</v>
      </c>
      <c r="O866" s="6">
        <v>13.3</v>
      </c>
      <c r="P866" s="7">
        <v>1.29</v>
      </c>
      <c r="U866" t="s">
        <v>84</v>
      </c>
      <c r="V866" t="s">
        <v>779</v>
      </c>
      <c r="W866">
        <v>2.5</v>
      </c>
      <c r="X866" t="s">
        <v>84</v>
      </c>
      <c r="Y866" t="s">
        <v>86</v>
      </c>
      <c r="Z866" t="s">
        <v>106</v>
      </c>
      <c r="AA866" t="s">
        <v>333</v>
      </c>
      <c r="AB866" t="s">
        <v>115</v>
      </c>
      <c r="AC866">
        <v>2240</v>
      </c>
      <c r="AD866" s="8" t="b">
        <f>AND(
 H866&gt;=Filters!$B$3,
 H866&lt;=Filters!$B$4,
 I866&gt;=Filters!$B$5,
 OR(Filters!$B$6="All",B866=Filters!$B$6),
 F866&gt;=Filters!$B$7,
 F866&lt;=Filters!$B$8,
 OR(Filters!$B$9="All",G866=Filters!$B$9)
)</f>
        <v>0</v>
      </c>
      <c r="AE866">
        <f t="shared" si="169"/>
        <v>6</v>
      </c>
      <c r="AF866">
        <f t="shared" si="170"/>
        <v>7</v>
      </c>
      <c r="AG866">
        <f t="shared" si="171"/>
        <v>7</v>
      </c>
      <c r="AH866" s="9" t="str">
        <f t="shared" si="172"/>
        <v/>
      </c>
      <c r="AI866" s="9" t="str">
        <f t="shared" si="173"/>
        <v/>
      </c>
      <c r="AJ866" s="9" t="str">
        <f t="shared" si="174"/>
        <v/>
      </c>
      <c r="AK866" s="9" t="str">
        <f t="shared" si="175"/>
        <v/>
      </c>
      <c r="AL866" s="9" t="str">
        <f t="shared" si="176"/>
        <v/>
      </c>
      <c r="AM866" s="9" t="str">
        <f t="shared" si="177"/>
        <v/>
      </c>
      <c r="AN866" s="9" t="str">
        <f t="shared" si="178"/>
        <v/>
      </c>
      <c r="AO866" s="9" t="str">
        <f t="shared" si="179"/>
        <v/>
      </c>
      <c r="AP866" s="9" t="str">
        <f t="shared" si="180"/>
        <v/>
      </c>
      <c r="AQ866" s="10" t="str">
        <f t="shared" si="181"/>
        <v/>
      </c>
    </row>
    <row r="867" spans="1:43">
      <c r="A867">
        <v>866</v>
      </c>
      <c r="B867" t="s">
        <v>26</v>
      </c>
      <c r="C867" t="s">
        <v>862</v>
      </c>
      <c r="D867" t="s">
        <v>863</v>
      </c>
      <c r="E867" t="s">
        <v>97</v>
      </c>
      <c r="G867" t="s">
        <v>18</v>
      </c>
      <c r="H867" s="4">
        <v>24570000</v>
      </c>
      <c r="I867" s="5">
        <v>0</v>
      </c>
      <c r="J867" s="5">
        <v>500</v>
      </c>
      <c r="K867" s="5">
        <v>4</v>
      </c>
      <c r="L867">
        <v>6.6</v>
      </c>
      <c r="M867">
        <v>3.5</v>
      </c>
      <c r="N867">
        <v>5.92</v>
      </c>
      <c r="O867" s="6">
        <v>15.6</v>
      </c>
      <c r="P867" s="7">
        <v>2.0699999999999998</v>
      </c>
      <c r="U867" t="s">
        <v>84</v>
      </c>
      <c r="V867" t="s">
        <v>375</v>
      </c>
      <c r="W867">
        <v>2.2999999999999998</v>
      </c>
      <c r="X867" t="s">
        <v>84</v>
      </c>
      <c r="Y867" t="s">
        <v>130</v>
      </c>
      <c r="Z867" t="s">
        <v>113</v>
      </c>
      <c r="AA867" t="s">
        <v>101</v>
      </c>
      <c r="AB867" t="s">
        <v>115</v>
      </c>
      <c r="AC867">
        <v>910</v>
      </c>
      <c r="AD867" s="8" t="b">
        <f>AND(
 H867&gt;=Filters!$B$3,
 H867&lt;=Filters!$B$4,
 I867&gt;=Filters!$B$5,
 OR(Filters!$B$6="All",B867=Filters!$B$6),
 F867&gt;=Filters!$B$7,
 F867&lt;=Filters!$B$8,
 OR(Filters!$B$9="All",G867=Filters!$B$9)
)</f>
        <v>0</v>
      </c>
      <c r="AE867">
        <f t="shared" si="169"/>
        <v>6</v>
      </c>
      <c r="AF867">
        <f t="shared" si="170"/>
        <v>7</v>
      </c>
      <c r="AG867">
        <f t="shared" si="171"/>
        <v>7</v>
      </c>
      <c r="AH867" s="9" t="str">
        <f t="shared" si="172"/>
        <v/>
      </c>
      <c r="AI867" s="9" t="str">
        <f t="shared" si="173"/>
        <v/>
      </c>
      <c r="AJ867" s="9" t="str">
        <f t="shared" si="174"/>
        <v/>
      </c>
      <c r="AK867" s="9" t="str">
        <f t="shared" si="175"/>
        <v/>
      </c>
      <c r="AL867" s="9" t="str">
        <f t="shared" si="176"/>
        <v/>
      </c>
      <c r="AM867" s="9" t="str">
        <f t="shared" si="177"/>
        <v/>
      </c>
      <c r="AN867" s="9" t="str">
        <f t="shared" si="178"/>
        <v/>
      </c>
      <c r="AO867" s="9" t="str">
        <f t="shared" si="179"/>
        <v/>
      </c>
      <c r="AP867" s="9" t="str">
        <f t="shared" si="180"/>
        <v/>
      </c>
      <c r="AQ867" s="10" t="str">
        <f t="shared" si="181"/>
        <v/>
      </c>
    </row>
    <row r="868" spans="1:43">
      <c r="A868">
        <v>867</v>
      </c>
      <c r="B868" t="s">
        <v>35</v>
      </c>
      <c r="C868" t="s">
        <v>1261</v>
      </c>
      <c r="D868" t="s">
        <v>1262</v>
      </c>
      <c r="E868" t="s">
        <v>83</v>
      </c>
      <c r="G868" t="s">
        <v>18</v>
      </c>
      <c r="H868" s="4">
        <v>29565000</v>
      </c>
      <c r="I868" s="5">
        <v>256</v>
      </c>
      <c r="J868" s="5">
        <v>0</v>
      </c>
      <c r="K868" s="5">
        <v>8</v>
      </c>
      <c r="L868">
        <v>6.6</v>
      </c>
      <c r="M868">
        <v>3.5</v>
      </c>
      <c r="N868">
        <v>3.96</v>
      </c>
      <c r="O868" s="6">
        <v>13.3</v>
      </c>
      <c r="P868" s="7">
        <v>1.2</v>
      </c>
      <c r="U868" t="s">
        <v>84</v>
      </c>
      <c r="V868" t="s">
        <v>375</v>
      </c>
      <c r="W868">
        <v>2.2999999999999998</v>
      </c>
      <c r="X868" t="s">
        <v>84</v>
      </c>
      <c r="Y868" t="s">
        <v>130</v>
      </c>
      <c r="Z868" t="s">
        <v>100</v>
      </c>
      <c r="AA868" t="s">
        <v>114</v>
      </c>
      <c r="AB868" t="s">
        <v>115</v>
      </c>
      <c r="AC868">
        <v>1095</v>
      </c>
      <c r="AD868" s="8" t="b">
        <f>AND(
 H868&gt;=Filters!$B$3,
 H868&lt;=Filters!$B$4,
 I868&gt;=Filters!$B$5,
 OR(Filters!$B$6="All",B868=Filters!$B$6),
 F868&gt;=Filters!$B$7,
 F868&lt;=Filters!$B$8,
 OR(Filters!$B$9="All",G868=Filters!$B$9)
)</f>
        <v>0</v>
      </c>
      <c r="AE868">
        <f t="shared" si="169"/>
        <v>6</v>
      </c>
      <c r="AF868">
        <f t="shared" si="170"/>
        <v>7</v>
      </c>
      <c r="AG868">
        <f t="shared" si="171"/>
        <v>7</v>
      </c>
      <c r="AH868" s="9" t="str">
        <f t="shared" si="172"/>
        <v/>
      </c>
      <c r="AI868" s="9" t="str">
        <f t="shared" si="173"/>
        <v/>
      </c>
      <c r="AJ868" s="9" t="str">
        <f t="shared" si="174"/>
        <v/>
      </c>
      <c r="AK868" s="9" t="str">
        <f t="shared" si="175"/>
        <v/>
      </c>
      <c r="AL868" s="9" t="str">
        <f t="shared" si="176"/>
        <v/>
      </c>
      <c r="AM868" s="9" t="str">
        <f t="shared" si="177"/>
        <v/>
      </c>
      <c r="AN868" s="9" t="str">
        <f t="shared" si="178"/>
        <v/>
      </c>
      <c r="AO868" s="9" t="str">
        <f t="shared" si="179"/>
        <v/>
      </c>
      <c r="AP868" s="9" t="str">
        <f t="shared" si="180"/>
        <v/>
      </c>
      <c r="AQ868" s="10" t="str">
        <f t="shared" si="181"/>
        <v/>
      </c>
    </row>
    <row r="869" spans="1:43">
      <c r="A869">
        <v>868</v>
      </c>
      <c r="B869" t="s">
        <v>29</v>
      </c>
      <c r="C869" t="s">
        <v>334</v>
      </c>
      <c r="D869" t="s">
        <v>335</v>
      </c>
      <c r="E869" t="s">
        <v>168</v>
      </c>
      <c r="G869" t="s">
        <v>18</v>
      </c>
      <c r="H869" s="4">
        <v>52650000</v>
      </c>
      <c r="I869" s="5">
        <v>256</v>
      </c>
      <c r="J869" s="5">
        <v>0</v>
      </c>
      <c r="K869" s="5">
        <v>8</v>
      </c>
      <c r="L869">
        <v>9.4</v>
      </c>
      <c r="M869">
        <v>3.5</v>
      </c>
      <c r="N869">
        <v>6.67</v>
      </c>
      <c r="O869" s="6">
        <v>13.3</v>
      </c>
      <c r="P869" s="7">
        <v>1.37</v>
      </c>
      <c r="U869" t="s">
        <v>84</v>
      </c>
      <c r="V869" t="s">
        <v>140</v>
      </c>
      <c r="W869">
        <v>2.7</v>
      </c>
      <c r="X869" t="s">
        <v>84</v>
      </c>
      <c r="Y869" t="s">
        <v>99</v>
      </c>
      <c r="Z869" t="s">
        <v>100</v>
      </c>
      <c r="AA869" t="s">
        <v>149</v>
      </c>
      <c r="AB869" t="s">
        <v>115</v>
      </c>
      <c r="AC869">
        <v>1950</v>
      </c>
      <c r="AD869" s="8" t="b">
        <f>AND(
 H869&gt;=Filters!$B$3,
 H869&lt;=Filters!$B$4,
 I869&gt;=Filters!$B$5,
 OR(Filters!$B$6="All",B869=Filters!$B$6),
 F869&gt;=Filters!$B$7,
 F869&lt;=Filters!$B$8,
 OR(Filters!$B$9="All",G869=Filters!$B$9)
)</f>
        <v>0</v>
      </c>
      <c r="AE869">
        <f t="shared" si="169"/>
        <v>6</v>
      </c>
      <c r="AF869">
        <f t="shared" si="170"/>
        <v>7</v>
      </c>
      <c r="AG869">
        <f t="shared" si="171"/>
        <v>7</v>
      </c>
      <c r="AH869" s="9" t="str">
        <f t="shared" si="172"/>
        <v/>
      </c>
      <c r="AI869" s="9" t="str">
        <f t="shared" si="173"/>
        <v/>
      </c>
      <c r="AJ869" s="9" t="str">
        <f t="shared" si="174"/>
        <v/>
      </c>
      <c r="AK869" s="9" t="str">
        <f t="shared" si="175"/>
        <v/>
      </c>
      <c r="AL869" s="9" t="str">
        <f t="shared" si="176"/>
        <v/>
      </c>
      <c r="AM869" s="9" t="str">
        <f t="shared" si="177"/>
        <v/>
      </c>
      <c r="AN869" s="9" t="str">
        <f t="shared" si="178"/>
        <v/>
      </c>
      <c r="AO869" s="9" t="str">
        <f t="shared" si="179"/>
        <v/>
      </c>
      <c r="AP869" s="9" t="str">
        <f t="shared" si="180"/>
        <v/>
      </c>
      <c r="AQ869" s="10" t="str">
        <f t="shared" si="181"/>
        <v/>
      </c>
    </row>
    <row r="870" spans="1:43">
      <c r="A870">
        <v>869</v>
      </c>
      <c r="B870" t="s">
        <v>17</v>
      </c>
      <c r="C870" t="s">
        <v>1263</v>
      </c>
      <c r="D870" t="s">
        <v>1264</v>
      </c>
      <c r="E870" t="s">
        <v>97</v>
      </c>
      <c r="G870" t="s">
        <v>18</v>
      </c>
      <c r="H870" s="4">
        <v>24354000</v>
      </c>
      <c r="I870" s="5">
        <v>256</v>
      </c>
      <c r="J870" s="5">
        <v>0</v>
      </c>
      <c r="K870" s="5">
        <v>8</v>
      </c>
      <c r="L870">
        <v>7</v>
      </c>
      <c r="M870">
        <v>3.5</v>
      </c>
      <c r="N870">
        <v>6.4</v>
      </c>
      <c r="O870" s="6">
        <v>14</v>
      </c>
      <c r="P870" s="7">
        <v>1.56</v>
      </c>
      <c r="U870" t="s">
        <v>84</v>
      </c>
      <c r="V870" t="s">
        <v>98</v>
      </c>
      <c r="W870">
        <v>2.5</v>
      </c>
      <c r="X870" t="s">
        <v>84</v>
      </c>
      <c r="Y870" t="s">
        <v>99</v>
      </c>
      <c r="Z870" t="s">
        <v>100</v>
      </c>
      <c r="AA870" t="s">
        <v>128</v>
      </c>
      <c r="AB870" t="s">
        <v>115</v>
      </c>
      <c r="AC870">
        <v>902</v>
      </c>
      <c r="AD870" s="8" t="b">
        <f>AND(
 H870&gt;=Filters!$B$3,
 H870&lt;=Filters!$B$4,
 I870&gt;=Filters!$B$5,
 OR(Filters!$B$6="All",B870=Filters!$B$6),
 F870&gt;=Filters!$B$7,
 F870&lt;=Filters!$B$8,
 OR(Filters!$B$9="All",G870=Filters!$B$9)
)</f>
        <v>1</v>
      </c>
      <c r="AE870">
        <f t="shared" si="169"/>
        <v>6</v>
      </c>
      <c r="AF870">
        <f t="shared" si="170"/>
        <v>7</v>
      </c>
      <c r="AG870">
        <f t="shared" si="171"/>
        <v>7</v>
      </c>
      <c r="AH870" s="9">
        <f t="shared" si="172"/>
        <v>0.69047619047619047</v>
      </c>
      <c r="AI870" s="9">
        <f t="shared" si="173"/>
        <v>0.80952380952380942</v>
      </c>
      <c r="AJ870" s="9">
        <f t="shared" si="174"/>
        <v>0.27380952380952378</v>
      </c>
      <c r="AK870" s="9">
        <f t="shared" si="175"/>
        <v>0.61904761904761907</v>
      </c>
      <c r="AL870" s="9">
        <f t="shared" si="176"/>
        <v>0.95714285714285696</v>
      </c>
      <c r="AM870" s="9">
        <f t="shared" si="177"/>
        <v>0.5714285714285714</v>
      </c>
      <c r="AN870" s="9">
        <f t="shared" si="178"/>
        <v>0.69047619047619047</v>
      </c>
      <c r="AO870" s="9">
        <f t="shared" si="179"/>
        <v>0.69047619047619047</v>
      </c>
      <c r="AP870" s="9">
        <f t="shared" si="180"/>
        <v>0.67568416809000953</v>
      </c>
      <c r="AQ870" s="10">
        <f t="shared" si="181"/>
        <v>0.67568503809000957</v>
      </c>
    </row>
    <row r="871" spans="1:43">
      <c r="A871">
        <v>870</v>
      </c>
      <c r="B871" t="s">
        <v>23</v>
      </c>
      <c r="C871" t="s">
        <v>773</v>
      </c>
      <c r="D871" t="s">
        <v>774</v>
      </c>
      <c r="E871" t="s">
        <v>468</v>
      </c>
      <c r="G871" t="s">
        <v>18</v>
      </c>
      <c r="H871" s="4">
        <v>48006000</v>
      </c>
      <c r="I871" s="5">
        <v>0</v>
      </c>
      <c r="J871" s="5">
        <v>1024</v>
      </c>
      <c r="K871" s="5">
        <v>8</v>
      </c>
      <c r="L871">
        <v>9.6</v>
      </c>
      <c r="M871">
        <v>8</v>
      </c>
      <c r="N871">
        <v>5.92</v>
      </c>
      <c r="O871" s="6">
        <v>15.6</v>
      </c>
      <c r="P871" s="7">
        <v>2.23</v>
      </c>
      <c r="U871" t="s">
        <v>84</v>
      </c>
      <c r="V871" t="s">
        <v>210</v>
      </c>
      <c r="W871">
        <v>2.8</v>
      </c>
      <c r="X871" t="s">
        <v>122</v>
      </c>
      <c r="Y871" t="s">
        <v>775</v>
      </c>
      <c r="Z871" t="s">
        <v>146</v>
      </c>
      <c r="AA871" t="s">
        <v>101</v>
      </c>
      <c r="AB871" t="s">
        <v>115</v>
      </c>
      <c r="AC871">
        <v>1778</v>
      </c>
      <c r="AD871" s="8" t="b">
        <f>AND(
 H871&gt;=Filters!$B$3,
 H871&lt;=Filters!$B$4,
 I871&gt;=Filters!$B$5,
 OR(Filters!$B$6="All",B871=Filters!$B$6),
 F871&gt;=Filters!$B$7,
 F871&lt;=Filters!$B$8,
 OR(Filters!$B$9="All",G871=Filters!$B$9)
)</f>
        <v>0</v>
      </c>
      <c r="AE871">
        <f t="shared" si="169"/>
        <v>6</v>
      </c>
      <c r="AF871">
        <f t="shared" si="170"/>
        <v>7</v>
      </c>
      <c r="AG871">
        <f t="shared" si="171"/>
        <v>7</v>
      </c>
      <c r="AH871" s="9" t="str">
        <f t="shared" si="172"/>
        <v/>
      </c>
      <c r="AI871" s="9" t="str">
        <f t="shared" si="173"/>
        <v/>
      </c>
      <c r="AJ871" s="9" t="str">
        <f t="shared" si="174"/>
        <v/>
      </c>
      <c r="AK871" s="9" t="str">
        <f t="shared" si="175"/>
        <v/>
      </c>
      <c r="AL871" s="9" t="str">
        <f t="shared" si="176"/>
        <v/>
      </c>
      <c r="AM871" s="9" t="str">
        <f t="shared" si="177"/>
        <v/>
      </c>
      <c r="AN871" s="9" t="str">
        <f t="shared" si="178"/>
        <v/>
      </c>
      <c r="AO871" s="9" t="str">
        <f t="shared" si="179"/>
        <v/>
      </c>
      <c r="AP871" s="9" t="str">
        <f t="shared" si="180"/>
        <v/>
      </c>
      <c r="AQ871" s="10" t="str">
        <f t="shared" si="181"/>
        <v/>
      </c>
    </row>
    <row r="872" spans="1:43">
      <c r="A872">
        <v>871</v>
      </c>
      <c r="B872" t="s">
        <v>29</v>
      </c>
      <c r="C872" t="s">
        <v>837</v>
      </c>
      <c r="D872" t="s">
        <v>838</v>
      </c>
      <c r="E872" t="s">
        <v>97</v>
      </c>
      <c r="G872" t="s">
        <v>18</v>
      </c>
      <c r="H872" s="4">
        <v>28485000</v>
      </c>
      <c r="I872" s="5">
        <v>0</v>
      </c>
      <c r="J872" s="5">
        <v>500</v>
      </c>
      <c r="K872" s="5">
        <v>4</v>
      </c>
      <c r="L872">
        <v>7</v>
      </c>
      <c r="M872">
        <v>3.5</v>
      </c>
      <c r="N872">
        <v>3.92</v>
      </c>
      <c r="O872" s="6">
        <v>15.6</v>
      </c>
      <c r="P872" s="7">
        <v>2.38</v>
      </c>
      <c r="U872" t="s">
        <v>84</v>
      </c>
      <c r="V872" t="s">
        <v>98</v>
      </c>
      <c r="W872">
        <v>2.5</v>
      </c>
      <c r="X872" t="s">
        <v>84</v>
      </c>
      <c r="Y872" t="s">
        <v>99</v>
      </c>
      <c r="Z872" t="s">
        <v>113</v>
      </c>
      <c r="AA872" t="s">
        <v>114</v>
      </c>
      <c r="AB872" t="s">
        <v>115</v>
      </c>
      <c r="AC872">
        <v>1055</v>
      </c>
      <c r="AD872" s="8" t="b">
        <f>AND(
 H872&gt;=Filters!$B$3,
 H872&lt;=Filters!$B$4,
 I872&gt;=Filters!$B$5,
 OR(Filters!$B$6="All",B872=Filters!$B$6),
 F872&gt;=Filters!$B$7,
 F872&lt;=Filters!$B$8,
 OR(Filters!$B$9="All",G872=Filters!$B$9)
)</f>
        <v>0</v>
      </c>
      <c r="AE872">
        <f t="shared" si="169"/>
        <v>6</v>
      </c>
      <c r="AF872">
        <f t="shared" si="170"/>
        <v>7</v>
      </c>
      <c r="AG872">
        <f t="shared" si="171"/>
        <v>7</v>
      </c>
      <c r="AH872" s="9" t="str">
        <f t="shared" si="172"/>
        <v/>
      </c>
      <c r="AI872" s="9" t="str">
        <f t="shared" si="173"/>
        <v/>
      </c>
      <c r="AJ872" s="9" t="str">
        <f t="shared" si="174"/>
        <v/>
      </c>
      <c r="AK872" s="9" t="str">
        <f t="shared" si="175"/>
        <v/>
      </c>
      <c r="AL872" s="9" t="str">
        <f t="shared" si="176"/>
        <v/>
      </c>
      <c r="AM872" s="9" t="str">
        <f t="shared" si="177"/>
        <v/>
      </c>
      <c r="AN872" s="9" t="str">
        <f t="shared" si="178"/>
        <v/>
      </c>
      <c r="AO872" s="9" t="str">
        <f t="shared" si="179"/>
        <v/>
      </c>
      <c r="AP872" s="9" t="str">
        <f t="shared" si="180"/>
        <v/>
      </c>
      <c r="AQ872" s="10" t="str">
        <f t="shared" si="181"/>
        <v/>
      </c>
    </row>
    <row r="873" spans="1:43">
      <c r="A873">
        <v>872</v>
      </c>
      <c r="B873" t="s">
        <v>29</v>
      </c>
      <c r="C873" t="s">
        <v>952</v>
      </c>
      <c r="D873" t="s">
        <v>953</v>
      </c>
      <c r="E873" t="s">
        <v>97</v>
      </c>
      <c r="G873" t="s">
        <v>18</v>
      </c>
      <c r="H873" s="4">
        <v>12933000</v>
      </c>
      <c r="I873" s="5">
        <v>0</v>
      </c>
      <c r="J873" s="5">
        <v>1024</v>
      </c>
      <c r="K873" s="5">
        <v>4</v>
      </c>
      <c r="L873">
        <v>4</v>
      </c>
      <c r="M873">
        <v>6.5</v>
      </c>
      <c r="N873">
        <v>5.92</v>
      </c>
      <c r="O873" s="6">
        <v>15.6</v>
      </c>
      <c r="P873" s="7">
        <v>2.2000000000000002</v>
      </c>
      <c r="U873" t="s">
        <v>84</v>
      </c>
      <c r="V873" t="s">
        <v>129</v>
      </c>
      <c r="W873">
        <v>2</v>
      </c>
      <c r="X873" t="s">
        <v>104</v>
      </c>
      <c r="Y873" t="s">
        <v>134</v>
      </c>
      <c r="Z873" t="s">
        <v>146</v>
      </c>
      <c r="AA873" t="s">
        <v>101</v>
      </c>
      <c r="AB873" t="s">
        <v>102</v>
      </c>
      <c r="AC873">
        <v>479</v>
      </c>
      <c r="AD873" s="8" t="b">
        <f>AND(
 H873&gt;=Filters!$B$3,
 H873&lt;=Filters!$B$4,
 I873&gt;=Filters!$B$5,
 OR(Filters!$B$6="All",B873=Filters!$B$6),
 F873&gt;=Filters!$B$7,
 F873&lt;=Filters!$B$8,
 OR(Filters!$B$9="All",G873=Filters!$B$9)
)</f>
        <v>0</v>
      </c>
      <c r="AE873">
        <f t="shared" si="169"/>
        <v>6</v>
      </c>
      <c r="AF873">
        <f t="shared" si="170"/>
        <v>7</v>
      </c>
      <c r="AG873">
        <f t="shared" si="171"/>
        <v>7</v>
      </c>
      <c r="AH873" s="9" t="str">
        <f t="shared" si="172"/>
        <v/>
      </c>
      <c r="AI873" s="9" t="str">
        <f t="shared" si="173"/>
        <v/>
      </c>
      <c r="AJ873" s="9" t="str">
        <f t="shared" si="174"/>
        <v/>
      </c>
      <c r="AK873" s="9" t="str">
        <f t="shared" si="175"/>
        <v/>
      </c>
      <c r="AL873" s="9" t="str">
        <f t="shared" si="176"/>
        <v/>
      </c>
      <c r="AM873" s="9" t="str">
        <f t="shared" si="177"/>
        <v/>
      </c>
      <c r="AN873" s="9" t="str">
        <f t="shared" si="178"/>
        <v/>
      </c>
      <c r="AO873" s="9" t="str">
        <f t="shared" si="179"/>
        <v/>
      </c>
      <c r="AP873" s="9" t="str">
        <f t="shared" si="180"/>
        <v/>
      </c>
      <c r="AQ873" s="10" t="str">
        <f t="shared" si="181"/>
        <v/>
      </c>
    </row>
    <row r="874" spans="1:43">
      <c r="A874">
        <v>873</v>
      </c>
      <c r="B874" t="s">
        <v>35</v>
      </c>
      <c r="C874" t="s">
        <v>1265</v>
      </c>
      <c r="D874" t="s">
        <v>1266</v>
      </c>
      <c r="E874" t="s">
        <v>97</v>
      </c>
      <c r="G874" t="s">
        <v>18</v>
      </c>
      <c r="H874" s="4">
        <v>37476000</v>
      </c>
      <c r="I874" s="5">
        <v>256</v>
      </c>
      <c r="J874" s="5">
        <v>0</v>
      </c>
      <c r="K874" s="5">
        <v>8</v>
      </c>
      <c r="L874">
        <v>9.4</v>
      </c>
      <c r="M874">
        <v>3.5</v>
      </c>
      <c r="N874">
        <v>6.32</v>
      </c>
      <c r="O874" s="6">
        <v>15.6</v>
      </c>
      <c r="P874" s="7">
        <v>2</v>
      </c>
      <c r="U874" t="s">
        <v>84</v>
      </c>
      <c r="V874" t="s">
        <v>140</v>
      </c>
      <c r="W874">
        <v>2.7</v>
      </c>
      <c r="X874" t="s">
        <v>84</v>
      </c>
      <c r="Y874" t="s">
        <v>99</v>
      </c>
      <c r="Z874" t="s">
        <v>100</v>
      </c>
      <c r="AA874" t="s">
        <v>128</v>
      </c>
      <c r="AB874" t="s">
        <v>115</v>
      </c>
      <c r="AC874">
        <v>1388</v>
      </c>
      <c r="AD874" s="8" t="b">
        <f>AND(
 H874&gt;=Filters!$B$3,
 H874&lt;=Filters!$B$4,
 I874&gt;=Filters!$B$5,
 OR(Filters!$B$6="All",B874=Filters!$B$6),
 F874&gt;=Filters!$B$7,
 F874&lt;=Filters!$B$8,
 OR(Filters!$B$9="All",G874=Filters!$B$9)
)</f>
        <v>0</v>
      </c>
      <c r="AE874">
        <f t="shared" si="169"/>
        <v>6</v>
      </c>
      <c r="AF874">
        <f t="shared" si="170"/>
        <v>7</v>
      </c>
      <c r="AG874">
        <f t="shared" si="171"/>
        <v>7</v>
      </c>
      <c r="AH874" s="9" t="str">
        <f t="shared" si="172"/>
        <v/>
      </c>
      <c r="AI874" s="9" t="str">
        <f t="shared" si="173"/>
        <v/>
      </c>
      <c r="AJ874" s="9" t="str">
        <f t="shared" si="174"/>
        <v/>
      </c>
      <c r="AK874" s="9" t="str">
        <f t="shared" si="175"/>
        <v/>
      </c>
      <c r="AL874" s="9" t="str">
        <f t="shared" si="176"/>
        <v/>
      </c>
      <c r="AM874" s="9" t="str">
        <f t="shared" si="177"/>
        <v/>
      </c>
      <c r="AN874" s="9" t="str">
        <f t="shared" si="178"/>
        <v/>
      </c>
      <c r="AO874" s="9" t="str">
        <f t="shared" si="179"/>
        <v/>
      </c>
      <c r="AP874" s="9" t="str">
        <f t="shared" si="180"/>
        <v/>
      </c>
      <c r="AQ874" s="10" t="str">
        <f t="shared" si="181"/>
        <v/>
      </c>
    </row>
    <row r="875" spans="1:43">
      <c r="A875">
        <v>874</v>
      </c>
      <c r="B875" t="s">
        <v>29</v>
      </c>
      <c r="C875" t="s">
        <v>746</v>
      </c>
      <c r="D875" t="s">
        <v>747</v>
      </c>
      <c r="E875" t="s">
        <v>97</v>
      </c>
      <c r="G875" t="s">
        <v>18</v>
      </c>
      <c r="H875" s="4">
        <v>19845000</v>
      </c>
      <c r="I875" s="5">
        <v>180</v>
      </c>
      <c r="J875" s="5">
        <v>0</v>
      </c>
      <c r="K875" s="5">
        <v>4</v>
      </c>
      <c r="L875">
        <v>4.8</v>
      </c>
      <c r="M875">
        <v>3.5</v>
      </c>
      <c r="N875">
        <v>6.37</v>
      </c>
      <c r="O875" s="6">
        <v>13.3</v>
      </c>
      <c r="P875" s="7">
        <v>1.44</v>
      </c>
      <c r="U875" t="s">
        <v>84</v>
      </c>
      <c r="V875" t="s">
        <v>144</v>
      </c>
      <c r="W875">
        <v>2.4</v>
      </c>
      <c r="X875" t="s">
        <v>84</v>
      </c>
      <c r="Y875" t="s">
        <v>99</v>
      </c>
      <c r="Z875" t="s">
        <v>813</v>
      </c>
      <c r="AA875" t="s">
        <v>128</v>
      </c>
      <c r="AB875" t="s">
        <v>115</v>
      </c>
      <c r="AC875">
        <v>735</v>
      </c>
      <c r="AD875" s="8" t="b">
        <f>AND(
 H875&gt;=Filters!$B$3,
 H875&lt;=Filters!$B$4,
 I875&gt;=Filters!$B$5,
 OR(Filters!$B$6="All",B875=Filters!$B$6),
 F875&gt;=Filters!$B$7,
 F875&lt;=Filters!$B$8,
 OR(Filters!$B$9="All",G875=Filters!$B$9)
)</f>
        <v>0</v>
      </c>
      <c r="AE875">
        <f t="shared" si="169"/>
        <v>6</v>
      </c>
      <c r="AF875">
        <f t="shared" si="170"/>
        <v>7</v>
      </c>
      <c r="AG875">
        <f t="shared" si="171"/>
        <v>7</v>
      </c>
      <c r="AH875" s="9" t="str">
        <f t="shared" si="172"/>
        <v/>
      </c>
      <c r="AI875" s="9" t="str">
        <f t="shared" si="173"/>
        <v/>
      </c>
      <c r="AJ875" s="9" t="str">
        <f t="shared" si="174"/>
        <v/>
      </c>
      <c r="AK875" s="9" t="str">
        <f t="shared" si="175"/>
        <v/>
      </c>
      <c r="AL875" s="9" t="str">
        <f t="shared" si="176"/>
        <v/>
      </c>
      <c r="AM875" s="9" t="str">
        <f t="shared" si="177"/>
        <v/>
      </c>
      <c r="AN875" s="9" t="str">
        <f t="shared" si="178"/>
        <v/>
      </c>
      <c r="AO875" s="9" t="str">
        <f t="shared" si="179"/>
        <v/>
      </c>
      <c r="AP875" s="9" t="str">
        <f t="shared" si="180"/>
        <v/>
      </c>
      <c r="AQ875" s="10" t="str">
        <f t="shared" si="181"/>
        <v/>
      </c>
    </row>
    <row r="876" spans="1:43">
      <c r="A876">
        <v>875</v>
      </c>
      <c r="B876" t="s">
        <v>34</v>
      </c>
      <c r="C876" t="s">
        <v>1131</v>
      </c>
      <c r="D876" t="s">
        <v>1132</v>
      </c>
      <c r="E876" t="s">
        <v>83</v>
      </c>
      <c r="G876" t="s">
        <v>18</v>
      </c>
      <c r="H876" s="4">
        <v>49923000</v>
      </c>
      <c r="I876" s="5">
        <v>256</v>
      </c>
      <c r="J876" s="5">
        <v>0</v>
      </c>
      <c r="K876" s="5">
        <v>16</v>
      </c>
      <c r="L876">
        <v>9.4</v>
      </c>
      <c r="M876">
        <v>6.5</v>
      </c>
      <c r="N876">
        <v>5.95</v>
      </c>
      <c r="O876" s="6">
        <v>15</v>
      </c>
      <c r="P876" s="7">
        <v>1.23</v>
      </c>
      <c r="U876" t="s">
        <v>84</v>
      </c>
      <c r="V876" t="s">
        <v>140</v>
      </c>
      <c r="W876">
        <v>2.7</v>
      </c>
      <c r="X876" t="s">
        <v>122</v>
      </c>
      <c r="Y876" t="s">
        <v>145</v>
      </c>
      <c r="Z876" t="s">
        <v>100</v>
      </c>
      <c r="AA876" t="s">
        <v>101</v>
      </c>
      <c r="AB876" t="s">
        <v>115</v>
      </c>
      <c r="AC876">
        <v>1849</v>
      </c>
      <c r="AD876" s="8" t="b">
        <f>AND(
 H876&gt;=Filters!$B$3,
 H876&lt;=Filters!$B$4,
 I876&gt;=Filters!$B$5,
 OR(Filters!$B$6="All",B876=Filters!$B$6),
 F876&gt;=Filters!$B$7,
 F876&lt;=Filters!$B$8,
 OR(Filters!$B$9="All",G876=Filters!$B$9)
)</f>
        <v>0</v>
      </c>
      <c r="AE876">
        <f t="shared" si="169"/>
        <v>6</v>
      </c>
      <c r="AF876">
        <f t="shared" si="170"/>
        <v>7</v>
      </c>
      <c r="AG876">
        <f t="shared" si="171"/>
        <v>7</v>
      </c>
      <c r="AH876" s="9" t="str">
        <f t="shared" si="172"/>
        <v/>
      </c>
      <c r="AI876" s="9" t="str">
        <f t="shared" si="173"/>
        <v/>
      </c>
      <c r="AJ876" s="9" t="str">
        <f t="shared" si="174"/>
        <v/>
      </c>
      <c r="AK876" s="9" t="str">
        <f t="shared" si="175"/>
        <v/>
      </c>
      <c r="AL876" s="9" t="str">
        <f t="shared" si="176"/>
        <v/>
      </c>
      <c r="AM876" s="9" t="str">
        <f t="shared" si="177"/>
        <v/>
      </c>
      <c r="AN876" s="9" t="str">
        <f t="shared" si="178"/>
        <v/>
      </c>
      <c r="AO876" s="9" t="str">
        <f t="shared" si="179"/>
        <v/>
      </c>
      <c r="AP876" s="9" t="str">
        <f t="shared" si="180"/>
        <v/>
      </c>
      <c r="AQ876" s="10" t="str">
        <f t="shared" si="181"/>
        <v/>
      </c>
    </row>
    <row r="877" spans="1:43">
      <c r="A877">
        <v>876</v>
      </c>
      <c r="B877" t="s">
        <v>23</v>
      </c>
      <c r="C877" t="s">
        <v>1152</v>
      </c>
      <c r="D877" t="s">
        <v>1153</v>
      </c>
      <c r="E877" t="s">
        <v>83</v>
      </c>
      <c r="G877" t="s">
        <v>18</v>
      </c>
      <c r="H877" s="4">
        <v>45630000</v>
      </c>
      <c r="I877" s="5">
        <v>256</v>
      </c>
      <c r="J877" s="5">
        <v>0</v>
      </c>
      <c r="K877" s="5">
        <v>8</v>
      </c>
      <c r="L877">
        <v>9.6</v>
      </c>
      <c r="M877">
        <v>3.5</v>
      </c>
      <c r="N877">
        <v>5.92</v>
      </c>
      <c r="O877" s="6">
        <v>12.5</v>
      </c>
      <c r="P877" s="7">
        <v>1.6</v>
      </c>
      <c r="U877" t="s">
        <v>84</v>
      </c>
      <c r="V877" t="s">
        <v>592</v>
      </c>
      <c r="W877">
        <v>2.8</v>
      </c>
      <c r="X877" t="s">
        <v>84</v>
      </c>
      <c r="Y877" t="s">
        <v>99</v>
      </c>
      <c r="Z877" t="s">
        <v>100</v>
      </c>
      <c r="AA877" t="s">
        <v>101</v>
      </c>
      <c r="AB877" t="s">
        <v>115</v>
      </c>
      <c r="AC877">
        <v>1690</v>
      </c>
      <c r="AD877" s="8" t="b">
        <f>AND(
 H877&gt;=Filters!$B$3,
 H877&lt;=Filters!$B$4,
 I877&gt;=Filters!$B$5,
 OR(Filters!$B$6="All",B877=Filters!$B$6),
 F877&gt;=Filters!$B$7,
 F877&lt;=Filters!$B$8,
 OR(Filters!$B$9="All",G877=Filters!$B$9)
)</f>
        <v>0</v>
      </c>
      <c r="AE877">
        <f t="shared" si="169"/>
        <v>6</v>
      </c>
      <c r="AF877">
        <f t="shared" si="170"/>
        <v>7</v>
      </c>
      <c r="AG877">
        <f t="shared" si="171"/>
        <v>7</v>
      </c>
      <c r="AH877" s="9" t="str">
        <f t="shared" si="172"/>
        <v/>
      </c>
      <c r="AI877" s="9" t="str">
        <f t="shared" si="173"/>
        <v/>
      </c>
      <c r="AJ877" s="9" t="str">
        <f t="shared" si="174"/>
        <v/>
      </c>
      <c r="AK877" s="9" t="str">
        <f t="shared" si="175"/>
        <v/>
      </c>
      <c r="AL877" s="9" t="str">
        <f t="shared" si="176"/>
        <v/>
      </c>
      <c r="AM877" s="9" t="str">
        <f t="shared" si="177"/>
        <v/>
      </c>
      <c r="AN877" s="9" t="str">
        <f t="shared" si="178"/>
        <v/>
      </c>
      <c r="AO877" s="9" t="str">
        <f t="shared" si="179"/>
        <v/>
      </c>
      <c r="AP877" s="9" t="str">
        <f t="shared" si="180"/>
        <v/>
      </c>
      <c r="AQ877" s="10" t="str">
        <f t="shared" si="181"/>
        <v/>
      </c>
    </row>
    <row r="878" spans="1:43">
      <c r="A878">
        <v>877</v>
      </c>
      <c r="B878" t="s">
        <v>21</v>
      </c>
      <c r="C878" t="s">
        <v>1267</v>
      </c>
      <c r="D878" t="s">
        <v>1268</v>
      </c>
      <c r="E878" t="s">
        <v>97</v>
      </c>
      <c r="G878" t="s">
        <v>18</v>
      </c>
      <c r="H878" s="4">
        <v>10772730</v>
      </c>
      <c r="I878" s="5">
        <v>0</v>
      </c>
      <c r="J878" s="5">
        <v>1024</v>
      </c>
      <c r="K878" s="5">
        <v>4</v>
      </c>
      <c r="L878">
        <v>1.2</v>
      </c>
      <c r="M878">
        <v>3.5</v>
      </c>
      <c r="N878">
        <v>3.92</v>
      </c>
      <c r="O878" s="6">
        <v>15.6</v>
      </c>
      <c r="P878" s="7">
        <v>2</v>
      </c>
      <c r="U878" t="s">
        <v>84</v>
      </c>
      <c r="V878" t="s">
        <v>229</v>
      </c>
      <c r="W878">
        <v>1.1000000000000001</v>
      </c>
      <c r="X878" t="s">
        <v>84</v>
      </c>
      <c r="Y878" t="s">
        <v>418</v>
      </c>
      <c r="Z878" t="s">
        <v>146</v>
      </c>
      <c r="AA878" t="s">
        <v>114</v>
      </c>
      <c r="AB878" t="s">
        <v>201</v>
      </c>
      <c r="AC878">
        <v>398.99</v>
      </c>
      <c r="AD878" s="8" t="b">
        <f>AND(
 H878&gt;=Filters!$B$3,
 H878&lt;=Filters!$B$4,
 I878&gt;=Filters!$B$5,
 OR(Filters!$B$6="All",B878=Filters!$B$6),
 F878&gt;=Filters!$B$7,
 F878&lt;=Filters!$B$8,
 OR(Filters!$B$9="All",G878=Filters!$B$9)
)</f>
        <v>0</v>
      </c>
      <c r="AE878">
        <f t="shared" si="169"/>
        <v>6</v>
      </c>
      <c r="AF878">
        <f t="shared" si="170"/>
        <v>7</v>
      </c>
      <c r="AG878">
        <f t="shared" si="171"/>
        <v>7</v>
      </c>
      <c r="AH878" s="9" t="str">
        <f t="shared" si="172"/>
        <v/>
      </c>
      <c r="AI878" s="9" t="str">
        <f t="shared" si="173"/>
        <v/>
      </c>
      <c r="AJ878" s="9" t="str">
        <f t="shared" si="174"/>
        <v/>
      </c>
      <c r="AK878" s="9" t="str">
        <f t="shared" si="175"/>
        <v/>
      </c>
      <c r="AL878" s="9" t="str">
        <f t="shared" si="176"/>
        <v/>
      </c>
      <c r="AM878" s="9" t="str">
        <f t="shared" si="177"/>
        <v/>
      </c>
      <c r="AN878" s="9" t="str">
        <f t="shared" si="178"/>
        <v/>
      </c>
      <c r="AO878" s="9" t="str">
        <f t="shared" si="179"/>
        <v/>
      </c>
      <c r="AP878" s="9" t="str">
        <f t="shared" si="180"/>
        <v/>
      </c>
      <c r="AQ878" s="10" t="str">
        <f t="shared" si="181"/>
        <v/>
      </c>
    </row>
    <row r="879" spans="1:43">
      <c r="A879">
        <v>878</v>
      </c>
      <c r="B879" t="s">
        <v>37</v>
      </c>
      <c r="C879" t="s">
        <v>449</v>
      </c>
      <c r="D879" t="s">
        <v>435</v>
      </c>
      <c r="E879" t="s">
        <v>83</v>
      </c>
      <c r="G879" t="s">
        <v>18</v>
      </c>
      <c r="H879" s="4">
        <v>25245000</v>
      </c>
      <c r="I879" s="5">
        <v>256</v>
      </c>
      <c r="J879" s="5">
        <v>0</v>
      </c>
      <c r="K879" s="5">
        <v>8</v>
      </c>
      <c r="L879">
        <v>6.6</v>
      </c>
      <c r="M879">
        <v>6.5</v>
      </c>
      <c r="N879">
        <v>6.37</v>
      </c>
      <c r="O879" s="6">
        <v>13.3</v>
      </c>
      <c r="P879" s="7">
        <v>1.28</v>
      </c>
      <c r="U879" t="s">
        <v>84</v>
      </c>
      <c r="V879" t="s">
        <v>375</v>
      </c>
      <c r="W879">
        <v>2.2999999999999998</v>
      </c>
      <c r="X879" t="s">
        <v>122</v>
      </c>
      <c r="Y879" t="s">
        <v>145</v>
      </c>
      <c r="Z879" t="s">
        <v>100</v>
      </c>
      <c r="AA879" t="s">
        <v>128</v>
      </c>
      <c r="AB879" t="s">
        <v>115</v>
      </c>
      <c r="AC879">
        <v>935</v>
      </c>
      <c r="AD879" s="8" t="b">
        <f>AND(
 H879&gt;=Filters!$B$3,
 H879&lt;=Filters!$B$4,
 I879&gt;=Filters!$B$5,
 OR(Filters!$B$6="All",B879=Filters!$B$6),
 F879&gt;=Filters!$B$7,
 F879&lt;=Filters!$B$8,
 OR(Filters!$B$9="All",G879=Filters!$B$9)
)</f>
        <v>0</v>
      </c>
      <c r="AE879">
        <f t="shared" si="169"/>
        <v>6</v>
      </c>
      <c r="AF879">
        <f t="shared" si="170"/>
        <v>7</v>
      </c>
      <c r="AG879">
        <f t="shared" si="171"/>
        <v>7</v>
      </c>
      <c r="AH879" s="9" t="str">
        <f t="shared" si="172"/>
        <v/>
      </c>
      <c r="AI879" s="9" t="str">
        <f t="shared" si="173"/>
        <v/>
      </c>
      <c r="AJ879" s="9" t="str">
        <f t="shared" si="174"/>
        <v/>
      </c>
      <c r="AK879" s="9" t="str">
        <f t="shared" si="175"/>
        <v/>
      </c>
      <c r="AL879" s="9" t="str">
        <f t="shared" si="176"/>
        <v/>
      </c>
      <c r="AM879" s="9" t="str">
        <f t="shared" si="177"/>
        <v/>
      </c>
      <c r="AN879" s="9" t="str">
        <f t="shared" si="178"/>
        <v/>
      </c>
      <c r="AO879" s="9" t="str">
        <f t="shared" si="179"/>
        <v/>
      </c>
      <c r="AP879" s="9" t="str">
        <f t="shared" si="180"/>
        <v/>
      </c>
      <c r="AQ879" s="10" t="str">
        <f t="shared" si="181"/>
        <v/>
      </c>
    </row>
    <row r="880" spans="1:43">
      <c r="A880">
        <v>879</v>
      </c>
      <c r="B880" t="s">
        <v>23</v>
      </c>
      <c r="C880" t="s">
        <v>853</v>
      </c>
      <c r="D880" t="s">
        <v>854</v>
      </c>
      <c r="E880" t="s">
        <v>97</v>
      </c>
      <c r="G880" t="s">
        <v>18</v>
      </c>
      <c r="H880" s="4">
        <v>24637500</v>
      </c>
      <c r="I880" s="5">
        <v>128</v>
      </c>
      <c r="J880" s="5">
        <v>1024</v>
      </c>
      <c r="K880" s="5">
        <v>4</v>
      </c>
      <c r="L880">
        <v>7</v>
      </c>
      <c r="M880">
        <v>6.5</v>
      </c>
      <c r="N880">
        <v>5.92</v>
      </c>
      <c r="O880" s="6">
        <v>15.6</v>
      </c>
      <c r="P880" s="7">
        <v>2.1800000000000002</v>
      </c>
      <c r="U880" t="s">
        <v>84</v>
      </c>
      <c r="V880" t="s">
        <v>98</v>
      </c>
      <c r="W880">
        <v>2.5</v>
      </c>
      <c r="X880" t="s">
        <v>122</v>
      </c>
      <c r="Y880" t="s">
        <v>145</v>
      </c>
      <c r="Z880" t="s">
        <v>161</v>
      </c>
      <c r="AA880" t="s">
        <v>101</v>
      </c>
      <c r="AB880" t="s">
        <v>115</v>
      </c>
      <c r="AC880">
        <v>912.5</v>
      </c>
      <c r="AD880" s="8" t="b">
        <f>AND(
 H880&gt;=Filters!$B$3,
 H880&lt;=Filters!$B$4,
 I880&gt;=Filters!$B$5,
 OR(Filters!$B$6="All",B880=Filters!$B$6),
 F880&gt;=Filters!$B$7,
 F880&lt;=Filters!$B$8,
 OR(Filters!$B$9="All",G880=Filters!$B$9)
)</f>
        <v>0</v>
      </c>
      <c r="AE880">
        <f t="shared" si="169"/>
        <v>6</v>
      </c>
      <c r="AF880">
        <f t="shared" si="170"/>
        <v>7</v>
      </c>
      <c r="AG880">
        <f t="shared" si="171"/>
        <v>7</v>
      </c>
      <c r="AH880" s="9" t="str">
        <f t="shared" si="172"/>
        <v/>
      </c>
      <c r="AI880" s="9" t="str">
        <f t="shared" si="173"/>
        <v/>
      </c>
      <c r="AJ880" s="9" t="str">
        <f t="shared" si="174"/>
        <v/>
      </c>
      <c r="AK880" s="9" t="str">
        <f t="shared" si="175"/>
        <v/>
      </c>
      <c r="AL880" s="9" t="str">
        <f t="shared" si="176"/>
        <v/>
      </c>
      <c r="AM880" s="9" t="str">
        <f t="shared" si="177"/>
        <v/>
      </c>
      <c r="AN880" s="9" t="str">
        <f t="shared" si="178"/>
        <v/>
      </c>
      <c r="AO880" s="9" t="str">
        <f t="shared" si="179"/>
        <v/>
      </c>
      <c r="AP880" s="9" t="str">
        <f t="shared" si="180"/>
        <v/>
      </c>
      <c r="AQ880" s="10" t="str">
        <f t="shared" si="181"/>
        <v/>
      </c>
    </row>
    <row r="881" spans="1:43">
      <c r="A881">
        <v>880</v>
      </c>
      <c r="B881" t="s">
        <v>26</v>
      </c>
      <c r="C881" t="s">
        <v>204</v>
      </c>
      <c r="D881" t="s">
        <v>205</v>
      </c>
      <c r="E881" t="s">
        <v>97</v>
      </c>
      <c r="G881" t="s">
        <v>18</v>
      </c>
      <c r="H881" s="4">
        <v>22653000</v>
      </c>
      <c r="I881" s="5">
        <v>256</v>
      </c>
      <c r="J881" s="5">
        <v>0</v>
      </c>
      <c r="K881" s="5">
        <v>4</v>
      </c>
      <c r="L881">
        <v>7</v>
      </c>
      <c r="M881">
        <v>3.5</v>
      </c>
      <c r="N881">
        <v>5.92</v>
      </c>
      <c r="O881" s="6">
        <v>15.6</v>
      </c>
      <c r="P881" s="7">
        <v>2.04</v>
      </c>
      <c r="U881" t="s">
        <v>84</v>
      </c>
      <c r="V881" t="s">
        <v>98</v>
      </c>
      <c r="W881">
        <v>2.5</v>
      </c>
      <c r="X881" t="s">
        <v>84</v>
      </c>
      <c r="Y881" t="s">
        <v>99</v>
      </c>
      <c r="Z881" t="s">
        <v>100</v>
      </c>
      <c r="AA881" t="s">
        <v>101</v>
      </c>
      <c r="AB881" t="s">
        <v>115</v>
      </c>
      <c r="AC881">
        <v>839</v>
      </c>
      <c r="AD881" s="8" t="b">
        <f>AND(
 H881&gt;=Filters!$B$3,
 H881&lt;=Filters!$B$4,
 I881&gt;=Filters!$B$5,
 OR(Filters!$B$6="All",B881=Filters!$B$6),
 F881&gt;=Filters!$B$7,
 F881&lt;=Filters!$B$8,
 OR(Filters!$B$9="All",G881=Filters!$B$9)
)</f>
        <v>1</v>
      </c>
      <c r="AE881">
        <f t="shared" si="169"/>
        <v>6</v>
      </c>
      <c r="AF881">
        <f t="shared" si="170"/>
        <v>7</v>
      </c>
      <c r="AG881">
        <f t="shared" si="171"/>
        <v>7</v>
      </c>
      <c r="AH881" s="9">
        <f t="shared" si="172"/>
        <v>0.69047619047619047</v>
      </c>
      <c r="AI881" s="9">
        <f t="shared" si="173"/>
        <v>0.33333333333333331</v>
      </c>
      <c r="AJ881" s="9">
        <f t="shared" si="174"/>
        <v>0.27380952380952378</v>
      </c>
      <c r="AK881" s="9">
        <f t="shared" si="175"/>
        <v>0.56190476190476191</v>
      </c>
      <c r="AL881" s="9">
        <f t="shared" si="176"/>
        <v>0.89999999999999991</v>
      </c>
      <c r="AM881" s="9">
        <f t="shared" si="177"/>
        <v>0.5714285714285714</v>
      </c>
      <c r="AN881" s="9">
        <f t="shared" si="178"/>
        <v>0.69047619047619047</v>
      </c>
      <c r="AO881" s="9">
        <f t="shared" si="179"/>
        <v>0.69047619047619047</v>
      </c>
      <c r="AP881" s="9">
        <f t="shared" si="180"/>
        <v>0.58137876958903234</v>
      </c>
      <c r="AQ881" s="10">
        <f t="shared" si="181"/>
        <v>0.58137965058903229</v>
      </c>
    </row>
    <row r="882" spans="1:43">
      <c r="A882">
        <v>881</v>
      </c>
      <c r="B882" t="s">
        <v>26</v>
      </c>
      <c r="C882" t="s">
        <v>590</v>
      </c>
      <c r="D882" t="s">
        <v>591</v>
      </c>
      <c r="E882" t="s">
        <v>168</v>
      </c>
      <c r="G882" t="s">
        <v>18</v>
      </c>
      <c r="H882" s="4">
        <v>45900000</v>
      </c>
      <c r="I882" s="5">
        <v>256</v>
      </c>
      <c r="J882" s="5">
        <v>0</v>
      </c>
      <c r="K882" s="5">
        <v>4</v>
      </c>
      <c r="L882">
        <v>7</v>
      </c>
      <c r="M882">
        <v>3.5</v>
      </c>
      <c r="N882">
        <v>6.26</v>
      </c>
      <c r="O882" s="6">
        <v>13.3</v>
      </c>
      <c r="P882" s="7">
        <v>1.28</v>
      </c>
      <c r="U882" t="s">
        <v>84</v>
      </c>
      <c r="V882" t="s">
        <v>98</v>
      </c>
      <c r="W882">
        <v>2.5</v>
      </c>
      <c r="X882" t="s">
        <v>84</v>
      </c>
      <c r="Y882" t="s">
        <v>99</v>
      </c>
      <c r="Z882" t="s">
        <v>100</v>
      </c>
      <c r="AA882" t="s">
        <v>169</v>
      </c>
      <c r="AB882" t="s">
        <v>115</v>
      </c>
      <c r="AC882">
        <v>1700</v>
      </c>
      <c r="AD882" s="8" t="b">
        <f>AND(
 H882&gt;=Filters!$B$3,
 H882&lt;=Filters!$B$4,
 I882&gt;=Filters!$B$5,
 OR(Filters!$B$6="All",B882=Filters!$B$6),
 F882&gt;=Filters!$B$7,
 F882&lt;=Filters!$B$8,
 OR(Filters!$B$9="All",G882=Filters!$B$9)
)</f>
        <v>0</v>
      </c>
      <c r="AE882">
        <f t="shared" si="169"/>
        <v>6</v>
      </c>
      <c r="AF882">
        <f t="shared" si="170"/>
        <v>7</v>
      </c>
      <c r="AG882">
        <f t="shared" si="171"/>
        <v>7</v>
      </c>
      <c r="AH882" s="9" t="str">
        <f t="shared" si="172"/>
        <v/>
      </c>
      <c r="AI882" s="9" t="str">
        <f t="shared" si="173"/>
        <v/>
      </c>
      <c r="AJ882" s="9" t="str">
        <f t="shared" si="174"/>
        <v/>
      </c>
      <c r="AK882" s="9" t="str">
        <f t="shared" si="175"/>
        <v/>
      </c>
      <c r="AL882" s="9" t="str">
        <f t="shared" si="176"/>
        <v/>
      </c>
      <c r="AM882" s="9" t="str">
        <f t="shared" si="177"/>
        <v/>
      </c>
      <c r="AN882" s="9" t="str">
        <f t="shared" si="178"/>
        <v/>
      </c>
      <c r="AO882" s="9" t="str">
        <f t="shared" si="179"/>
        <v/>
      </c>
      <c r="AP882" s="9" t="str">
        <f t="shared" si="180"/>
        <v/>
      </c>
      <c r="AQ882" s="10" t="str">
        <f t="shared" si="181"/>
        <v/>
      </c>
    </row>
    <row r="883" spans="1:43">
      <c r="A883">
        <v>882</v>
      </c>
      <c r="B883" t="s">
        <v>26</v>
      </c>
      <c r="C883" t="s">
        <v>1269</v>
      </c>
      <c r="D883" t="s">
        <v>1270</v>
      </c>
      <c r="E883" t="s">
        <v>168</v>
      </c>
      <c r="G883" t="s">
        <v>18</v>
      </c>
      <c r="H883" s="4">
        <v>18489600</v>
      </c>
      <c r="I883" s="5">
        <v>0</v>
      </c>
      <c r="J883" s="5">
        <v>500</v>
      </c>
      <c r="K883" s="5">
        <v>4</v>
      </c>
      <c r="L883">
        <v>7</v>
      </c>
      <c r="M883">
        <v>3.5</v>
      </c>
      <c r="N883">
        <v>4.22</v>
      </c>
      <c r="O883" s="6">
        <v>15.6</v>
      </c>
      <c r="P883" s="7">
        <v>2.2999999999999998</v>
      </c>
      <c r="U883" t="s">
        <v>84</v>
      </c>
      <c r="V883" t="s">
        <v>98</v>
      </c>
      <c r="W883">
        <v>2.5</v>
      </c>
      <c r="X883" t="s">
        <v>84</v>
      </c>
      <c r="Y883" t="s">
        <v>99</v>
      </c>
      <c r="Z883" t="s">
        <v>113</v>
      </c>
      <c r="AA883" t="s">
        <v>472</v>
      </c>
      <c r="AB883" t="s">
        <v>115</v>
      </c>
      <c r="AC883">
        <v>684.8</v>
      </c>
      <c r="AD883" s="8" t="b">
        <f>AND(
 H883&gt;=Filters!$B$3,
 H883&lt;=Filters!$B$4,
 I883&gt;=Filters!$B$5,
 OR(Filters!$B$6="All",B883=Filters!$B$6),
 F883&gt;=Filters!$B$7,
 F883&lt;=Filters!$B$8,
 OR(Filters!$B$9="All",G883=Filters!$B$9)
)</f>
        <v>0</v>
      </c>
      <c r="AE883">
        <f t="shared" si="169"/>
        <v>6</v>
      </c>
      <c r="AF883">
        <f t="shared" si="170"/>
        <v>7</v>
      </c>
      <c r="AG883">
        <f t="shared" si="171"/>
        <v>7</v>
      </c>
      <c r="AH883" s="9" t="str">
        <f t="shared" si="172"/>
        <v/>
      </c>
      <c r="AI883" s="9" t="str">
        <f t="shared" si="173"/>
        <v/>
      </c>
      <c r="AJ883" s="9" t="str">
        <f t="shared" si="174"/>
        <v/>
      </c>
      <c r="AK883" s="9" t="str">
        <f t="shared" si="175"/>
        <v/>
      </c>
      <c r="AL883" s="9" t="str">
        <f t="shared" si="176"/>
        <v/>
      </c>
      <c r="AM883" s="9" t="str">
        <f t="shared" si="177"/>
        <v/>
      </c>
      <c r="AN883" s="9" t="str">
        <f t="shared" si="178"/>
        <v/>
      </c>
      <c r="AO883" s="9" t="str">
        <f t="shared" si="179"/>
        <v/>
      </c>
      <c r="AP883" s="9" t="str">
        <f t="shared" si="180"/>
        <v/>
      </c>
      <c r="AQ883" s="10" t="str">
        <f t="shared" si="181"/>
        <v/>
      </c>
    </row>
    <row r="884" spans="1:43">
      <c r="A884">
        <v>883</v>
      </c>
      <c r="B884" t="s">
        <v>21</v>
      </c>
      <c r="C884" t="s">
        <v>1271</v>
      </c>
      <c r="D884" t="s">
        <v>1272</v>
      </c>
      <c r="E884" t="s">
        <v>97</v>
      </c>
      <c r="G884" t="s">
        <v>18</v>
      </c>
      <c r="H884" s="4">
        <v>9396000</v>
      </c>
      <c r="I884" s="5">
        <v>32</v>
      </c>
      <c r="J884" s="5">
        <v>0</v>
      </c>
      <c r="K884" s="5">
        <v>4</v>
      </c>
      <c r="L884">
        <v>1</v>
      </c>
      <c r="M884">
        <v>3.5</v>
      </c>
      <c r="N884">
        <v>4</v>
      </c>
      <c r="O884" s="6">
        <v>14.1</v>
      </c>
      <c r="P884" s="7">
        <v>1.65</v>
      </c>
      <c r="U884" t="s">
        <v>84</v>
      </c>
      <c r="V884" t="s">
        <v>198</v>
      </c>
      <c r="W884">
        <v>1.1000000000000001</v>
      </c>
      <c r="X884" t="s">
        <v>84</v>
      </c>
      <c r="Y884" t="s">
        <v>199</v>
      </c>
      <c r="Z884" t="s">
        <v>155</v>
      </c>
      <c r="AA884" t="s">
        <v>114</v>
      </c>
      <c r="AB884" t="s">
        <v>115</v>
      </c>
      <c r="AC884">
        <v>348</v>
      </c>
      <c r="AD884" s="8" t="b">
        <f>AND(
 H884&gt;=Filters!$B$3,
 H884&lt;=Filters!$B$4,
 I884&gt;=Filters!$B$5,
 OR(Filters!$B$6="All",B884=Filters!$B$6),
 F884&gt;=Filters!$B$7,
 F884&lt;=Filters!$B$8,
 OR(Filters!$B$9="All",G884=Filters!$B$9)
)</f>
        <v>0</v>
      </c>
      <c r="AE884">
        <f t="shared" si="169"/>
        <v>6</v>
      </c>
      <c r="AF884">
        <f t="shared" si="170"/>
        <v>7</v>
      </c>
      <c r="AG884">
        <f t="shared" si="171"/>
        <v>7</v>
      </c>
      <c r="AH884" s="9" t="str">
        <f t="shared" si="172"/>
        <v/>
      </c>
      <c r="AI884" s="9" t="str">
        <f t="shared" si="173"/>
        <v/>
      </c>
      <c r="AJ884" s="9" t="str">
        <f t="shared" si="174"/>
        <v/>
      </c>
      <c r="AK884" s="9" t="str">
        <f t="shared" si="175"/>
        <v/>
      </c>
      <c r="AL884" s="9" t="str">
        <f t="shared" si="176"/>
        <v/>
      </c>
      <c r="AM884" s="9" t="str">
        <f t="shared" si="177"/>
        <v/>
      </c>
      <c r="AN884" s="9" t="str">
        <f t="shared" si="178"/>
        <v/>
      </c>
      <c r="AO884" s="9" t="str">
        <f t="shared" si="179"/>
        <v/>
      </c>
      <c r="AP884" s="9" t="str">
        <f t="shared" si="180"/>
        <v/>
      </c>
      <c r="AQ884" s="10" t="str">
        <f t="shared" si="181"/>
        <v/>
      </c>
    </row>
    <row r="885" spans="1:43">
      <c r="A885">
        <v>884</v>
      </c>
      <c r="B885" t="s">
        <v>29</v>
      </c>
      <c r="C885" t="s">
        <v>1273</v>
      </c>
      <c r="D885" t="s">
        <v>1274</v>
      </c>
      <c r="E885" t="s">
        <v>97</v>
      </c>
      <c r="G885" t="s">
        <v>18</v>
      </c>
      <c r="H885" s="4">
        <v>18063000</v>
      </c>
      <c r="I885" s="5">
        <v>0</v>
      </c>
      <c r="J885" s="5">
        <v>1024</v>
      </c>
      <c r="K885" s="5">
        <v>8</v>
      </c>
      <c r="L885">
        <v>9</v>
      </c>
      <c r="M885">
        <v>6.5</v>
      </c>
      <c r="N885">
        <v>6.32</v>
      </c>
      <c r="O885" s="6">
        <v>15.6</v>
      </c>
      <c r="P885" s="7">
        <v>2.2000000000000002</v>
      </c>
      <c r="U885" t="s">
        <v>84</v>
      </c>
      <c r="V885" t="s">
        <v>485</v>
      </c>
      <c r="W885">
        <v>2.5</v>
      </c>
      <c r="X885" t="s">
        <v>122</v>
      </c>
      <c r="Y885" t="s">
        <v>145</v>
      </c>
      <c r="Z885" t="s">
        <v>146</v>
      </c>
      <c r="AA885" t="s">
        <v>128</v>
      </c>
      <c r="AB885" t="s">
        <v>115</v>
      </c>
      <c r="AC885">
        <v>669</v>
      </c>
      <c r="AD885" s="8" t="b">
        <f>AND(
 H885&gt;=Filters!$B$3,
 H885&lt;=Filters!$B$4,
 I885&gt;=Filters!$B$5,
 OR(Filters!$B$6="All",B885=Filters!$B$6),
 F885&gt;=Filters!$B$7,
 F885&lt;=Filters!$B$8,
 OR(Filters!$B$9="All",G885=Filters!$B$9)
)</f>
        <v>0</v>
      </c>
      <c r="AE885">
        <f t="shared" si="169"/>
        <v>6</v>
      </c>
      <c r="AF885">
        <f t="shared" si="170"/>
        <v>7</v>
      </c>
      <c r="AG885">
        <f t="shared" si="171"/>
        <v>7</v>
      </c>
      <c r="AH885" s="9" t="str">
        <f t="shared" si="172"/>
        <v/>
      </c>
      <c r="AI885" s="9" t="str">
        <f t="shared" si="173"/>
        <v/>
      </c>
      <c r="AJ885" s="9" t="str">
        <f t="shared" si="174"/>
        <v/>
      </c>
      <c r="AK885" s="9" t="str">
        <f t="shared" si="175"/>
        <v/>
      </c>
      <c r="AL885" s="9" t="str">
        <f t="shared" si="176"/>
        <v/>
      </c>
      <c r="AM885" s="9" t="str">
        <f t="shared" si="177"/>
        <v/>
      </c>
      <c r="AN885" s="9" t="str">
        <f t="shared" si="178"/>
        <v/>
      </c>
      <c r="AO885" s="9" t="str">
        <f t="shared" si="179"/>
        <v/>
      </c>
      <c r="AP885" s="9" t="str">
        <f t="shared" si="180"/>
        <v/>
      </c>
      <c r="AQ885" s="10" t="str">
        <f t="shared" si="181"/>
        <v/>
      </c>
    </row>
    <row r="886" spans="1:43">
      <c r="A886">
        <v>885</v>
      </c>
      <c r="B886" t="s">
        <v>23</v>
      </c>
      <c r="C886" t="s">
        <v>639</v>
      </c>
      <c r="D886" t="s">
        <v>640</v>
      </c>
      <c r="E886" t="s">
        <v>97</v>
      </c>
      <c r="G886" t="s">
        <v>18</v>
      </c>
      <c r="H886" s="4">
        <v>9963000</v>
      </c>
      <c r="I886" s="5">
        <v>0</v>
      </c>
      <c r="J886" s="5">
        <v>500</v>
      </c>
      <c r="K886" s="5">
        <v>4</v>
      </c>
      <c r="L886">
        <v>2.2000000000000002</v>
      </c>
      <c r="M886">
        <v>3.5</v>
      </c>
      <c r="N886">
        <v>3.92</v>
      </c>
      <c r="O886" s="6">
        <v>15.6</v>
      </c>
      <c r="P886" s="7">
        <v>2.2000000000000002</v>
      </c>
      <c r="U886" t="s">
        <v>84</v>
      </c>
      <c r="V886" t="s">
        <v>611</v>
      </c>
      <c r="W886">
        <v>1.6</v>
      </c>
      <c r="X886" t="s">
        <v>84</v>
      </c>
      <c r="Y886" t="s">
        <v>187</v>
      </c>
      <c r="Z886" t="s">
        <v>113</v>
      </c>
      <c r="AA886" t="s">
        <v>114</v>
      </c>
      <c r="AB886" t="s">
        <v>115</v>
      </c>
      <c r="AC886">
        <v>369</v>
      </c>
      <c r="AD886" s="8" t="b">
        <f>AND(
 H886&gt;=Filters!$B$3,
 H886&lt;=Filters!$B$4,
 I886&gt;=Filters!$B$5,
 OR(Filters!$B$6="All",B886=Filters!$B$6),
 F886&gt;=Filters!$B$7,
 F886&lt;=Filters!$B$8,
 OR(Filters!$B$9="All",G886=Filters!$B$9)
)</f>
        <v>0</v>
      </c>
      <c r="AE886">
        <f t="shared" si="169"/>
        <v>6</v>
      </c>
      <c r="AF886">
        <f t="shared" si="170"/>
        <v>7</v>
      </c>
      <c r="AG886">
        <f t="shared" si="171"/>
        <v>7</v>
      </c>
      <c r="AH886" s="9" t="str">
        <f t="shared" si="172"/>
        <v/>
      </c>
      <c r="AI886" s="9" t="str">
        <f t="shared" si="173"/>
        <v/>
      </c>
      <c r="AJ886" s="9" t="str">
        <f t="shared" si="174"/>
        <v/>
      </c>
      <c r="AK886" s="9" t="str">
        <f t="shared" si="175"/>
        <v/>
      </c>
      <c r="AL886" s="9" t="str">
        <f t="shared" si="176"/>
        <v/>
      </c>
      <c r="AM886" s="9" t="str">
        <f t="shared" si="177"/>
        <v/>
      </c>
      <c r="AN886" s="9" t="str">
        <f t="shared" si="178"/>
        <v/>
      </c>
      <c r="AO886" s="9" t="str">
        <f t="shared" si="179"/>
        <v/>
      </c>
      <c r="AP886" s="9" t="str">
        <f t="shared" si="180"/>
        <v/>
      </c>
      <c r="AQ886" s="10" t="str">
        <f t="shared" si="181"/>
        <v/>
      </c>
    </row>
    <row r="887" spans="1:43">
      <c r="A887">
        <v>886</v>
      </c>
      <c r="B887" t="s">
        <v>26</v>
      </c>
      <c r="C887" t="s">
        <v>590</v>
      </c>
      <c r="D887" t="s">
        <v>591</v>
      </c>
      <c r="E887" t="s">
        <v>168</v>
      </c>
      <c r="G887" t="s">
        <v>18</v>
      </c>
      <c r="H887" s="4">
        <v>48573000</v>
      </c>
      <c r="I887" s="5">
        <v>256</v>
      </c>
      <c r="J887" s="5">
        <v>0</v>
      </c>
      <c r="K887" s="5">
        <v>4</v>
      </c>
      <c r="L887">
        <v>7</v>
      </c>
      <c r="M887">
        <v>3.5</v>
      </c>
      <c r="N887">
        <v>6.26</v>
      </c>
      <c r="O887" s="6">
        <v>13.3</v>
      </c>
      <c r="P887" s="7">
        <v>1.28</v>
      </c>
      <c r="U887" t="s">
        <v>84</v>
      </c>
      <c r="V887" t="s">
        <v>98</v>
      </c>
      <c r="W887">
        <v>2.5</v>
      </c>
      <c r="X887" t="s">
        <v>84</v>
      </c>
      <c r="Y887" t="s">
        <v>99</v>
      </c>
      <c r="Z887" t="s">
        <v>100</v>
      </c>
      <c r="AA887" t="s">
        <v>169</v>
      </c>
      <c r="AB887" t="s">
        <v>115</v>
      </c>
      <c r="AC887">
        <v>1799</v>
      </c>
      <c r="AD887" s="8" t="b">
        <f>AND(
 H887&gt;=Filters!$B$3,
 H887&lt;=Filters!$B$4,
 I887&gt;=Filters!$B$5,
 OR(Filters!$B$6="All",B887=Filters!$B$6),
 F887&gt;=Filters!$B$7,
 F887&lt;=Filters!$B$8,
 OR(Filters!$B$9="All",G887=Filters!$B$9)
)</f>
        <v>0</v>
      </c>
      <c r="AE887">
        <f t="shared" si="169"/>
        <v>6</v>
      </c>
      <c r="AF887">
        <f t="shared" si="170"/>
        <v>7</v>
      </c>
      <c r="AG887">
        <f t="shared" si="171"/>
        <v>7</v>
      </c>
      <c r="AH887" s="9" t="str">
        <f t="shared" si="172"/>
        <v/>
      </c>
      <c r="AI887" s="9" t="str">
        <f t="shared" si="173"/>
        <v/>
      </c>
      <c r="AJ887" s="9" t="str">
        <f t="shared" si="174"/>
        <v/>
      </c>
      <c r="AK887" s="9" t="str">
        <f t="shared" si="175"/>
        <v/>
      </c>
      <c r="AL887" s="9" t="str">
        <f t="shared" si="176"/>
        <v/>
      </c>
      <c r="AM887" s="9" t="str">
        <f t="shared" si="177"/>
        <v/>
      </c>
      <c r="AN887" s="9" t="str">
        <f t="shared" si="178"/>
        <v/>
      </c>
      <c r="AO887" s="9" t="str">
        <f t="shared" si="179"/>
        <v/>
      </c>
      <c r="AP887" s="9" t="str">
        <f t="shared" si="180"/>
        <v/>
      </c>
      <c r="AQ887" s="10" t="str">
        <f t="shared" si="181"/>
        <v/>
      </c>
    </row>
    <row r="888" spans="1:43">
      <c r="A888">
        <v>887</v>
      </c>
      <c r="B888" t="s">
        <v>23</v>
      </c>
      <c r="C888" t="s">
        <v>540</v>
      </c>
      <c r="D888" t="s">
        <v>541</v>
      </c>
      <c r="E888" t="s">
        <v>97</v>
      </c>
      <c r="G888" t="s">
        <v>18</v>
      </c>
      <c r="H888" s="4">
        <v>12303900</v>
      </c>
      <c r="I888" s="5">
        <v>0</v>
      </c>
      <c r="J888" s="5">
        <v>1024</v>
      </c>
      <c r="K888" s="5">
        <v>4</v>
      </c>
      <c r="L888">
        <v>4</v>
      </c>
      <c r="M888">
        <v>6.5</v>
      </c>
      <c r="N888">
        <v>3.92</v>
      </c>
      <c r="O888" s="6">
        <v>15.6</v>
      </c>
      <c r="P888" s="7">
        <v>2.1800000000000002</v>
      </c>
      <c r="U888" t="s">
        <v>84</v>
      </c>
      <c r="V888" t="s">
        <v>129</v>
      </c>
      <c r="W888">
        <v>2</v>
      </c>
      <c r="X888" t="s">
        <v>104</v>
      </c>
      <c r="Y888" t="s">
        <v>1202</v>
      </c>
      <c r="Z888" t="s">
        <v>146</v>
      </c>
      <c r="AA888" t="s">
        <v>114</v>
      </c>
      <c r="AB888" t="s">
        <v>201</v>
      </c>
      <c r="AC888">
        <v>455.7</v>
      </c>
      <c r="AD888" s="8" t="b">
        <f>AND(
 H888&gt;=Filters!$B$3,
 H888&lt;=Filters!$B$4,
 I888&gt;=Filters!$B$5,
 OR(Filters!$B$6="All",B888=Filters!$B$6),
 F888&gt;=Filters!$B$7,
 F888&lt;=Filters!$B$8,
 OR(Filters!$B$9="All",G888=Filters!$B$9)
)</f>
        <v>0</v>
      </c>
      <c r="AE888">
        <f t="shared" si="169"/>
        <v>6</v>
      </c>
      <c r="AF888">
        <f t="shared" si="170"/>
        <v>7</v>
      </c>
      <c r="AG888">
        <f t="shared" si="171"/>
        <v>7</v>
      </c>
      <c r="AH888" s="9" t="str">
        <f t="shared" si="172"/>
        <v/>
      </c>
      <c r="AI888" s="9" t="str">
        <f t="shared" si="173"/>
        <v/>
      </c>
      <c r="AJ888" s="9" t="str">
        <f t="shared" si="174"/>
        <v/>
      </c>
      <c r="AK888" s="9" t="str">
        <f t="shared" si="175"/>
        <v/>
      </c>
      <c r="AL888" s="9" t="str">
        <f t="shared" si="176"/>
        <v/>
      </c>
      <c r="AM888" s="9" t="str">
        <f t="shared" si="177"/>
        <v/>
      </c>
      <c r="AN888" s="9" t="str">
        <f t="shared" si="178"/>
        <v/>
      </c>
      <c r="AO888" s="9" t="str">
        <f t="shared" si="179"/>
        <v/>
      </c>
      <c r="AP888" s="9" t="str">
        <f t="shared" si="180"/>
        <v/>
      </c>
      <c r="AQ888" s="10" t="str">
        <f t="shared" si="181"/>
        <v/>
      </c>
    </row>
    <row r="889" spans="1:43">
      <c r="A889">
        <v>888</v>
      </c>
      <c r="B889" t="s">
        <v>21</v>
      </c>
      <c r="C889" t="s">
        <v>1275</v>
      </c>
      <c r="D889" t="s">
        <v>1276</v>
      </c>
      <c r="E889" t="s">
        <v>158</v>
      </c>
      <c r="G889" t="s">
        <v>18</v>
      </c>
      <c r="H889" s="4">
        <v>36987300</v>
      </c>
      <c r="I889" s="5">
        <v>128</v>
      </c>
      <c r="J889" s="5">
        <v>1024</v>
      </c>
      <c r="K889" s="5">
        <v>12</v>
      </c>
      <c r="L889">
        <v>7</v>
      </c>
      <c r="M889">
        <v>9.1999999999999993</v>
      </c>
      <c r="N889">
        <v>5.83</v>
      </c>
      <c r="O889" s="6">
        <v>17.3</v>
      </c>
      <c r="P889" s="7">
        <v>2.2000000000000002</v>
      </c>
      <c r="U889" t="s">
        <v>84</v>
      </c>
      <c r="V889" t="s">
        <v>159</v>
      </c>
      <c r="W889">
        <v>2.5</v>
      </c>
      <c r="X889" t="s">
        <v>122</v>
      </c>
      <c r="Y889" t="s">
        <v>160</v>
      </c>
      <c r="Z889" t="s">
        <v>161</v>
      </c>
      <c r="AA889" t="s">
        <v>101</v>
      </c>
      <c r="AB889" t="s">
        <v>115</v>
      </c>
      <c r="AC889">
        <v>1369.9</v>
      </c>
      <c r="AD889" s="8" t="b">
        <f>AND(
 H889&gt;=Filters!$B$3,
 H889&lt;=Filters!$B$4,
 I889&gt;=Filters!$B$5,
 OR(Filters!$B$6="All",B889=Filters!$B$6),
 F889&gt;=Filters!$B$7,
 F889&lt;=Filters!$B$8,
 OR(Filters!$B$9="All",G889=Filters!$B$9)
)</f>
        <v>0</v>
      </c>
      <c r="AE889">
        <f t="shared" si="169"/>
        <v>6</v>
      </c>
      <c r="AF889">
        <f t="shared" si="170"/>
        <v>7</v>
      </c>
      <c r="AG889">
        <f t="shared" si="171"/>
        <v>7</v>
      </c>
      <c r="AH889" s="9" t="str">
        <f t="shared" si="172"/>
        <v/>
      </c>
      <c r="AI889" s="9" t="str">
        <f t="shared" si="173"/>
        <v/>
      </c>
      <c r="AJ889" s="9" t="str">
        <f t="shared" si="174"/>
        <v/>
      </c>
      <c r="AK889" s="9" t="str">
        <f t="shared" si="175"/>
        <v/>
      </c>
      <c r="AL889" s="9" t="str">
        <f t="shared" si="176"/>
        <v/>
      </c>
      <c r="AM889" s="9" t="str">
        <f t="shared" si="177"/>
        <v/>
      </c>
      <c r="AN889" s="9" t="str">
        <f t="shared" si="178"/>
        <v/>
      </c>
      <c r="AO889" s="9" t="str">
        <f t="shared" si="179"/>
        <v/>
      </c>
      <c r="AP889" s="9" t="str">
        <f t="shared" si="180"/>
        <v/>
      </c>
      <c r="AQ889" s="10" t="str">
        <f t="shared" si="181"/>
        <v/>
      </c>
    </row>
    <row r="890" spans="1:43">
      <c r="A890">
        <v>889</v>
      </c>
      <c r="B890" t="s">
        <v>17</v>
      </c>
      <c r="C890" t="s">
        <v>1277</v>
      </c>
      <c r="D890" t="s">
        <v>1278</v>
      </c>
      <c r="E890" t="s">
        <v>152</v>
      </c>
      <c r="G890" t="s">
        <v>18</v>
      </c>
      <c r="H890" s="4">
        <v>8019000</v>
      </c>
      <c r="I890" s="5">
        <v>32</v>
      </c>
      <c r="J890" s="5">
        <v>0</v>
      </c>
      <c r="K890" s="5">
        <v>4</v>
      </c>
      <c r="L890">
        <v>1.2</v>
      </c>
      <c r="M890">
        <v>3.5</v>
      </c>
      <c r="N890">
        <v>4.28</v>
      </c>
      <c r="O890" s="6">
        <v>11.6</v>
      </c>
      <c r="P890" s="7">
        <v>1.25</v>
      </c>
      <c r="U890" t="s">
        <v>84</v>
      </c>
      <c r="V890" t="s">
        <v>263</v>
      </c>
      <c r="W890">
        <v>1.6</v>
      </c>
      <c r="X890" t="s">
        <v>84</v>
      </c>
      <c r="Y890" t="s">
        <v>154</v>
      </c>
      <c r="Z890" t="s">
        <v>155</v>
      </c>
      <c r="AA890" t="s">
        <v>338</v>
      </c>
      <c r="AB890" t="s">
        <v>563</v>
      </c>
      <c r="AC890">
        <v>297</v>
      </c>
      <c r="AD890" s="8" t="b">
        <f>AND(
 H890&gt;=Filters!$B$3,
 H890&lt;=Filters!$B$4,
 I890&gt;=Filters!$B$5,
 OR(Filters!$B$6="All",B890=Filters!$B$6),
 F890&gt;=Filters!$B$7,
 F890&lt;=Filters!$B$8,
 OR(Filters!$B$9="All",G890=Filters!$B$9)
)</f>
        <v>0</v>
      </c>
      <c r="AE890">
        <f t="shared" si="169"/>
        <v>6</v>
      </c>
      <c r="AF890">
        <f t="shared" si="170"/>
        <v>7</v>
      </c>
      <c r="AG890">
        <f t="shared" si="171"/>
        <v>7</v>
      </c>
      <c r="AH890" s="9" t="str">
        <f t="shared" si="172"/>
        <v/>
      </c>
      <c r="AI890" s="9" t="str">
        <f t="shared" si="173"/>
        <v/>
      </c>
      <c r="AJ890" s="9" t="str">
        <f t="shared" si="174"/>
        <v/>
      </c>
      <c r="AK890" s="9" t="str">
        <f t="shared" si="175"/>
        <v/>
      </c>
      <c r="AL890" s="9" t="str">
        <f t="shared" si="176"/>
        <v/>
      </c>
      <c r="AM890" s="9" t="str">
        <f t="shared" si="177"/>
        <v/>
      </c>
      <c r="AN890" s="9" t="str">
        <f t="shared" si="178"/>
        <v/>
      </c>
      <c r="AO890" s="9" t="str">
        <f t="shared" si="179"/>
        <v/>
      </c>
      <c r="AP890" s="9" t="str">
        <f t="shared" si="180"/>
        <v/>
      </c>
      <c r="AQ890" s="10" t="str">
        <f t="shared" si="181"/>
        <v/>
      </c>
    </row>
    <row r="891" spans="1:43">
      <c r="A891">
        <v>890</v>
      </c>
      <c r="B891" t="s">
        <v>29</v>
      </c>
      <c r="C891" t="s">
        <v>663</v>
      </c>
      <c r="D891" t="s">
        <v>664</v>
      </c>
      <c r="E891" t="s">
        <v>97</v>
      </c>
      <c r="G891" t="s">
        <v>18</v>
      </c>
      <c r="H891" s="4">
        <v>10233000</v>
      </c>
      <c r="I891" s="5">
        <v>0</v>
      </c>
      <c r="J891" s="5">
        <v>500</v>
      </c>
      <c r="K891" s="5">
        <v>4</v>
      </c>
      <c r="L891">
        <v>5.4</v>
      </c>
      <c r="M891">
        <v>6.5</v>
      </c>
      <c r="N891">
        <v>5.83</v>
      </c>
      <c r="O891" s="6">
        <v>17.3</v>
      </c>
      <c r="P891" s="7">
        <v>2.8</v>
      </c>
      <c r="U891" t="s">
        <v>104</v>
      </c>
      <c r="V891" t="s">
        <v>1279</v>
      </c>
      <c r="W891">
        <v>2.2000000000000002</v>
      </c>
      <c r="X891" t="s">
        <v>104</v>
      </c>
      <c r="Y891" t="s">
        <v>1280</v>
      </c>
      <c r="Z891" t="s">
        <v>113</v>
      </c>
      <c r="AA891" t="s">
        <v>452</v>
      </c>
      <c r="AB891" t="s">
        <v>115</v>
      </c>
      <c r="AC891">
        <v>379</v>
      </c>
      <c r="AD891" s="8" t="b">
        <f>AND(
 H891&gt;=Filters!$B$3,
 H891&lt;=Filters!$B$4,
 I891&gt;=Filters!$B$5,
 OR(Filters!$B$6="All",B891=Filters!$B$6),
 F891&gt;=Filters!$B$7,
 F891&lt;=Filters!$B$8,
 OR(Filters!$B$9="All",G891=Filters!$B$9)
)</f>
        <v>0</v>
      </c>
      <c r="AE891">
        <f t="shared" si="169"/>
        <v>6</v>
      </c>
      <c r="AF891">
        <f t="shared" si="170"/>
        <v>7</v>
      </c>
      <c r="AG891">
        <f t="shared" si="171"/>
        <v>7</v>
      </c>
      <c r="AH891" s="9" t="str">
        <f t="shared" si="172"/>
        <v/>
      </c>
      <c r="AI891" s="9" t="str">
        <f t="shared" si="173"/>
        <v/>
      </c>
      <c r="AJ891" s="9" t="str">
        <f t="shared" si="174"/>
        <v/>
      </c>
      <c r="AK891" s="9" t="str">
        <f t="shared" si="175"/>
        <v/>
      </c>
      <c r="AL891" s="9" t="str">
        <f t="shared" si="176"/>
        <v/>
      </c>
      <c r="AM891" s="9" t="str">
        <f t="shared" si="177"/>
        <v/>
      </c>
      <c r="AN891" s="9" t="str">
        <f t="shared" si="178"/>
        <v/>
      </c>
      <c r="AO891" s="9" t="str">
        <f t="shared" si="179"/>
        <v/>
      </c>
      <c r="AP891" s="9" t="str">
        <f t="shared" si="180"/>
        <v/>
      </c>
      <c r="AQ891" s="10" t="str">
        <f t="shared" si="181"/>
        <v/>
      </c>
    </row>
    <row r="892" spans="1:43">
      <c r="A892">
        <v>891</v>
      </c>
      <c r="B892" t="s">
        <v>26</v>
      </c>
      <c r="C892" t="s">
        <v>1281</v>
      </c>
      <c r="D892" t="s">
        <v>1282</v>
      </c>
      <c r="E892" t="s">
        <v>97</v>
      </c>
      <c r="G892" t="s">
        <v>18</v>
      </c>
      <c r="H892" s="4">
        <v>34155000</v>
      </c>
      <c r="I892" s="5">
        <v>128</v>
      </c>
      <c r="J892" s="5">
        <v>0</v>
      </c>
      <c r="K892" s="5">
        <v>4</v>
      </c>
      <c r="L892">
        <v>7</v>
      </c>
      <c r="M892">
        <v>3.5</v>
      </c>
      <c r="N892">
        <v>6</v>
      </c>
      <c r="O892" s="6">
        <v>14</v>
      </c>
      <c r="P892" s="7">
        <v>1.95</v>
      </c>
      <c r="U892" t="s">
        <v>84</v>
      </c>
      <c r="V892" t="s">
        <v>98</v>
      </c>
      <c r="W892">
        <v>2.5</v>
      </c>
      <c r="X892" t="s">
        <v>84</v>
      </c>
      <c r="Y892" t="s">
        <v>99</v>
      </c>
      <c r="Z892" t="s">
        <v>87</v>
      </c>
      <c r="AA892" t="s">
        <v>101</v>
      </c>
      <c r="AB892" t="s">
        <v>115</v>
      </c>
      <c r="AC892">
        <v>1265</v>
      </c>
      <c r="AD892" s="8" t="b">
        <f>AND(
 H892&gt;=Filters!$B$3,
 H892&lt;=Filters!$B$4,
 I892&gt;=Filters!$B$5,
 OR(Filters!$B$6="All",B892=Filters!$B$6),
 F892&gt;=Filters!$B$7,
 F892&lt;=Filters!$B$8,
 OR(Filters!$B$9="All",G892=Filters!$B$9)
)</f>
        <v>0</v>
      </c>
      <c r="AE892">
        <f t="shared" si="169"/>
        <v>6</v>
      </c>
      <c r="AF892">
        <f t="shared" si="170"/>
        <v>7</v>
      </c>
      <c r="AG892">
        <f t="shared" si="171"/>
        <v>7</v>
      </c>
      <c r="AH892" s="9" t="str">
        <f t="shared" si="172"/>
        <v/>
      </c>
      <c r="AI892" s="9" t="str">
        <f t="shared" si="173"/>
        <v/>
      </c>
      <c r="AJ892" s="9" t="str">
        <f t="shared" si="174"/>
        <v/>
      </c>
      <c r="AK892" s="9" t="str">
        <f t="shared" si="175"/>
        <v/>
      </c>
      <c r="AL892" s="9" t="str">
        <f t="shared" si="176"/>
        <v/>
      </c>
      <c r="AM892" s="9" t="str">
        <f t="shared" si="177"/>
        <v/>
      </c>
      <c r="AN892" s="9" t="str">
        <f t="shared" si="178"/>
        <v/>
      </c>
      <c r="AO892" s="9" t="str">
        <f t="shared" si="179"/>
        <v/>
      </c>
      <c r="AP892" s="9" t="str">
        <f t="shared" si="180"/>
        <v/>
      </c>
      <c r="AQ892" s="10" t="str">
        <f t="shared" si="181"/>
        <v/>
      </c>
    </row>
    <row r="893" spans="1:43">
      <c r="A893">
        <v>892</v>
      </c>
      <c r="B893" t="s">
        <v>26</v>
      </c>
      <c r="C893" t="s">
        <v>1283</v>
      </c>
      <c r="D893" t="s">
        <v>1284</v>
      </c>
      <c r="E893" t="s">
        <v>168</v>
      </c>
      <c r="G893" t="s">
        <v>18</v>
      </c>
      <c r="H893" s="4">
        <v>37773000</v>
      </c>
      <c r="I893" s="5">
        <v>256</v>
      </c>
      <c r="J893" s="5">
        <v>0</v>
      </c>
      <c r="K893" s="5">
        <v>16</v>
      </c>
      <c r="L893">
        <v>9.4</v>
      </c>
      <c r="M893">
        <v>3.5</v>
      </c>
      <c r="N893">
        <v>8.4600000000000009</v>
      </c>
      <c r="O893" s="6">
        <v>13.3</v>
      </c>
      <c r="P893" s="7">
        <v>1.42</v>
      </c>
      <c r="U893" t="s">
        <v>84</v>
      </c>
      <c r="V893" t="s">
        <v>140</v>
      </c>
      <c r="W893">
        <v>2.7</v>
      </c>
      <c r="X893" t="s">
        <v>84</v>
      </c>
      <c r="Y893" t="s">
        <v>99</v>
      </c>
      <c r="Z893" t="s">
        <v>100</v>
      </c>
      <c r="AA893" t="s">
        <v>333</v>
      </c>
      <c r="AB893" t="s">
        <v>115</v>
      </c>
      <c r="AC893">
        <v>1399</v>
      </c>
      <c r="AD893" s="8" t="b">
        <f>AND(
 H893&gt;=Filters!$B$3,
 H893&lt;=Filters!$B$4,
 I893&gt;=Filters!$B$5,
 OR(Filters!$B$6="All",B893=Filters!$B$6),
 F893&gt;=Filters!$B$7,
 F893&lt;=Filters!$B$8,
 OR(Filters!$B$9="All",G893=Filters!$B$9)
)</f>
        <v>0</v>
      </c>
      <c r="AE893">
        <f t="shared" si="169"/>
        <v>6</v>
      </c>
      <c r="AF893">
        <f t="shared" si="170"/>
        <v>7</v>
      </c>
      <c r="AG893">
        <f t="shared" si="171"/>
        <v>7</v>
      </c>
      <c r="AH893" s="9" t="str">
        <f t="shared" si="172"/>
        <v/>
      </c>
      <c r="AI893" s="9" t="str">
        <f t="shared" si="173"/>
        <v/>
      </c>
      <c r="AJ893" s="9" t="str">
        <f t="shared" si="174"/>
        <v/>
      </c>
      <c r="AK893" s="9" t="str">
        <f t="shared" si="175"/>
        <v/>
      </c>
      <c r="AL893" s="9" t="str">
        <f t="shared" si="176"/>
        <v/>
      </c>
      <c r="AM893" s="9" t="str">
        <f t="shared" si="177"/>
        <v/>
      </c>
      <c r="AN893" s="9" t="str">
        <f t="shared" si="178"/>
        <v/>
      </c>
      <c r="AO893" s="9" t="str">
        <f t="shared" si="179"/>
        <v/>
      </c>
      <c r="AP893" s="9" t="str">
        <f t="shared" si="180"/>
        <v/>
      </c>
      <c r="AQ893" s="10" t="str">
        <f t="shared" si="181"/>
        <v/>
      </c>
    </row>
    <row r="894" spans="1:43">
      <c r="A894">
        <v>893</v>
      </c>
      <c r="B894" t="s">
        <v>34</v>
      </c>
      <c r="C894" t="s">
        <v>1131</v>
      </c>
      <c r="D894" t="s">
        <v>1132</v>
      </c>
      <c r="E894" t="s">
        <v>83</v>
      </c>
      <c r="G894" t="s">
        <v>18</v>
      </c>
      <c r="H894" s="4">
        <v>45873000</v>
      </c>
      <c r="I894" s="5">
        <v>256</v>
      </c>
      <c r="J894" s="5">
        <v>0</v>
      </c>
      <c r="K894" s="5">
        <v>8</v>
      </c>
      <c r="L894">
        <v>9.4</v>
      </c>
      <c r="M894">
        <v>3.5</v>
      </c>
      <c r="N894">
        <v>5.95</v>
      </c>
      <c r="O894" s="6">
        <v>15</v>
      </c>
      <c r="P894" s="7">
        <v>1.17</v>
      </c>
      <c r="U894" t="s">
        <v>84</v>
      </c>
      <c r="V894" t="s">
        <v>140</v>
      </c>
      <c r="W894">
        <v>2.7</v>
      </c>
      <c r="X894" t="s">
        <v>84</v>
      </c>
      <c r="Y894" t="s">
        <v>99</v>
      </c>
      <c r="Z894" t="s">
        <v>100</v>
      </c>
      <c r="AA894" t="s">
        <v>101</v>
      </c>
      <c r="AB894" t="s">
        <v>115</v>
      </c>
      <c r="AC894">
        <v>1699</v>
      </c>
      <c r="AD894" s="8" t="b">
        <f>AND(
 H894&gt;=Filters!$B$3,
 H894&lt;=Filters!$B$4,
 I894&gt;=Filters!$B$5,
 OR(Filters!$B$6="All",B894=Filters!$B$6),
 F894&gt;=Filters!$B$7,
 F894&lt;=Filters!$B$8,
 OR(Filters!$B$9="All",G894=Filters!$B$9)
)</f>
        <v>0</v>
      </c>
      <c r="AE894">
        <f t="shared" si="169"/>
        <v>6</v>
      </c>
      <c r="AF894">
        <f t="shared" si="170"/>
        <v>7</v>
      </c>
      <c r="AG894">
        <f t="shared" si="171"/>
        <v>7</v>
      </c>
      <c r="AH894" s="9" t="str">
        <f t="shared" si="172"/>
        <v/>
      </c>
      <c r="AI894" s="9" t="str">
        <f t="shared" si="173"/>
        <v/>
      </c>
      <c r="AJ894" s="9" t="str">
        <f t="shared" si="174"/>
        <v/>
      </c>
      <c r="AK894" s="9" t="str">
        <f t="shared" si="175"/>
        <v/>
      </c>
      <c r="AL894" s="9" t="str">
        <f t="shared" si="176"/>
        <v/>
      </c>
      <c r="AM894" s="9" t="str">
        <f t="shared" si="177"/>
        <v/>
      </c>
      <c r="AN894" s="9" t="str">
        <f t="shared" si="178"/>
        <v/>
      </c>
      <c r="AO894" s="9" t="str">
        <f t="shared" si="179"/>
        <v/>
      </c>
      <c r="AP894" s="9" t="str">
        <f t="shared" si="180"/>
        <v/>
      </c>
      <c r="AQ894" s="10" t="str">
        <f t="shared" si="181"/>
        <v/>
      </c>
    </row>
    <row r="895" spans="1:43">
      <c r="A895">
        <v>894</v>
      </c>
      <c r="B895" t="s">
        <v>29</v>
      </c>
      <c r="C895" t="s">
        <v>761</v>
      </c>
      <c r="D895" t="s">
        <v>762</v>
      </c>
      <c r="E895" t="s">
        <v>83</v>
      </c>
      <c r="G895" t="s">
        <v>18</v>
      </c>
      <c r="H895" s="4">
        <v>48573000</v>
      </c>
      <c r="I895" s="5">
        <v>256</v>
      </c>
      <c r="J895" s="5">
        <v>0</v>
      </c>
      <c r="K895" s="5">
        <v>8</v>
      </c>
      <c r="L895">
        <v>7</v>
      </c>
      <c r="M895">
        <v>3.5</v>
      </c>
      <c r="N895">
        <v>6.4</v>
      </c>
      <c r="O895" s="6">
        <v>14</v>
      </c>
      <c r="P895" s="7">
        <v>1.32</v>
      </c>
      <c r="U895" t="s">
        <v>84</v>
      </c>
      <c r="V895" t="s">
        <v>98</v>
      </c>
      <c r="W895">
        <v>2.5</v>
      </c>
      <c r="X895" t="s">
        <v>84</v>
      </c>
      <c r="Y895" t="s">
        <v>99</v>
      </c>
      <c r="Z895" t="s">
        <v>100</v>
      </c>
      <c r="AA895" t="s">
        <v>128</v>
      </c>
      <c r="AB895" t="s">
        <v>115</v>
      </c>
      <c r="AC895">
        <v>1799</v>
      </c>
      <c r="AD895" s="8" t="b">
        <f>AND(
 H895&gt;=Filters!$B$3,
 H895&lt;=Filters!$B$4,
 I895&gt;=Filters!$B$5,
 OR(Filters!$B$6="All",B895=Filters!$B$6),
 F895&gt;=Filters!$B$7,
 F895&lt;=Filters!$B$8,
 OR(Filters!$B$9="All",G895=Filters!$B$9)
)</f>
        <v>0</v>
      </c>
      <c r="AE895">
        <f t="shared" si="169"/>
        <v>6</v>
      </c>
      <c r="AF895">
        <f t="shared" si="170"/>
        <v>7</v>
      </c>
      <c r="AG895">
        <f t="shared" si="171"/>
        <v>7</v>
      </c>
      <c r="AH895" s="9" t="str">
        <f t="shared" si="172"/>
        <v/>
      </c>
      <c r="AI895" s="9" t="str">
        <f t="shared" si="173"/>
        <v/>
      </c>
      <c r="AJ895" s="9" t="str">
        <f t="shared" si="174"/>
        <v/>
      </c>
      <c r="AK895" s="9" t="str">
        <f t="shared" si="175"/>
        <v/>
      </c>
      <c r="AL895" s="9" t="str">
        <f t="shared" si="176"/>
        <v/>
      </c>
      <c r="AM895" s="9" t="str">
        <f t="shared" si="177"/>
        <v/>
      </c>
      <c r="AN895" s="9" t="str">
        <f t="shared" si="178"/>
        <v/>
      </c>
      <c r="AO895" s="9" t="str">
        <f t="shared" si="179"/>
        <v/>
      </c>
      <c r="AP895" s="9" t="str">
        <f t="shared" si="180"/>
        <v/>
      </c>
      <c r="AQ895" s="10" t="str">
        <f t="shared" si="181"/>
        <v/>
      </c>
    </row>
    <row r="896" spans="1:43">
      <c r="A896">
        <v>895</v>
      </c>
      <c r="B896" t="s">
        <v>30</v>
      </c>
      <c r="C896" t="s">
        <v>1285</v>
      </c>
      <c r="D896" t="s">
        <v>1286</v>
      </c>
      <c r="E896" t="s">
        <v>158</v>
      </c>
      <c r="G896" t="s">
        <v>18</v>
      </c>
      <c r="H896" s="4">
        <v>71523000</v>
      </c>
      <c r="I896" s="5">
        <v>512</v>
      </c>
      <c r="J896" s="5">
        <v>2048</v>
      </c>
      <c r="K896" s="5">
        <v>16</v>
      </c>
      <c r="L896">
        <v>9.1999999999999993</v>
      </c>
      <c r="M896">
        <v>9.1999999999999993</v>
      </c>
      <c r="N896">
        <v>9.73</v>
      </c>
      <c r="O896" s="6">
        <v>17.3</v>
      </c>
      <c r="P896" s="7">
        <v>2.4300000000000002</v>
      </c>
      <c r="U896" t="s">
        <v>84</v>
      </c>
      <c r="V896" t="s">
        <v>808</v>
      </c>
      <c r="W896">
        <v>2.6</v>
      </c>
      <c r="X896" t="s">
        <v>122</v>
      </c>
      <c r="Y896" t="s">
        <v>211</v>
      </c>
      <c r="Z896" t="s">
        <v>662</v>
      </c>
      <c r="AA896" t="s">
        <v>459</v>
      </c>
      <c r="AB896" t="s">
        <v>115</v>
      </c>
      <c r="AC896">
        <v>2649</v>
      </c>
      <c r="AD896" s="8" t="b">
        <f>AND(
 H896&gt;=Filters!$B$3,
 H896&lt;=Filters!$B$4,
 I896&gt;=Filters!$B$5,
 OR(Filters!$B$6="All",B896=Filters!$B$6),
 F896&gt;=Filters!$B$7,
 F896&lt;=Filters!$B$8,
 OR(Filters!$B$9="All",G896=Filters!$B$9)
)</f>
        <v>0</v>
      </c>
      <c r="AE896">
        <f t="shared" si="169"/>
        <v>6</v>
      </c>
      <c r="AF896">
        <f t="shared" si="170"/>
        <v>7</v>
      </c>
      <c r="AG896">
        <f t="shared" si="171"/>
        <v>7</v>
      </c>
      <c r="AH896" s="9" t="str">
        <f t="shared" si="172"/>
        <v/>
      </c>
      <c r="AI896" s="9" t="str">
        <f t="shared" si="173"/>
        <v/>
      </c>
      <c r="AJ896" s="9" t="str">
        <f t="shared" si="174"/>
        <v/>
      </c>
      <c r="AK896" s="9" t="str">
        <f t="shared" si="175"/>
        <v/>
      </c>
      <c r="AL896" s="9" t="str">
        <f t="shared" si="176"/>
        <v/>
      </c>
      <c r="AM896" s="9" t="str">
        <f t="shared" si="177"/>
        <v/>
      </c>
      <c r="AN896" s="9" t="str">
        <f t="shared" si="178"/>
        <v/>
      </c>
      <c r="AO896" s="9" t="str">
        <f t="shared" si="179"/>
        <v/>
      </c>
      <c r="AP896" s="9" t="str">
        <f t="shared" si="180"/>
        <v/>
      </c>
      <c r="AQ896" s="10" t="str">
        <f t="shared" si="181"/>
        <v/>
      </c>
    </row>
    <row r="897" spans="1:43">
      <c r="A897">
        <v>896</v>
      </c>
      <c r="B897" t="s">
        <v>35</v>
      </c>
      <c r="C897" t="s">
        <v>1287</v>
      </c>
      <c r="D897" t="s">
        <v>1288</v>
      </c>
      <c r="E897" t="s">
        <v>97</v>
      </c>
      <c r="G897" t="s">
        <v>18</v>
      </c>
      <c r="H897" s="4">
        <v>39825000</v>
      </c>
      <c r="I897" s="5">
        <v>256</v>
      </c>
      <c r="J897" s="5">
        <v>0</v>
      </c>
      <c r="K897" s="5">
        <v>8</v>
      </c>
      <c r="L897">
        <v>7</v>
      </c>
      <c r="M897">
        <v>3.5</v>
      </c>
      <c r="N897">
        <v>5.96</v>
      </c>
      <c r="O897" s="6">
        <v>13.3</v>
      </c>
      <c r="P897" s="7">
        <v>1.05</v>
      </c>
      <c r="U897" t="s">
        <v>84</v>
      </c>
      <c r="V897" t="s">
        <v>98</v>
      </c>
      <c r="W897">
        <v>2.5</v>
      </c>
      <c r="X897" t="s">
        <v>84</v>
      </c>
      <c r="Y897" t="s">
        <v>99</v>
      </c>
      <c r="Z897" t="s">
        <v>100</v>
      </c>
      <c r="AA897" t="s">
        <v>101</v>
      </c>
      <c r="AB897" t="s">
        <v>115</v>
      </c>
      <c r="AC897">
        <v>1475</v>
      </c>
      <c r="AD897" s="8" t="b">
        <f>AND(
 H897&gt;=Filters!$B$3,
 H897&lt;=Filters!$B$4,
 I897&gt;=Filters!$B$5,
 OR(Filters!$B$6="All",B897=Filters!$B$6),
 F897&gt;=Filters!$B$7,
 F897&lt;=Filters!$B$8,
 OR(Filters!$B$9="All",G897=Filters!$B$9)
)</f>
        <v>0</v>
      </c>
      <c r="AE897">
        <f t="shared" si="169"/>
        <v>6</v>
      </c>
      <c r="AF897">
        <f t="shared" si="170"/>
        <v>7</v>
      </c>
      <c r="AG897">
        <f t="shared" si="171"/>
        <v>7</v>
      </c>
      <c r="AH897" s="9" t="str">
        <f t="shared" si="172"/>
        <v/>
      </c>
      <c r="AI897" s="9" t="str">
        <f t="shared" si="173"/>
        <v/>
      </c>
      <c r="AJ897" s="9" t="str">
        <f t="shared" si="174"/>
        <v/>
      </c>
      <c r="AK897" s="9" t="str">
        <f t="shared" si="175"/>
        <v/>
      </c>
      <c r="AL897" s="9" t="str">
        <f t="shared" si="176"/>
        <v/>
      </c>
      <c r="AM897" s="9" t="str">
        <f t="shared" si="177"/>
        <v/>
      </c>
      <c r="AN897" s="9" t="str">
        <f t="shared" si="178"/>
        <v/>
      </c>
      <c r="AO897" s="9" t="str">
        <f t="shared" si="179"/>
        <v/>
      </c>
      <c r="AP897" s="9" t="str">
        <f t="shared" si="180"/>
        <v/>
      </c>
      <c r="AQ897" s="10" t="str">
        <f t="shared" si="181"/>
        <v/>
      </c>
    </row>
    <row r="898" spans="1:43">
      <c r="A898">
        <v>897</v>
      </c>
      <c r="B898" t="s">
        <v>23</v>
      </c>
      <c r="C898" t="s">
        <v>391</v>
      </c>
      <c r="D898" t="s">
        <v>392</v>
      </c>
      <c r="E898" t="s">
        <v>158</v>
      </c>
      <c r="G898" t="s">
        <v>18</v>
      </c>
      <c r="H898" s="4">
        <v>25083000</v>
      </c>
      <c r="I898" s="5">
        <v>0</v>
      </c>
      <c r="J898" s="5">
        <v>1024</v>
      </c>
      <c r="K898" s="5">
        <v>8</v>
      </c>
      <c r="L898">
        <v>9.6</v>
      </c>
      <c r="M898">
        <v>9.1999999999999993</v>
      </c>
      <c r="N898">
        <v>5.92</v>
      </c>
      <c r="O898" s="6">
        <v>15.6</v>
      </c>
      <c r="P898" s="7">
        <v>2.62</v>
      </c>
      <c r="U898" t="s">
        <v>84</v>
      </c>
      <c r="V898" t="s">
        <v>210</v>
      </c>
      <c r="W898">
        <v>2.8</v>
      </c>
      <c r="X898" t="s">
        <v>122</v>
      </c>
      <c r="Y898" t="s">
        <v>1289</v>
      </c>
      <c r="Z898" t="s">
        <v>146</v>
      </c>
      <c r="AA898" t="s">
        <v>101</v>
      </c>
      <c r="AB898" t="s">
        <v>201</v>
      </c>
      <c r="AC898">
        <v>929</v>
      </c>
      <c r="AD898" s="8" t="b">
        <f>AND(
 H898&gt;=Filters!$B$3,
 H898&lt;=Filters!$B$4,
 I898&gt;=Filters!$B$5,
 OR(Filters!$B$6="All",B898=Filters!$B$6),
 F898&gt;=Filters!$B$7,
 F898&lt;=Filters!$B$8,
 OR(Filters!$B$9="All",G898=Filters!$B$9)
)</f>
        <v>0</v>
      </c>
      <c r="AE898">
        <f t="shared" ref="AE898:AE961" si="182">IF(Q898="",6,Q898)</f>
        <v>6</v>
      </c>
      <c r="AF898">
        <f t="shared" ref="AF898:AF961" si="183">IF(R898="",7,R898)</f>
        <v>7</v>
      </c>
      <c r="AG898">
        <f t="shared" ref="AG898:AG961" si="184">IF(S898="",7,S898)</f>
        <v>7</v>
      </c>
      <c r="AH898" s="9" t="str">
        <f t="shared" ref="AH898:AH961" si="185">IF(AD898,IF(CPU_MAX=CPU_MIN,1,(L898-CPU_MIN)/(CPU_MAX-CPU_MIN)),"")</f>
        <v/>
      </c>
      <c r="AI898" s="9" t="str">
        <f t="shared" ref="AI898:AI961" si="186">IF(AD898,IF(RAM_MAX=RAM_MIN,1,(K898-RAM_MIN)/(RAM_MAX-RAM_MIN)),"")</f>
        <v/>
      </c>
      <c r="AJ898" s="9" t="str">
        <f t="shared" ref="AJ898:AJ961" si="187">IF(AD898,IF(GPU_MAX=GPU_MIN,1,(M898-GPU_MIN)/(GPU_MAX-GPU_MIN)),"")</f>
        <v/>
      </c>
      <c r="AK898" s="9" t="str">
        <f t="shared" ref="AK898:AK961" si="188">IF(AD898,IF(SCREEN_MAX=SCREEN_MIN,1,(N898-SCREEN_MIN)/(SCREEN_MAX-SCREEN_MIN)),"")</f>
        <v/>
      </c>
      <c r="AL898" s="9" t="str">
        <f t="shared" ref="AL898:AL961" si="189">IF(AD898,IF(WEIGHT_MAX=WEIGHT_MIN,1,(WEIGHT_MAX-P898)/(WEIGHT_MAX-WEIGHT_MIN)),"")</f>
        <v/>
      </c>
      <c r="AM898" s="9" t="str">
        <f t="shared" ref="AM898:AM961" si="190">IF(AD898,IF(BATTERY_MAX=BATTERY_MIN,1,(AE898-BATTERY_MIN)/(BATTERY_MAX-BATTERY_MIN)),"")</f>
        <v/>
      </c>
      <c r="AN898" s="9" t="str">
        <f t="shared" ref="AN898:AN961" si="191">IF(AD898,IF(DURABILITY_MAX=DURABILITY_MIN,1,(AF898-DURABILITY_MIN)/(DURABILITY_MAX-DURABILITY_MIN)),"")</f>
        <v/>
      </c>
      <c r="AO898" s="9" t="str">
        <f t="shared" ref="AO898:AO961" si="192">IF(AD898,IF(UPGRADE_MAX=UPGRADE_MIN,1,(AG898-UPGRADE_MIN)/(UPGRADE_MAX-UPGRADE_MIN)),"")</f>
        <v/>
      </c>
      <c r="AP898" s="9" t="str">
        <f t="shared" ref="AP898:AP961" si="193">IF(AD898,W_CPU*AH898+W_RAM*AI898+W_GPU*AJ898+W_SCREEN*AK898+W_WEIGHT*AL898+W_BATTERY*AM898+W_DURABILITY*AN898+W_UPGRADE*AO898,"" )</f>
        <v/>
      </c>
      <c r="AQ898" s="10" t="str">
        <f t="shared" ref="AQ898:AQ961" si="194">IF(AP898="","",AP898+ROW()*0.000000001)</f>
        <v/>
      </c>
    </row>
    <row r="899" spans="1:43">
      <c r="A899">
        <v>898</v>
      </c>
      <c r="B899" t="s">
        <v>26</v>
      </c>
      <c r="C899" t="s">
        <v>204</v>
      </c>
      <c r="D899" t="s">
        <v>205</v>
      </c>
      <c r="E899" t="s">
        <v>97</v>
      </c>
      <c r="G899" t="s">
        <v>18</v>
      </c>
      <c r="H899" s="4">
        <v>24300000</v>
      </c>
      <c r="I899" s="5">
        <v>0</v>
      </c>
      <c r="J899" s="5">
        <v>1024</v>
      </c>
      <c r="K899" s="5">
        <v>8</v>
      </c>
      <c r="L899">
        <v>9.4</v>
      </c>
      <c r="M899">
        <v>6.5</v>
      </c>
      <c r="N899">
        <v>5.92</v>
      </c>
      <c r="O899" s="6">
        <v>15.6</v>
      </c>
      <c r="P899" s="7">
        <v>2.04</v>
      </c>
      <c r="U899" t="s">
        <v>84</v>
      </c>
      <c r="V899" t="s">
        <v>140</v>
      </c>
      <c r="W899">
        <v>2.7</v>
      </c>
      <c r="X899" t="s">
        <v>122</v>
      </c>
      <c r="Y899" t="s">
        <v>183</v>
      </c>
      <c r="Z899" t="s">
        <v>146</v>
      </c>
      <c r="AA899" t="s">
        <v>101</v>
      </c>
      <c r="AB899" t="s">
        <v>115</v>
      </c>
      <c r="AC899">
        <v>900</v>
      </c>
      <c r="AD899" s="8" t="b">
        <f>AND(
 H899&gt;=Filters!$B$3,
 H899&lt;=Filters!$B$4,
 I899&gt;=Filters!$B$5,
 OR(Filters!$B$6="All",B899=Filters!$B$6),
 F899&gt;=Filters!$B$7,
 F899&lt;=Filters!$B$8,
 OR(Filters!$B$9="All",G899=Filters!$B$9)
)</f>
        <v>0</v>
      </c>
      <c r="AE899">
        <f t="shared" si="182"/>
        <v>6</v>
      </c>
      <c r="AF899">
        <f t="shared" si="183"/>
        <v>7</v>
      </c>
      <c r="AG899">
        <f t="shared" si="184"/>
        <v>7</v>
      </c>
      <c r="AH899" s="9" t="str">
        <f t="shared" si="185"/>
        <v/>
      </c>
      <c r="AI899" s="9" t="str">
        <f t="shared" si="186"/>
        <v/>
      </c>
      <c r="AJ899" s="9" t="str">
        <f t="shared" si="187"/>
        <v/>
      </c>
      <c r="AK899" s="9" t="str">
        <f t="shared" si="188"/>
        <v/>
      </c>
      <c r="AL899" s="9" t="str">
        <f t="shared" si="189"/>
        <v/>
      </c>
      <c r="AM899" s="9" t="str">
        <f t="shared" si="190"/>
        <v/>
      </c>
      <c r="AN899" s="9" t="str">
        <f t="shared" si="191"/>
        <v/>
      </c>
      <c r="AO899" s="9" t="str">
        <f t="shared" si="192"/>
        <v/>
      </c>
      <c r="AP899" s="9" t="str">
        <f t="shared" si="193"/>
        <v/>
      </c>
      <c r="AQ899" s="10" t="str">
        <f t="shared" si="194"/>
        <v/>
      </c>
    </row>
    <row r="900" spans="1:43">
      <c r="A900">
        <v>899</v>
      </c>
      <c r="B900" t="s">
        <v>23</v>
      </c>
      <c r="C900" t="s">
        <v>540</v>
      </c>
      <c r="D900" t="s">
        <v>541</v>
      </c>
      <c r="E900" t="s">
        <v>97</v>
      </c>
      <c r="G900" t="s">
        <v>18</v>
      </c>
      <c r="H900" s="4">
        <v>16578000</v>
      </c>
      <c r="I900" s="5">
        <v>0</v>
      </c>
      <c r="J900" s="5">
        <v>1024</v>
      </c>
      <c r="K900" s="5">
        <v>4</v>
      </c>
      <c r="L900">
        <v>4</v>
      </c>
      <c r="M900">
        <v>6.5</v>
      </c>
      <c r="N900">
        <v>3.92</v>
      </c>
      <c r="O900" s="6">
        <v>15.6</v>
      </c>
      <c r="P900" s="7">
        <v>2.1800000000000002</v>
      </c>
      <c r="U900" t="s">
        <v>84</v>
      </c>
      <c r="V900" t="s">
        <v>129</v>
      </c>
      <c r="W900">
        <v>2</v>
      </c>
      <c r="X900" t="s">
        <v>104</v>
      </c>
      <c r="Y900" t="s">
        <v>1202</v>
      </c>
      <c r="Z900" t="s">
        <v>146</v>
      </c>
      <c r="AA900" t="s">
        <v>114</v>
      </c>
      <c r="AB900" t="s">
        <v>115</v>
      </c>
      <c r="AC900">
        <v>614</v>
      </c>
      <c r="AD900" s="8" t="b">
        <f>AND(
 H900&gt;=Filters!$B$3,
 H900&lt;=Filters!$B$4,
 I900&gt;=Filters!$B$5,
 OR(Filters!$B$6="All",B900=Filters!$B$6),
 F900&gt;=Filters!$B$7,
 F900&lt;=Filters!$B$8,
 OR(Filters!$B$9="All",G900=Filters!$B$9)
)</f>
        <v>0</v>
      </c>
      <c r="AE900">
        <f t="shared" si="182"/>
        <v>6</v>
      </c>
      <c r="AF900">
        <f t="shared" si="183"/>
        <v>7</v>
      </c>
      <c r="AG900">
        <f t="shared" si="184"/>
        <v>7</v>
      </c>
      <c r="AH900" s="9" t="str">
        <f t="shared" si="185"/>
        <v/>
      </c>
      <c r="AI900" s="9" t="str">
        <f t="shared" si="186"/>
        <v/>
      </c>
      <c r="AJ900" s="9" t="str">
        <f t="shared" si="187"/>
        <v/>
      </c>
      <c r="AK900" s="9" t="str">
        <f t="shared" si="188"/>
        <v/>
      </c>
      <c r="AL900" s="9" t="str">
        <f t="shared" si="189"/>
        <v/>
      </c>
      <c r="AM900" s="9" t="str">
        <f t="shared" si="190"/>
        <v/>
      </c>
      <c r="AN900" s="9" t="str">
        <f t="shared" si="191"/>
        <v/>
      </c>
      <c r="AO900" s="9" t="str">
        <f t="shared" si="192"/>
        <v/>
      </c>
      <c r="AP900" s="9" t="str">
        <f t="shared" si="193"/>
        <v/>
      </c>
      <c r="AQ900" s="10" t="str">
        <f t="shared" si="194"/>
        <v/>
      </c>
    </row>
    <row r="901" spans="1:43">
      <c r="A901">
        <v>900</v>
      </c>
      <c r="B901" t="s">
        <v>23</v>
      </c>
      <c r="C901" t="s">
        <v>870</v>
      </c>
      <c r="D901" t="s">
        <v>871</v>
      </c>
      <c r="E901" t="s">
        <v>97</v>
      </c>
      <c r="G901" t="s">
        <v>18</v>
      </c>
      <c r="H901" s="4">
        <v>25245000</v>
      </c>
      <c r="I901" s="5">
        <v>0</v>
      </c>
      <c r="J901" s="5">
        <v>500</v>
      </c>
      <c r="K901" s="5">
        <v>8</v>
      </c>
      <c r="L901">
        <v>7.2</v>
      </c>
      <c r="M901">
        <v>3.5</v>
      </c>
      <c r="N901">
        <v>5.92</v>
      </c>
      <c r="O901" s="6">
        <v>15.6</v>
      </c>
      <c r="P901" s="7">
        <v>1.9</v>
      </c>
      <c r="U901" t="s">
        <v>84</v>
      </c>
      <c r="V901" t="s">
        <v>633</v>
      </c>
      <c r="W901">
        <v>2.6</v>
      </c>
      <c r="X901" t="s">
        <v>84</v>
      </c>
      <c r="Y901" t="s">
        <v>99</v>
      </c>
      <c r="Z901" t="s">
        <v>113</v>
      </c>
      <c r="AA901" t="s">
        <v>101</v>
      </c>
      <c r="AB901" t="s">
        <v>115</v>
      </c>
      <c r="AC901">
        <v>935</v>
      </c>
      <c r="AD901" s="8" t="b">
        <f>AND(
 H901&gt;=Filters!$B$3,
 H901&lt;=Filters!$B$4,
 I901&gt;=Filters!$B$5,
 OR(Filters!$B$6="All",B901=Filters!$B$6),
 F901&gt;=Filters!$B$7,
 F901&lt;=Filters!$B$8,
 OR(Filters!$B$9="All",G901=Filters!$B$9)
)</f>
        <v>0</v>
      </c>
      <c r="AE901">
        <f t="shared" si="182"/>
        <v>6</v>
      </c>
      <c r="AF901">
        <f t="shared" si="183"/>
        <v>7</v>
      </c>
      <c r="AG901">
        <f t="shared" si="184"/>
        <v>7</v>
      </c>
      <c r="AH901" s="9" t="str">
        <f t="shared" si="185"/>
        <v/>
      </c>
      <c r="AI901" s="9" t="str">
        <f t="shared" si="186"/>
        <v/>
      </c>
      <c r="AJ901" s="9" t="str">
        <f t="shared" si="187"/>
        <v/>
      </c>
      <c r="AK901" s="9" t="str">
        <f t="shared" si="188"/>
        <v/>
      </c>
      <c r="AL901" s="9" t="str">
        <f t="shared" si="189"/>
        <v/>
      </c>
      <c r="AM901" s="9" t="str">
        <f t="shared" si="190"/>
        <v/>
      </c>
      <c r="AN901" s="9" t="str">
        <f t="shared" si="191"/>
        <v/>
      </c>
      <c r="AO901" s="9" t="str">
        <f t="shared" si="192"/>
        <v/>
      </c>
      <c r="AP901" s="9" t="str">
        <f t="shared" si="193"/>
        <v/>
      </c>
      <c r="AQ901" s="10" t="str">
        <f t="shared" si="194"/>
        <v/>
      </c>
    </row>
    <row r="902" spans="1:43">
      <c r="A902">
        <v>901</v>
      </c>
      <c r="B902" t="s">
        <v>23</v>
      </c>
      <c r="C902" t="s">
        <v>1290</v>
      </c>
      <c r="D902" t="s">
        <v>148</v>
      </c>
      <c r="E902" t="s">
        <v>168</v>
      </c>
      <c r="G902" t="s">
        <v>18</v>
      </c>
      <c r="H902" s="4">
        <v>54353700</v>
      </c>
      <c r="I902" s="5">
        <v>512</v>
      </c>
      <c r="J902" s="5">
        <v>0</v>
      </c>
      <c r="K902" s="5">
        <v>8</v>
      </c>
      <c r="L902">
        <v>6.6</v>
      </c>
      <c r="M902">
        <v>3.5</v>
      </c>
      <c r="N902">
        <v>8.4600000000000009</v>
      </c>
      <c r="O902" s="6">
        <v>13.3</v>
      </c>
      <c r="P902" s="7">
        <v>1.24</v>
      </c>
      <c r="U902" t="s">
        <v>84</v>
      </c>
      <c r="V902" t="s">
        <v>759</v>
      </c>
      <c r="W902">
        <v>1.3</v>
      </c>
      <c r="X902" t="s">
        <v>84</v>
      </c>
      <c r="Y902" t="s">
        <v>138</v>
      </c>
      <c r="Z902" t="s">
        <v>106</v>
      </c>
      <c r="AA902" t="s">
        <v>333</v>
      </c>
      <c r="AB902" t="s">
        <v>115</v>
      </c>
      <c r="AC902">
        <v>2013.1</v>
      </c>
      <c r="AD902" s="8" t="b">
        <f>AND(
 H902&gt;=Filters!$B$3,
 H902&lt;=Filters!$B$4,
 I902&gt;=Filters!$B$5,
 OR(Filters!$B$6="All",B902=Filters!$B$6),
 F902&gt;=Filters!$B$7,
 F902&lt;=Filters!$B$8,
 OR(Filters!$B$9="All",G902=Filters!$B$9)
)</f>
        <v>0</v>
      </c>
      <c r="AE902">
        <f t="shared" si="182"/>
        <v>6</v>
      </c>
      <c r="AF902">
        <f t="shared" si="183"/>
        <v>7</v>
      </c>
      <c r="AG902">
        <f t="shared" si="184"/>
        <v>7</v>
      </c>
      <c r="AH902" s="9" t="str">
        <f t="shared" si="185"/>
        <v/>
      </c>
      <c r="AI902" s="9" t="str">
        <f t="shared" si="186"/>
        <v/>
      </c>
      <c r="AJ902" s="9" t="str">
        <f t="shared" si="187"/>
        <v/>
      </c>
      <c r="AK902" s="9" t="str">
        <f t="shared" si="188"/>
        <v/>
      </c>
      <c r="AL902" s="9" t="str">
        <f t="shared" si="189"/>
        <v/>
      </c>
      <c r="AM902" s="9" t="str">
        <f t="shared" si="190"/>
        <v/>
      </c>
      <c r="AN902" s="9" t="str">
        <f t="shared" si="191"/>
        <v/>
      </c>
      <c r="AO902" s="9" t="str">
        <f t="shared" si="192"/>
        <v/>
      </c>
      <c r="AP902" s="9" t="str">
        <f t="shared" si="193"/>
        <v/>
      </c>
      <c r="AQ902" s="10" t="str">
        <f t="shared" si="194"/>
        <v/>
      </c>
    </row>
    <row r="903" spans="1:43">
      <c r="A903">
        <v>902</v>
      </c>
      <c r="B903" t="s">
        <v>21</v>
      </c>
      <c r="C903" t="s">
        <v>1291</v>
      </c>
      <c r="D903" t="s">
        <v>1292</v>
      </c>
      <c r="E903" t="s">
        <v>158</v>
      </c>
      <c r="G903" t="s">
        <v>18</v>
      </c>
      <c r="H903" s="4">
        <v>34533000</v>
      </c>
      <c r="I903" s="5">
        <v>512</v>
      </c>
      <c r="J903" s="5">
        <v>0</v>
      </c>
      <c r="K903" s="5">
        <v>32</v>
      </c>
      <c r="L903">
        <v>9.4</v>
      </c>
      <c r="M903">
        <v>9.1999999999999993</v>
      </c>
      <c r="N903">
        <v>6.24</v>
      </c>
      <c r="O903" s="6">
        <v>17.3</v>
      </c>
      <c r="P903" s="7">
        <v>3.58</v>
      </c>
      <c r="U903" t="s">
        <v>84</v>
      </c>
      <c r="V903" t="s">
        <v>932</v>
      </c>
      <c r="W903">
        <v>2.7</v>
      </c>
      <c r="X903" t="s">
        <v>122</v>
      </c>
      <c r="Y903" t="s">
        <v>526</v>
      </c>
      <c r="Z903" t="s">
        <v>180</v>
      </c>
      <c r="AA903" t="s">
        <v>128</v>
      </c>
      <c r="AB903" t="s">
        <v>115</v>
      </c>
      <c r="AC903">
        <v>1279</v>
      </c>
      <c r="AD903" s="8" t="b">
        <f>AND(
 H903&gt;=Filters!$B$3,
 H903&lt;=Filters!$B$4,
 I903&gt;=Filters!$B$5,
 OR(Filters!$B$6="All",B903=Filters!$B$6),
 F903&gt;=Filters!$B$7,
 F903&lt;=Filters!$B$8,
 OR(Filters!$B$9="All",G903=Filters!$B$9)
)</f>
        <v>0</v>
      </c>
      <c r="AE903">
        <f t="shared" si="182"/>
        <v>6</v>
      </c>
      <c r="AF903">
        <f t="shared" si="183"/>
        <v>7</v>
      </c>
      <c r="AG903">
        <f t="shared" si="184"/>
        <v>7</v>
      </c>
      <c r="AH903" s="9" t="str">
        <f t="shared" si="185"/>
        <v/>
      </c>
      <c r="AI903" s="9" t="str">
        <f t="shared" si="186"/>
        <v/>
      </c>
      <c r="AJ903" s="9" t="str">
        <f t="shared" si="187"/>
        <v/>
      </c>
      <c r="AK903" s="9" t="str">
        <f t="shared" si="188"/>
        <v/>
      </c>
      <c r="AL903" s="9" t="str">
        <f t="shared" si="189"/>
        <v/>
      </c>
      <c r="AM903" s="9" t="str">
        <f t="shared" si="190"/>
        <v/>
      </c>
      <c r="AN903" s="9" t="str">
        <f t="shared" si="191"/>
        <v/>
      </c>
      <c r="AO903" s="9" t="str">
        <f t="shared" si="192"/>
        <v/>
      </c>
      <c r="AP903" s="9" t="str">
        <f t="shared" si="193"/>
        <v/>
      </c>
      <c r="AQ903" s="10" t="str">
        <f t="shared" si="194"/>
        <v/>
      </c>
    </row>
    <row r="904" spans="1:43">
      <c r="A904">
        <v>903</v>
      </c>
      <c r="B904" t="s">
        <v>23</v>
      </c>
      <c r="C904" t="s">
        <v>1290</v>
      </c>
      <c r="D904" t="s">
        <v>148</v>
      </c>
      <c r="E904" t="s">
        <v>168</v>
      </c>
      <c r="G904" t="s">
        <v>18</v>
      </c>
      <c r="H904" s="4">
        <v>44523000</v>
      </c>
      <c r="I904" s="5">
        <v>256</v>
      </c>
      <c r="J904" s="5">
        <v>0</v>
      </c>
      <c r="K904" s="5">
        <v>16</v>
      </c>
      <c r="L904">
        <v>6.6</v>
      </c>
      <c r="M904">
        <v>3.5</v>
      </c>
      <c r="N904">
        <v>6.26</v>
      </c>
      <c r="O904" s="6">
        <v>13.3</v>
      </c>
      <c r="P904" s="7">
        <v>1.22</v>
      </c>
      <c r="U904" t="s">
        <v>84</v>
      </c>
      <c r="V904" t="s">
        <v>759</v>
      </c>
      <c r="W904">
        <v>1.3</v>
      </c>
      <c r="X904" t="s">
        <v>84</v>
      </c>
      <c r="Y904" t="s">
        <v>138</v>
      </c>
      <c r="Z904" t="s">
        <v>100</v>
      </c>
      <c r="AA904" t="s">
        <v>169</v>
      </c>
      <c r="AB904" t="s">
        <v>115</v>
      </c>
      <c r="AC904">
        <v>1649</v>
      </c>
      <c r="AD904" s="8" t="b">
        <f>AND(
 H904&gt;=Filters!$B$3,
 H904&lt;=Filters!$B$4,
 I904&gt;=Filters!$B$5,
 OR(Filters!$B$6="All",B904=Filters!$B$6),
 F904&gt;=Filters!$B$7,
 F904&lt;=Filters!$B$8,
 OR(Filters!$B$9="All",G904=Filters!$B$9)
)</f>
        <v>0</v>
      </c>
      <c r="AE904">
        <f t="shared" si="182"/>
        <v>6</v>
      </c>
      <c r="AF904">
        <f t="shared" si="183"/>
        <v>7</v>
      </c>
      <c r="AG904">
        <f t="shared" si="184"/>
        <v>7</v>
      </c>
      <c r="AH904" s="9" t="str">
        <f t="shared" si="185"/>
        <v/>
      </c>
      <c r="AI904" s="9" t="str">
        <f t="shared" si="186"/>
        <v/>
      </c>
      <c r="AJ904" s="9" t="str">
        <f t="shared" si="187"/>
        <v/>
      </c>
      <c r="AK904" s="9" t="str">
        <f t="shared" si="188"/>
        <v/>
      </c>
      <c r="AL904" s="9" t="str">
        <f t="shared" si="189"/>
        <v/>
      </c>
      <c r="AM904" s="9" t="str">
        <f t="shared" si="190"/>
        <v/>
      </c>
      <c r="AN904" s="9" t="str">
        <f t="shared" si="191"/>
        <v/>
      </c>
      <c r="AO904" s="9" t="str">
        <f t="shared" si="192"/>
        <v/>
      </c>
      <c r="AP904" s="9" t="str">
        <f t="shared" si="193"/>
        <v/>
      </c>
      <c r="AQ904" s="10" t="str">
        <f t="shared" si="194"/>
        <v/>
      </c>
    </row>
    <row r="905" spans="1:43">
      <c r="A905">
        <v>904</v>
      </c>
      <c r="B905" t="s">
        <v>29</v>
      </c>
      <c r="C905" t="s">
        <v>1003</v>
      </c>
      <c r="D905" t="s">
        <v>547</v>
      </c>
      <c r="E905" t="s">
        <v>83</v>
      </c>
      <c r="G905" t="s">
        <v>18</v>
      </c>
      <c r="H905" s="4">
        <v>55323000</v>
      </c>
      <c r="I905" s="5">
        <v>256</v>
      </c>
      <c r="J905" s="5">
        <v>0</v>
      </c>
      <c r="K905" s="5">
        <v>8</v>
      </c>
      <c r="L905">
        <v>9.4</v>
      </c>
      <c r="M905">
        <v>3.5</v>
      </c>
      <c r="N905">
        <v>6.4</v>
      </c>
      <c r="O905" s="6">
        <v>14</v>
      </c>
      <c r="P905" s="7">
        <v>1.1299999999999999</v>
      </c>
      <c r="U905" t="s">
        <v>84</v>
      </c>
      <c r="V905" t="s">
        <v>140</v>
      </c>
      <c r="W905">
        <v>2.7</v>
      </c>
      <c r="X905" t="s">
        <v>84</v>
      </c>
      <c r="Y905" t="s">
        <v>99</v>
      </c>
      <c r="Z905" t="s">
        <v>117</v>
      </c>
      <c r="AA905" t="s">
        <v>128</v>
      </c>
      <c r="AB905" t="s">
        <v>115</v>
      </c>
      <c r="AC905">
        <v>2049</v>
      </c>
      <c r="AD905" s="8" t="b">
        <f>AND(
 H905&gt;=Filters!$B$3,
 H905&lt;=Filters!$B$4,
 I905&gt;=Filters!$B$5,
 OR(Filters!$B$6="All",B905=Filters!$B$6),
 F905&gt;=Filters!$B$7,
 F905&lt;=Filters!$B$8,
 OR(Filters!$B$9="All",G905=Filters!$B$9)
)</f>
        <v>0</v>
      </c>
      <c r="AE905">
        <f t="shared" si="182"/>
        <v>6</v>
      </c>
      <c r="AF905">
        <f t="shared" si="183"/>
        <v>7</v>
      </c>
      <c r="AG905">
        <f t="shared" si="184"/>
        <v>7</v>
      </c>
      <c r="AH905" s="9" t="str">
        <f t="shared" si="185"/>
        <v/>
      </c>
      <c r="AI905" s="9" t="str">
        <f t="shared" si="186"/>
        <v/>
      </c>
      <c r="AJ905" s="9" t="str">
        <f t="shared" si="187"/>
        <v/>
      </c>
      <c r="AK905" s="9" t="str">
        <f t="shared" si="188"/>
        <v/>
      </c>
      <c r="AL905" s="9" t="str">
        <f t="shared" si="189"/>
        <v/>
      </c>
      <c r="AM905" s="9" t="str">
        <f t="shared" si="190"/>
        <v/>
      </c>
      <c r="AN905" s="9" t="str">
        <f t="shared" si="191"/>
        <v/>
      </c>
      <c r="AO905" s="9" t="str">
        <f t="shared" si="192"/>
        <v/>
      </c>
      <c r="AP905" s="9" t="str">
        <f t="shared" si="193"/>
        <v/>
      </c>
      <c r="AQ905" s="10" t="str">
        <f t="shared" si="194"/>
        <v/>
      </c>
    </row>
    <row r="906" spans="1:43">
      <c r="A906">
        <v>905</v>
      </c>
      <c r="B906" t="s">
        <v>29</v>
      </c>
      <c r="C906" t="s">
        <v>893</v>
      </c>
      <c r="D906" t="s">
        <v>894</v>
      </c>
      <c r="E906" t="s">
        <v>97</v>
      </c>
      <c r="G906" t="s">
        <v>18</v>
      </c>
      <c r="H906" s="4">
        <v>53000730</v>
      </c>
      <c r="I906" s="5">
        <v>512</v>
      </c>
      <c r="J906" s="5">
        <v>0</v>
      </c>
      <c r="K906" s="5">
        <v>8</v>
      </c>
      <c r="L906">
        <v>7</v>
      </c>
      <c r="M906">
        <v>3.5</v>
      </c>
      <c r="N906">
        <v>6.32</v>
      </c>
      <c r="O906" s="6">
        <v>15.6</v>
      </c>
      <c r="P906" s="7">
        <v>1.95</v>
      </c>
      <c r="U906" t="s">
        <v>84</v>
      </c>
      <c r="V906" t="s">
        <v>98</v>
      </c>
      <c r="W906">
        <v>2.5</v>
      </c>
      <c r="X906" t="s">
        <v>84</v>
      </c>
      <c r="Y906" t="s">
        <v>99</v>
      </c>
      <c r="Z906" t="s">
        <v>106</v>
      </c>
      <c r="AA906" t="s">
        <v>128</v>
      </c>
      <c r="AB906" t="s">
        <v>115</v>
      </c>
      <c r="AC906">
        <v>1962.99</v>
      </c>
      <c r="AD906" s="8" t="b">
        <f>AND(
 H906&gt;=Filters!$B$3,
 H906&lt;=Filters!$B$4,
 I906&gt;=Filters!$B$5,
 OR(Filters!$B$6="All",B906=Filters!$B$6),
 F906&gt;=Filters!$B$7,
 F906&lt;=Filters!$B$8,
 OR(Filters!$B$9="All",G906=Filters!$B$9)
)</f>
        <v>0</v>
      </c>
      <c r="AE906">
        <f t="shared" si="182"/>
        <v>6</v>
      </c>
      <c r="AF906">
        <f t="shared" si="183"/>
        <v>7</v>
      </c>
      <c r="AG906">
        <f t="shared" si="184"/>
        <v>7</v>
      </c>
      <c r="AH906" s="9" t="str">
        <f t="shared" si="185"/>
        <v/>
      </c>
      <c r="AI906" s="9" t="str">
        <f t="shared" si="186"/>
        <v/>
      </c>
      <c r="AJ906" s="9" t="str">
        <f t="shared" si="187"/>
        <v/>
      </c>
      <c r="AK906" s="9" t="str">
        <f t="shared" si="188"/>
        <v/>
      </c>
      <c r="AL906" s="9" t="str">
        <f t="shared" si="189"/>
        <v/>
      </c>
      <c r="AM906" s="9" t="str">
        <f t="shared" si="190"/>
        <v/>
      </c>
      <c r="AN906" s="9" t="str">
        <f t="shared" si="191"/>
        <v/>
      </c>
      <c r="AO906" s="9" t="str">
        <f t="shared" si="192"/>
        <v/>
      </c>
      <c r="AP906" s="9" t="str">
        <f t="shared" si="193"/>
        <v/>
      </c>
      <c r="AQ906" s="10" t="str">
        <f t="shared" si="194"/>
        <v/>
      </c>
    </row>
    <row r="907" spans="1:43">
      <c r="A907">
        <v>906</v>
      </c>
      <c r="B907" t="s">
        <v>28</v>
      </c>
      <c r="C907" t="s">
        <v>1293</v>
      </c>
      <c r="D907" t="s">
        <v>1294</v>
      </c>
      <c r="E907" t="s">
        <v>83</v>
      </c>
      <c r="G907" t="s">
        <v>18</v>
      </c>
      <c r="H907" s="4">
        <v>56673000</v>
      </c>
      <c r="I907" s="5">
        <v>512</v>
      </c>
      <c r="J907" s="5">
        <v>0</v>
      </c>
      <c r="K907" s="5">
        <v>16</v>
      </c>
      <c r="L907">
        <v>9.4</v>
      </c>
      <c r="M907">
        <v>3.5</v>
      </c>
      <c r="N907">
        <v>6.62</v>
      </c>
      <c r="O907" s="6">
        <v>15.6</v>
      </c>
      <c r="P907" s="7">
        <v>1.08</v>
      </c>
      <c r="U907" t="s">
        <v>84</v>
      </c>
      <c r="V907" t="s">
        <v>140</v>
      </c>
      <c r="W907">
        <v>2.7</v>
      </c>
      <c r="X907" t="s">
        <v>84</v>
      </c>
      <c r="Y907" t="s">
        <v>99</v>
      </c>
      <c r="Z907" t="s">
        <v>106</v>
      </c>
      <c r="AA907" t="s">
        <v>149</v>
      </c>
      <c r="AB907" t="s">
        <v>115</v>
      </c>
      <c r="AC907">
        <v>2099</v>
      </c>
      <c r="AD907" s="8" t="b">
        <f>AND(
 H907&gt;=Filters!$B$3,
 H907&lt;=Filters!$B$4,
 I907&gt;=Filters!$B$5,
 OR(Filters!$B$6="All",B907=Filters!$B$6),
 F907&gt;=Filters!$B$7,
 F907&lt;=Filters!$B$8,
 OR(Filters!$B$9="All",G907=Filters!$B$9)
)</f>
        <v>0</v>
      </c>
      <c r="AE907">
        <f t="shared" si="182"/>
        <v>6</v>
      </c>
      <c r="AF907">
        <f t="shared" si="183"/>
        <v>7</v>
      </c>
      <c r="AG907">
        <f t="shared" si="184"/>
        <v>7</v>
      </c>
      <c r="AH907" s="9" t="str">
        <f t="shared" si="185"/>
        <v/>
      </c>
      <c r="AI907" s="9" t="str">
        <f t="shared" si="186"/>
        <v/>
      </c>
      <c r="AJ907" s="9" t="str">
        <f t="shared" si="187"/>
        <v/>
      </c>
      <c r="AK907" s="9" t="str">
        <f t="shared" si="188"/>
        <v/>
      </c>
      <c r="AL907" s="9" t="str">
        <f t="shared" si="189"/>
        <v/>
      </c>
      <c r="AM907" s="9" t="str">
        <f t="shared" si="190"/>
        <v/>
      </c>
      <c r="AN907" s="9" t="str">
        <f t="shared" si="191"/>
        <v/>
      </c>
      <c r="AO907" s="9" t="str">
        <f t="shared" si="192"/>
        <v/>
      </c>
      <c r="AP907" s="9" t="str">
        <f t="shared" si="193"/>
        <v/>
      </c>
      <c r="AQ907" s="10" t="str">
        <f t="shared" si="194"/>
        <v/>
      </c>
    </row>
    <row r="908" spans="1:43">
      <c r="A908">
        <v>907</v>
      </c>
      <c r="B908" t="s">
        <v>26</v>
      </c>
      <c r="C908" t="s">
        <v>1295</v>
      </c>
      <c r="D908" t="s">
        <v>623</v>
      </c>
      <c r="E908" t="s">
        <v>152</v>
      </c>
      <c r="G908" t="s">
        <v>18</v>
      </c>
      <c r="H908" s="4">
        <v>40041000</v>
      </c>
      <c r="I908" s="5">
        <v>512</v>
      </c>
      <c r="J908" s="5">
        <v>0</v>
      </c>
      <c r="K908" s="5">
        <v>8</v>
      </c>
      <c r="L908">
        <v>9.4</v>
      </c>
      <c r="M908">
        <v>3.5</v>
      </c>
      <c r="N908">
        <v>5.92</v>
      </c>
      <c r="O908" s="6">
        <v>12.5</v>
      </c>
      <c r="P908" s="7">
        <v>1.26</v>
      </c>
      <c r="U908" t="s">
        <v>84</v>
      </c>
      <c r="V908" t="s">
        <v>140</v>
      </c>
      <c r="W908">
        <v>2.7</v>
      </c>
      <c r="X908" t="s">
        <v>84</v>
      </c>
      <c r="Y908" t="s">
        <v>99</v>
      </c>
      <c r="Z908" t="s">
        <v>106</v>
      </c>
      <c r="AA908" t="s">
        <v>101</v>
      </c>
      <c r="AB908" t="s">
        <v>115</v>
      </c>
      <c r="AC908">
        <v>1483</v>
      </c>
      <c r="AD908" s="8" t="b">
        <f>AND(
 H908&gt;=Filters!$B$3,
 H908&lt;=Filters!$B$4,
 I908&gt;=Filters!$B$5,
 OR(Filters!$B$6="All",B908=Filters!$B$6),
 F908&gt;=Filters!$B$7,
 F908&lt;=Filters!$B$8,
 OR(Filters!$B$9="All",G908=Filters!$B$9)
)</f>
        <v>0</v>
      </c>
      <c r="AE908">
        <f t="shared" si="182"/>
        <v>6</v>
      </c>
      <c r="AF908">
        <f t="shared" si="183"/>
        <v>7</v>
      </c>
      <c r="AG908">
        <f t="shared" si="184"/>
        <v>7</v>
      </c>
      <c r="AH908" s="9" t="str">
        <f t="shared" si="185"/>
        <v/>
      </c>
      <c r="AI908" s="9" t="str">
        <f t="shared" si="186"/>
        <v/>
      </c>
      <c r="AJ908" s="9" t="str">
        <f t="shared" si="187"/>
        <v/>
      </c>
      <c r="AK908" s="9" t="str">
        <f t="shared" si="188"/>
        <v/>
      </c>
      <c r="AL908" s="9" t="str">
        <f t="shared" si="189"/>
        <v/>
      </c>
      <c r="AM908" s="9" t="str">
        <f t="shared" si="190"/>
        <v/>
      </c>
      <c r="AN908" s="9" t="str">
        <f t="shared" si="191"/>
        <v/>
      </c>
      <c r="AO908" s="9" t="str">
        <f t="shared" si="192"/>
        <v/>
      </c>
      <c r="AP908" s="9" t="str">
        <f t="shared" si="193"/>
        <v/>
      </c>
      <c r="AQ908" s="10" t="str">
        <f t="shared" si="194"/>
        <v/>
      </c>
    </row>
    <row r="909" spans="1:43">
      <c r="A909">
        <v>908</v>
      </c>
      <c r="B909" t="s">
        <v>17</v>
      </c>
      <c r="C909" t="s">
        <v>1296</v>
      </c>
      <c r="D909" t="s">
        <v>1297</v>
      </c>
      <c r="E909" t="s">
        <v>97</v>
      </c>
      <c r="G909" t="s">
        <v>18</v>
      </c>
      <c r="H909" s="4">
        <v>9693000</v>
      </c>
      <c r="I909" s="5">
        <v>16</v>
      </c>
      <c r="J909" s="5">
        <v>0</v>
      </c>
      <c r="K909" s="5">
        <v>4</v>
      </c>
      <c r="L909">
        <v>1</v>
      </c>
      <c r="M909">
        <v>3.5</v>
      </c>
      <c r="N909">
        <v>6.32</v>
      </c>
      <c r="O909" s="6">
        <v>15.6</v>
      </c>
      <c r="P909" s="7">
        <v>2.2000000000000002</v>
      </c>
      <c r="U909" t="s">
        <v>84</v>
      </c>
      <c r="V909" t="s">
        <v>561</v>
      </c>
      <c r="W909">
        <v>1.5</v>
      </c>
      <c r="X909" t="s">
        <v>84</v>
      </c>
      <c r="Y909" t="s">
        <v>187</v>
      </c>
      <c r="Z909" t="s">
        <v>606</v>
      </c>
      <c r="AA909" t="s">
        <v>128</v>
      </c>
      <c r="AB909" t="s">
        <v>563</v>
      </c>
      <c r="AC909">
        <v>359</v>
      </c>
      <c r="AD909" s="8" t="b">
        <f>AND(
 H909&gt;=Filters!$B$3,
 H909&lt;=Filters!$B$4,
 I909&gt;=Filters!$B$5,
 OR(Filters!$B$6="All",B909=Filters!$B$6),
 F909&gt;=Filters!$B$7,
 F909&lt;=Filters!$B$8,
 OR(Filters!$B$9="All",G909=Filters!$B$9)
)</f>
        <v>0</v>
      </c>
      <c r="AE909">
        <f t="shared" si="182"/>
        <v>6</v>
      </c>
      <c r="AF909">
        <f t="shared" si="183"/>
        <v>7</v>
      </c>
      <c r="AG909">
        <f t="shared" si="184"/>
        <v>7</v>
      </c>
      <c r="AH909" s="9" t="str">
        <f t="shared" si="185"/>
        <v/>
      </c>
      <c r="AI909" s="9" t="str">
        <f t="shared" si="186"/>
        <v/>
      </c>
      <c r="AJ909" s="9" t="str">
        <f t="shared" si="187"/>
        <v/>
      </c>
      <c r="AK909" s="9" t="str">
        <f t="shared" si="188"/>
        <v/>
      </c>
      <c r="AL909" s="9" t="str">
        <f t="shared" si="189"/>
        <v/>
      </c>
      <c r="AM909" s="9" t="str">
        <f t="shared" si="190"/>
        <v/>
      </c>
      <c r="AN909" s="9" t="str">
        <f t="shared" si="191"/>
        <v/>
      </c>
      <c r="AO909" s="9" t="str">
        <f t="shared" si="192"/>
        <v/>
      </c>
      <c r="AP909" s="9" t="str">
        <f t="shared" si="193"/>
        <v/>
      </c>
      <c r="AQ909" s="10" t="str">
        <f t="shared" si="194"/>
        <v/>
      </c>
    </row>
    <row r="910" spans="1:43">
      <c r="A910">
        <v>909</v>
      </c>
      <c r="B910" t="s">
        <v>29</v>
      </c>
      <c r="C910" t="s">
        <v>1298</v>
      </c>
      <c r="D910" t="s">
        <v>1020</v>
      </c>
      <c r="E910" t="s">
        <v>97</v>
      </c>
      <c r="G910" t="s">
        <v>18</v>
      </c>
      <c r="H910" s="4">
        <v>21303000</v>
      </c>
      <c r="I910" s="5">
        <v>128</v>
      </c>
      <c r="J910" s="5">
        <v>1024</v>
      </c>
      <c r="K910" s="5">
        <v>8</v>
      </c>
      <c r="L910">
        <v>6.6</v>
      </c>
      <c r="M910">
        <v>9.1999999999999993</v>
      </c>
      <c r="N910">
        <v>6.32</v>
      </c>
      <c r="O910" s="6">
        <v>15.6</v>
      </c>
      <c r="P910" s="7">
        <v>2.6</v>
      </c>
      <c r="U910" t="s">
        <v>84</v>
      </c>
      <c r="V910" t="s">
        <v>1094</v>
      </c>
      <c r="W910">
        <v>2.2999999999999998</v>
      </c>
      <c r="X910" t="s">
        <v>122</v>
      </c>
      <c r="Y910" t="s">
        <v>874</v>
      </c>
      <c r="Z910" t="s">
        <v>161</v>
      </c>
      <c r="AA910" t="s">
        <v>128</v>
      </c>
      <c r="AB910" t="s">
        <v>115</v>
      </c>
      <c r="AC910">
        <v>789</v>
      </c>
      <c r="AD910" s="8" t="b">
        <f>AND(
 H910&gt;=Filters!$B$3,
 H910&lt;=Filters!$B$4,
 I910&gt;=Filters!$B$5,
 OR(Filters!$B$6="All",B910=Filters!$B$6),
 F910&gt;=Filters!$B$7,
 F910&lt;=Filters!$B$8,
 OR(Filters!$B$9="All",G910=Filters!$B$9)
)</f>
        <v>0</v>
      </c>
      <c r="AE910">
        <f t="shared" si="182"/>
        <v>6</v>
      </c>
      <c r="AF910">
        <f t="shared" si="183"/>
        <v>7</v>
      </c>
      <c r="AG910">
        <f t="shared" si="184"/>
        <v>7</v>
      </c>
      <c r="AH910" s="9" t="str">
        <f t="shared" si="185"/>
        <v/>
      </c>
      <c r="AI910" s="9" t="str">
        <f t="shared" si="186"/>
        <v/>
      </c>
      <c r="AJ910" s="9" t="str">
        <f t="shared" si="187"/>
        <v/>
      </c>
      <c r="AK910" s="9" t="str">
        <f t="shared" si="188"/>
        <v/>
      </c>
      <c r="AL910" s="9" t="str">
        <f t="shared" si="189"/>
        <v/>
      </c>
      <c r="AM910" s="9" t="str">
        <f t="shared" si="190"/>
        <v/>
      </c>
      <c r="AN910" s="9" t="str">
        <f t="shared" si="191"/>
        <v/>
      </c>
      <c r="AO910" s="9" t="str">
        <f t="shared" si="192"/>
        <v/>
      </c>
      <c r="AP910" s="9" t="str">
        <f t="shared" si="193"/>
        <v/>
      </c>
      <c r="AQ910" s="10" t="str">
        <f t="shared" si="194"/>
        <v/>
      </c>
    </row>
    <row r="911" spans="1:43">
      <c r="A911">
        <v>910</v>
      </c>
      <c r="B911" t="s">
        <v>28</v>
      </c>
      <c r="C911" t="s">
        <v>1299</v>
      </c>
      <c r="D911" t="s">
        <v>1300</v>
      </c>
      <c r="E911" t="s">
        <v>83</v>
      </c>
      <c r="G911" t="s">
        <v>18</v>
      </c>
      <c r="H911" s="4">
        <v>51273000</v>
      </c>
      <c r="I911" s="5">
        <v>512</v>
      </c>
      <c r="J911" s="5">
        <v>0</v>
      </c>
      <c r="K911" s="5">
        <v>8</v>
      </c>
      <c r="L911">
        <v>9.4</v>
      </c>
      <c r="M911">
        <v>3.5</v>
      </c>
      <c r="N911">
        <v>6.7</v>
      </c>
      <c r="O911" s="6">
        <v>14</v>
      </c>
      <c r="P911" s="7">
        <v>0.98</v>
      </c>
      <c r="U911" t="s">
        <v>84</v>
      </c>
      <c r="V911" t="s">
        <v>140</v>
      </c>
      <c r="W911">
        <v>2.7</v>
      </c>
      <c r="X911" t="s">
        <v>84</v>
      </c>
      <c r="Y911" t="s">
        <v>99</v>
      </c>
      <c r="Z911" t="s">
        <v>106</v>
      </c>
      <c r="AA911" t="s">
        <v>149</v>
      </c>
      <c r="AB911" t="s">
        <v>115</v>
      </c>
      <c r="AC911">
        <v>1899</v>
      </c>
      <c r="AD911" s="8" t="b">
        <f>AND(
 H911&gt;=Filters!$B$3,
 H911&lt;=Filters!$B$4,
 I911&gt;=Filters!$B$5,
 OR(Filters!$B$6="All",B911=Filters!$B$6),
 F911&gt;=Filters!$B$7,
 F911&lt;=Filters!$B$8,
 OR(Filters!$B$9="All",G911=Filters!$B$9)
)</f>
        <v>0</v>
      </c>
      <c r="AE911">
        <f t="shared" si="182"/>
        <v>6</v>
      </c>
      <c r="AF911">
        <f t="shared" si="183"/>
        <v>7</v>
      </c>
      <c r="AG911">
        <f t="shared" si="184"/>
        <v>7</v>
      </c>
      <c r="AH911" s="9" t="str">
        <f t="shared" si="185"/>
        <v/>
      </c>
      <c r="AI911" s="9" t="str">
        <f t="shared" si="186"/>
        <v/>
      </c>
      <c r="AJ911" s="9" t="str">
        <f t="shared" si="187"/>
        <v/>
      </c>
      <c r="AK911" s="9" t="str">
        <f t="shared" si="188"/>
        <v/>
      </c>
      <c r="AL911" s="9" t="str">
        <f t="shared" si="189"/>
        <v/>
      </c>
      <c r="AM911" s="9" t="str">
        <f t="shared" si="190"/>
        <v/>
      </c>
      <c r="AN911" s="9" t="str">
        <f t="shared" si="191"/>
        <v/>
      </c>
      <c r="AO911" s="9" t="str">
        <f t="shared" si="192"/>
        <v/>
      </c>
      <c r="AP911" s="9" t="str">
        <f t="shared" si="193"/>
        <v/>
      </c>
      <c r="AQ911" s="10" t="str">
        <f t="shared" si="194"/>
        <v/>
      </c>
    </row>
    <row r="912" spans="1:43">
      <c r="A912">
        <v>911</v>
      </c>
      <c r="B912" t="s">
        <v>23</v>
      </c>
      <c r="C912" t="s">
        <v>769</v>
      </c>
      <c r="D912" t="s">
        <v>739</v>
      </c>
      <c r="E912" t="s">
        <v>97</v>
      </c>
      <c r="G912" t="s">
        <v>18</v>
      </c>
      <c r="H912" s="4">
        <v>32535000</v>
      </c>
      <c r="I912" s="5">
        <v>256</v>
      </c>
      <c r="J912" s="5">
        <v>0</v>
      </c>
      <c r="K912" s="5">
        <v>8</v>
      </c>
      <c r="L912">
        <v>7.6</v>
      </c>
      <c r="M912">
        <v>3.5</v>
      </c>
      <c r="N912">
        <v>6</v>
      </c>
      <c r="O912" s="6">
        <v>14</v>
      </c>
      <c r="P912" s="7">
        <v>1.6</v>
      </c>
      <c r="U912" t="s">
        <v>84</v>
      </c>
      <c r="V912" t="s">
        <v>770</v>
      </c>
      <c r="W912">
        <v>2.8</v>
      </c>
      <c r="X912" t="s">
        <v>84</v>
      </c>
      <c r="Y912" t="s">
        <v>99</v>
      </c>
      <c r="Z912" t="s">
        <v>100</v>
      </c>
      <c r="AA912" t="s">
        <v>101</v>
      </c>
      <c r="AB912" t="s">
        <v>115</v>
      </c>
      <c r="AC912">
        <v>1205</v>
      </c>
      <c r="AD912" s="8" t="b">
        <f>AND(
 H912&gt;=Filters!$B$3,
 H912&lt;=Filters!$B$4,
 I912&gt;=Filters!$B$5,
 OR(Filters!$B$6="All",B912=Filters!$B$6),
 F912&gt;=Filters!$B$7,
 F912&lt;=Filters!$B$8,
 OR(Filters!$B$9="All",G912=Filters!$B$9)
)</f>
        <v>0</v>
      </c>
      <c r="AE912">
        <f t="shared" si="182"/>
        <v>6</v>
      </c>
      <c r="AF912">
        <f t="shared" si="183"/>
        <v>7</v>
      </c>
      <c r="AG912">
        <f t="shared" si="184"/>
        <v>7</v>
      </c>
      <c r="AH912" s="9" t="str">
        <f t="shared" si="185"/>
        <v/>
      </c>
      <c r="AI912" s="9" t="str">
        <f t="shared" si="186"/>
        <v/>
      </c>
      <c r="AJ912" s="9" t="str">
        <f t="shared" si="187"/>
        <v/>
      </c>
      <c r="AK912" s="9" t="str">
        <f t="shared" si="188"/>
        <v/>
      </c>
      <c r="AL912" s="9" t="str">
        <f t="shared" si="189"/>
        <v/>
      </c>
      <c r="AM912" s="9" t="str">
        <f t="shared" si="190"/>
        <v/>
      </c>
      <c r="AN912" s="9" t="str">
        <f t="shared" si="191"/>
        <v/>
      </c>
      <c r="AO912" s="9" t="str">
        <f t="shared" si="192"/>
        <v/>
      </c>
      <c r="AP912" s="9" t="str">
        <f t="shared" si="193"/>
        <v/>
      </c>
      <c r="AQ912" s="10" t="str">
        <f t="shared" si="194"/>
        <v/>
      </c>
    </row>
    <row r="913" spans="1:43">
      <c r="A913">
        <v>912</v>
      </c>
      <c r="B913" t="s">
        <v>26</v>
      </c>
      <c r="C913" t="s">
        <v>1301</v>
      </c>
      <c r="D913" t="s">
        <v>1302</v>
      </c>
      <c r="E913" t="s">
        <v>83</v>
      </c>
      <c r="G913" t="s">
        <v>18</v>
      </c>
      <c r="H913" s="4">
        <v>83700000</v>
      </c>
      <c r="I913" s="5">
        <v>240</v>
      </c>
      <c r="J913" s="5">
        <v>0</v>
      </c>
      <c r="K913" s="5">
        <v>8</v>
      </c>
      <c r="L913">
        <v>3.4</v>
      </c>
      <c r="M913">
        <v>3.5</v>
      </c>
      <c r="N913">
        <v>9.73</v>
      </c>
      <c r="O913" s="6">
        <v>12.5</v>
      </c>
      <c r="P913" s="7">
        <v>1.0900000000000001</v>
      </c>
      <c r="U913" t="s">
        <v>84</v>
      </c>
      <c r="V913" t="s">
        <v>380</v>
      </c>
      <c r="W913">
        <v>1.2</v>
      </c>
      <c r="X913" t="s">
        <v>84</v>
      </c>
      <c r="Y913" t="s">
        <v>381</v>
      </c>
      <c r="Z913" t="s">
        <v>1303</v>
      </c>
      <c r="AA913" t="s">
        <v>439</v>
      </c>
      <c r="AB913" t="s">
        <v>115</v>
      </c>
      <c r="AC913">
        <v>3100</v>
      </c>
      <c r="AD913" s="8" t="b">
        <f>AND(
 H913&gt;=Filters!$B$3,
 H913&lt;=Filters!$B$4,
 I913&gt;=Filters!$B$5,
 OR(Filters!$B$6="All",B913=Filters!$B$6),
 F913&gt;=Filters!$B$7,
 F913&lt;=Filters!$B$8,
 OR(Filters!$B$9="All",G913=Filters!$B$9)
)</f>
        <v>0</v>
      </c>
      <c r="AE913">
        <f t="shared" si="182"/>
        <v>6</v>
      </c>
      <c r="AF913">
        <f t="shared" si="183"/>
        <v>7</v>
      </c>
      <c r="AG913">
        <f t="shared" si="184"/>
        <v>7</v>
      </c>
      <c r="AH913" s="9" t="str">
        <f t="shared" si="185"/>
        <v/>
      </c>
      <c r="AI913" s="9" t="str">
        <f t="shared" si="186"/>
        <v/>
      </c>
      <c r="AJ913" s="9" t="str">
        <f t="shared" si="187"/>
        <v/>
      </c>
      <c r="AK913" s="9" t="str">
        <f t="shared" si="188"/>
        <v/>
      </c>
      <c r="AL913" s="9" t="str">
        <f t="shared" si="189"/>
        <v/>
      </c>
      <c r="AM913" s="9" t="str">
        <f t="shared" si="190"/>
        <v/>
      </c>
      <c r="AN913" s="9" t="str">
        <f t="shared" si="191"/>
        <v/>
      </c>
      <c r="AO913" s="9" t="str">
        <f t="shared" si="192"/>
        <v/>
      </c>
      <c r="AP913" s="9" t="str">
        <f t="shared" si="193"/>
        <v/>
      </c>
      <c r="AQ913" s="10" t="str">
        <f t="shared" si="194"/>
        <v/>
      </c>
    </row>
    <row r="914" spans="1:43">
      <c r="A914">
        <v>913</v>
      </c>
      <c r="B914" t="s">
        <v>29</v>
      </c>
      <c r="C914" t="s">
        <v>1304</v>
      </c>
      <c r="D914" t="s">
        <v>1305</v>
      </c>
      <c r="E914" t="s">
        <v>97</v>
      </c>
      <c r="G914" t="s">
        <v>18</v>
      </c>
      <c r="H914" s="4">
        <v>21303000</v>
      </c>
      <c r="I914" s="5">
        <v>256</v>
      </c>
      <c r="J914" s="5">
        <v>0</v>
      </c>
      <c r="K914" s="5">
        <v>6</v>
      </c>
      <c r="L914">
        <v>9.4</v>
      </c>
      <c r="M914">
        <v>6.5</v>
      </c>
      <c r="N914">
        <v>5.92</v>
      </c>
      <c r="O914" s="6">
        <v>15.6</v>
      </c>
      <c r="P914" s="7">
        <v>2.2000000000000002</v>
      </c>
      <c r="U914" t="s">
        <v>84</v>
      </c>
      <c r="V914" t="s">
        <v>140</v>
      </c>
      <c r="W914">
        <v>2.7</v>
      </c>
      <c r="X914" t="s">
        <v>122</v>
      </c>
      <c r="Y914" t="s">
        <v>145</v>
      </c>
      <c r="Z914" t="s">
        <v>100</v>
      </c>
      <c r="AA914" t="s">
        <v>101</v>
      </c>
      <c r="AB914" t="s">
        <v>115</v>
      </c>
      <c r="AC914">
        <v>789</v>
      </c>
      <c r="AD914" s="8" t="b">
        <f>AND(
 H914&gt;=Filters!$B$3,
 H914&lt;=Filters!$B$4,
 I914&gt;=Filters!$B$5,
 OR(Filters!$B$6="All",B914=Filters!$B$6),
 F914&gt;=Filters!$B$7,
 F914&lt;=Filters!$B$8,
 OR(Filters!$B$9="All",G914=Filters!$B$9)
)</f>
        <v>1</v>
      </c>
      <c r="AE914">
        <f t="shared" si="182"/>
        <v>6</v>
      </c>
      <c r="AF914">
        <f t="shared" si="183"/>
        <v>7</v>
      </c>
      <c r="AG914">
        <f t="shared" si="184"/>
        <v>7</v>
      </c>
      <c r="AH914" s="9">
        <f t="shared" si="185"/>
        <v>0.97619047619047628</v>
      </c>
      <c r="AI914" s="9">
        <f t="shared" si="186"/>
        <v>0.5714285714285714</v>
      </c>
      <c r="AJ914" s="9">
        <f t="shared" si="187"/>
        <v>0.63095238095238093</v>
      </c>
      <c r="AK914" s="9">
        <f t="shared" si="188"/>
        <v>0.56190476190476191</v>
      </c>
      <c r="AL914" s="9">
        <f t="shared" si="189"/>
        <v>0.88095238095238082</v>
      </c>
      <c r="AM914" s="9">
        <f t="shared" si="190"/>
        <v>0.5714285714285714</v>
      </c>
      <c r="AN914" s="9">
        <f t="shared" si="191"/>
        <v>0.69047619047619047</v>
      </c>
      <c r="AO914" s="9">
        <f t="shared" si="192"/>
        <v>0.69047619047619047</v>
      </c>
      <c r="AP914" s="9">
        <f t="shared" si="193"/>
        <v>0.70693383919394559</v>
      </c>
      <c r="AQ914" s="10">
        <f t="shared" si="194"/>
        <v>0.70693475319394561</v>
      </c>
    </row>
    <row r="915" spans="1:43">
      <c r="A915">
        <v>914</v>
      </c>
      <c r="B915" t="s">
        <v>26</v>
      </c>
      <c r="C915" t="s">
        <v>204</v>
      </c>
      <c r="D915" t="s">
        <v>205</v>
      </c>
      <c r="E915" t="s">
        <v>97</v>
      </c>
      <c r="G915" t="s">
        <v>18</v>
      </c>
      <c r="H915" s="4">
        <v>27512730</v>
      </c>
      <c r="I915" s="5">
        <v>256</v>
      </c>
      <c r="J915" s="5">
        <v>0</v>
      </c>
      <c r="K915" s="5">
        <v>8</v>
      </c>
      <c r="L915">
        <v>9.4</v>
      </c>
      <c r="M915">
        <v>6.5</v>
      </c>
      <c r="N915">
        <v>5.92</v>
      </c>
      <c r="O915" s="6">
        <v>15.6</v>
      </c>
      <c r="P915" s="7">
        <v>2.04</v>
      </c>
      <c r="U915" t="s">
        <v>84</v>
      </c>
      <c r="V915" t="s">
        <v>140</v>
      </c>
      <c r="W915">
        <v>2.7</v>
      </c>
      <c r="X915" t="s">
        <v>122</v>
      </c>
      <c r="Y915" t="s">
        <v>183</v>
      </c>
      <c r="Z915" t="s">
        <v>100</v>
      </c>
      <c r="AA915" t="s">
        <v>101</v>
      </c>
      <c r="AB915" t="s">
        <v>115</v>
      </c>
      <c r="AC915">
        <v>1018.99</v>
      </c>
      <c r="AD915" s="8" t="b">
        <f>AND(
 H915&gt;=Filters!$B$3,
 H915&lt;=Filters!$B$4,
 I915&gt;=Filters!$B$5,
 OR(Filters!$B$6="All",B915=Filters!$B$6),
 F915&gt;=Filters!$B$7,
 F915&lt;=Filters!$B$8,
 OR(Filters!$B$9="All",G915=Filters!$B$9)
)</f>
        <v>0</v>
      </c>
      <c r="AE915">
        <f t="shared" si="182"/>
        <v>6</v>
      </c>
      <c r="AF915">
        <f t="shared" si="183"/>
        <v>7</v>
      </c>
      <c r="AG915">
        <f t="shared" si="184"/>
        <v>7</v>
      </c>
      <c r="AH915" s="9" t="str">
        <f t="shared" si="185"/>
        <v/>
      </c>
      <c r="AI915" s="9" t="str">
        <f t="shared" si="186"/>
        <v/>
      </c>
      <c r="AJ915" s="9" t="str">
        <f t="shared" si="187"/>
        <v/>
      </c>
      <c r="AK915" s="9" t="str">
        <f t="shared" si="188"/>
        <v/>
      </c>
      <c r="AL915" s="9" t="str">
        <f t="shared" si="189"/>
        <v/>
      </c>
      <c r="AM915" s="9" t="str">
        <f t="shared" si="190"/>
        <v/>
      </c>
      <c r="AN915" s="9" t="str">
        <f t="shared" si="191"/>
        <v/>
      </c>
      <c r="AO915" s="9" t="str">
        <f t="shared" si="192"/>
        <v/>
      </c>
      <c r="AP915" s="9" t="str">
        <f t="shared" si="193"/>
        <v/>
      </c>
      <c r="AQ915" s="10" t="str">
        <f t="shared" si="194"/>
        <v/>
      </c>
    </row>
    <row r="916" spans="1:43">
      <c r="A916">
        <v>915</v>
      </c>
      <c r="B916" t="s">
        <v>17</v>
      </c>
      <c r="C916" t="s">
        <v>620</v>
      </c>
      <c r="D916" t="s">
        <v>621</v>
      </c>
      <c r="E916" t="s">
        <v>97</v>
      </c>
      <c r="G916" t="s">
        <v>18</v>
      </c>
      <c r="H916" s="4">
        <v>13473000</v>
      </c>
      <c r="I916" s="5">
        <v>0</v>
      </c>
      <c r="J916" s="5">
        <v>1024</v>
      </c>
      <c r="K916" s="5">
        <v>4</v>
      </c>
      <c r="L916">
        <v>4.8</v>
      </c>
      <c r="M916">
        <v>3.5</v>
      </c>
      <c r="N916">
        <v>5.92</v>
      </c>
      <c r="O916" s="6">
        <v>15.6</v>
      </c>
      <c r="P916" s="7">
        <v>2.4</v>
      </c>
      <c r="U916" t="s">
        <v>84</v>
      </c>
      <c r="V916" t="s">
        <v>144</v>
      </c>
      <c r="W916">
        <v>2.4</v>
      </c>
      <c r="X916" t="s">
        <v>84</v>
      </c>
      <c r="Y916" t="s">
        <v>99</v>
      </c>
      <c r="Z916" t="s">
        <v>146</v>
      </c>
      <c r="AA916" t="s">
        <v>101</v>
      </c>
      <c r="AB916" t="s">
        <v>115</v>
      </c>
      <c r="AC916">
        <v>499</v>
      </c>
      <c r="AD916" s="8" t="b">
        <f>AND(
 H916&gt;=Filters!$B$3,
 H916&lt;=Filters!$B$4,
 I916&gt;=Filters!$B$5,
 OR(Filters!$B$6="All",B916=Filters!$B$6),
 F916&gt;=Filters!$B$7,
 F916&lt;=Filters!$B$8,
 OR(Filters!$B$9="All",G916=Filters!$B$9)
)</f>
        <v>0</v>
      </c>
      <c r="AE916">
        <f t="shared" si="182"/>
        <v>6</v>
      </c>
      <c r="AF916">
        <f t="shared" si="183"/>
        <v>7</v>
      </c>
      <c r="AG916">
        <f t="shared" si="184"/>
        <v>7</v>
      </c>
      <c r="AH916" s="9" t="str">
        <f t="shared" si="185"/>
        <v/>
      </c>
      <c r="AI916" s="9" t="str">
        <f t="shared" si="186"/>
        <v/>
      </c>
      <c r="AJ916" s="9" t="str">
        <f t="shared" si="187"/>
        <v/>
      </c>
      <c r="AK916" s="9" t="str">
        <f t="shared" si="188"/>
        <v/>
      </c>
      <c r="AL916" s="9" t="str">
        <f t="shared" si="189"/>
        <v/>
      </c>
      <c r="AM916" s="9" t="str">
        <f t="shared" si="190"/>
        <v/>
      </c>
      <c r="AN916" s="9" t="str">
        <f t="shared" si="191"/>
        <v/>
      </c>
      <c r="AO916" s="9" t="str">
        <f t="shared" si="192"/>
        <v/>
      </c>
      <c r="AP916" s="9" t="str">
        <f t="shared" si="193"/>
        <v/>
      </c>
      <c r="AQ916" s="10" t="str">
        <f t="shared" si="194"/>
        <v/>
      </c>
    </row>
    <row r="917" spans="1:43">
      <c r="A917">
        <v>916</v>
      </c>
      <c r="B917" t="s">
        <v>29</v>
      </c>
      <c r="C917" t="s">
        <v>602</v>
      </c>
      <c r="D917" t="s">
        <v>603</v>
      </c>
      <c r="E917" t="s">
        <v>97</v>
      </c>
      <c r="G917" t="s">
        <v>18</v>
      </c>
      <c r="H917" s="4">
        <v>23787000</v>
      </c>
      <c r="I917" s="5">
        <v>128</v>
      </c>
      <c r="J917" s="5">
        <v>0</v>
      </c>
      <c r="K917" s="5">
        <v>4</v>
      </c>
      <c r="L917">
        <v>7</v>
      </c>
      <c r="M917">
        <v>3.5</v>
      </c>
      <c r="N917">
        <v>5.96</v>
      </c>
      <c r="O917" s="6">
        <v>13.3</v>
      </c>
      <c r="P917" s="7">
        <v>1.44</v>
      </c>
      <c r="U917" t="s">
        <v>84</v>
      </c>
      <c r="V917" t="s">
        <v>98</v>
      </c>
      <c r="W917">
        <v>2.5</v>
      </c>
      <c r="X917" t="s">
        <v>84</v>
      </c>
      <c r="Y917" t="s">
        <v>99</v>
      </c>
      <c r="Z917" t="s">
        <v>87</v>
      </c>
      <c r="AA917" t="s">
        <v>101</v>
      </c>
      <c r="AB917" t="s">
        <v>115</v>
      </c>
      <c r="AC917">
        <v>881</v>
      </c>
      <c r="AD917" s="8" t="b">
        <f>AND(
 H917&gt;=Filters!$B$3,
 H917&lt;=Filters!$B$4,
 I917&gt;=Filters!$B$5,
 OR(Filters!$B$6="All",B917=Filters!$B$6),
 F917&gt;=Filters!$B$7,
 F917&lt;=Filters!$B$8,
 OR(Filters!$B$9="All",G917=Filters!$B$9)
)</f>
        <v>0</v>
      </c>
      <c r="AE917">
        <f t="shared" si="182"/>
        <v>6</v>
      </c>
      <c r="AF917">
        <f t="shared" si="183"/>
        <v>7</v>
      </c>
      <c r="AG917">
        <f t="shared" si="184"/>
        <v>7</v>
      </c>
      <c r="AH917" s="9" t="str">
        <f t="shared" si="185"/>
        <v/>
      </c>
      <c r="AI917" s="9" t="str">
        <f t="shared" si="186"/>
        <v/>
      </c>
      <c r="AJ917" s="9" t="str">
        <f t="shared" si="187"/>
        <v/>
      </c>
      <c r="AK917" s="9" t="str">
        <f t="shared" si="188"/>
        <v/>
      </c>
      <c r="AL917" s="9" t="str">
        <f t="shared" si="189"/>
        <v/>
      </c>
      <c r="AM917" s="9" t="str">
        <f t="shared" si="190"/>
        <v/>
      </c>
      <c r="AN917" s="9" t="str">
        <f t="shared" si="191"/>
        <v/>
      </c>
      <c r="AO917" s="9" t="str">
        <f t="shared" si="192"/>
        <v/>
      </c>
      <c r="AP917" s="9" t="str">
        <f t="shared" si="193"/>
        <v/>
      </c>
      <c r="AQ917" s="10" t="str">
        <f t="shared" si="194"/>
        <v/>
      </c>
    </row>
    <row r="918" spans="1:43">
      <c r="A918">
        <v>917</v>
      </c>
      <c r="B918" t="s">
        <v>26</v>
      </c>
      <c r="C918" t="s">
        <v>303</v>
      </c>
      <c r="D918" t="s">
        <v>304</v>
      </c>
      <c r="E918" t="s">
        <v>97</v>
      </c>
      <c r="G918" t="s">
        <v>18</v>
      </c>
      <c r="H918" s="4">
        <v>25920000</v>
      </c>
      <c r="I918" s="5">
        <v>256</v>
      </c>
      <c r="J918" s="5">
        <v>0</v>
      </c>
      <c r="K918" s="5">
        <v>8</v>
      </c>
      <c r="L918">
        <v>7</v>
      </c>
      <c r="M918">
        <v>3.5</v>
      </c>
      <c r="N918">
        <v>5.96</v>
      </c>
      <c r="O918" s="6">
        <v>13.3</v>
      </c>
      <c r="P918" s="7">
        <v>1.49</v>
      </c>
      <c r="U918" t="s">
        <v>84</v>
      </c>
      <c r="V918" t="s">
        <v>98</v>
      </c>
      <c r="W918">
        <v>2.5</v>
      </c>
      <c r="X918" t="s">
        <v>84</v>
      </c>
      <c r="Y918" t="s">
        <v>99</v>
      </c>
      <c r="Z918" t="s">
        <v>100</v>
      </c>
      <c r="AA918" t="s">
        <v>101</v>
      </c>
      <c r="AB918" t="s">
        <v>115</v>
      </c>
      <c r="AC918">
        <v>960</v>
      </c>
      <c r="AD918" s="8" t="b">
        <f>AND(
 H918&gt;=Filters!$B$3,
 H918&lt;=Filters!$B$4,
 I918&gt;=Filters!$B$5,
 OR(Filters!$B$6="All",B918=Filters!$B$6),
 F918&gt;=Filters!$B$7,
 F918&lt;=Filters!$B$8,
 OR(Filters!$B$9="All",G918=Filters!$B$9)
)</f>
        <v>0</v>
      </c>
      <c r="AE918">
        <f t="shared" si="182"/>
        <v>6</v>
      </c>
      <c r="AF918">
        <f t="shared" si="183"/>
        <v>7</v>
      </c>
      <c r="AG918">
        <f t="shared" si="184"/>
        <v>7</v>
      </c>
      <c r="AH918" s="9" t="str">
        <f t="shared" si="185"/>
        <v/>
      </c>
      <c r="AI918" s="9" t="str">
        <f t="shared" si="186"/>
        <v/>
      </c>
      <c r="AJ918" s="9" t="str">
        <f t="shared" si="187"/>
        <v/>
      </c>
      <c r="AK918" s="9" t="str">
        <f t="shared" si="188"/>
        <v/>
      </c>
      <c r="AL918" s="9" t="str">
        <f t="shared" si="189"/>
        <v/>
      </c>
      <c r="AM918" s="9" t="str">
        <f t="shared" si="190"/>
        <v/>
      </c>
      <c r="AN918" s="9" t="str">
        <f t="shared" si="191"/>
        <v/>
      </c>
      <c r="AO918" s="9" t="str">
        <f t="shared" si="192"/>
        <v/>
      </c>
      <c r="AP918" s="9" t="str">
        <f t="shared" si="193"/>
        <v/>
      </c>
      <c r="AQ918" s="10" t="str">
        <f t="shared" si="194"/>
        <v/>
      </c>
    </row>
    <row r="919" spans="1:43">
      <c r="A919">
        <v>918</v>
      </c>
      <c r="B919" t="s">
        <v>30</v>
      </c>
      <c r="C919" t="s">
        <v>1306</v>
      </c>
      <c r="D919" t="s">
        <v>1307</v>
      </c>
      <c r="E919" t="s">
        <v>158</v>
      </c>
      <c r="G919" t="s">
        <v>18</v>
      </c>
      <c r="H919" s="4">
        <v>43173000</v>
      </c>
      <c r="I919" s="5">
        <v>256</v>
      </c>
      <c r="J919" s="5">
        <v>1024</v>
      </c>
      <c r="K919" s="5">
        <v>16</v>
      </c>
      <c r="L919">
        <v>9.6</v>
      </c>
      <c r="M919">
        <v>9.1999999999999993</v>
      </c>
      <c r="N919">
        <v>5.83</v>
      </c>
      <c r="O919" s="6">
        <v>17.3</v>
      </c>
      <c r="P919" s="7">
        <v>2.7</v>
      </c>
      <c r="U919" t="s">
        <v>84</v>
      </c>
      <c r="V919" t="s">
        <v>210</v>
      </c>
      <c r="W919">
        <v>2.8</v>
      </c>
      <c r="X919" t="s">
        <v>122</v>
      </c>
      <c r="Y919" t="s">
        <v>260</v>
      </c>
      <c r="Z919" t="s">
        <v>212</v>
      </c>
      <c r="AA919" t="s">
        <v>101</v>
      </c>
      <c r="AB919" t="s">
        <v>115</v>
      </c>
      <c r="AC919">
        <v>1599</v>
      </c>
      <c r="AD919" s="8" t="b">
        <f>AND(
 H919&gt;=Filters!$B$3,
 H919&lt;=Filters!$B$4,
 I919&gt;=Filters!$B$5,
 OR(Filters!$B$6="All",B919=Filters!$B$6),
 F919&gt;=Filters!$B$7,
 F919&lt;=Filters!$B$8,
 OR(Filters!$B$9="All",G919=Filters!$B$9)
)</f>
        <v>0</v>
      </c>
      <c r="AE919">
        <f t="shared" si="182"/>
        <v>6</v>
      </c>
      <c r="AF919">
        <f t="shared" si="183"/>
        <v>7</v>
      </c>
      <c r="AG919">
        <f t="shared" si="184"/>
        <v>7</v>
      </c>
      <c r="AH919" s="9" t="str">
        <f t="shared" si="185"/>
        <v/>
      </c>
      <c r="AI919" s="9" t="str">
        <f t="shared" si="186"/>
        <v/>
      </c>
      <c r="AJ919" s="9" t="str">
        <f t="shared" si="187"/>
        <v/>
      </c>
      <c r="AK919" s="9" t="str">
        <f t="shared" si="188"/>
        <v/>
      </c>
      <c r="AL919" s="9" t="str">
        <f t="shared" si="189"/>
        <v/>
      </c>
      <c r="AM919" s="9" t="str">
        <f t="shared" si="190"/>
        <v/>
      </c>
      <c r="AN919" s="9" t="str">
        <f t="shared" si="191"/>
        <v/>
      </c>
      <c r="AO919" s="9" t="str">
        <f t="shared" si="192"/>
        <v/>
      </c>
      <c r="AP919" s="9" t="str">
        <f t="shared" si="193"/>
        <v/>
      </c>
      <c r="AQ919" s="10" t="str">
        <f t="shared" si="194"/>
        <v/>
      </c>
    </row>
    <row r="920" spans="1:43">
      <c r="A920">
        <v>919</v>
      </c>
      <c r="B920" t="s">
        <v>23</v>
      </c>
      <c r="C920" t="s">
        <v>391</v>
      </c>
      <c r="D920" t="s">
        <v>392</v>
      </c>
      <c r="E920" t="s">
        <v>158</v>
      </c>
      <c r="G920" t="s">
        <v>18</v>
      </c>
      <c r="H920" s="4">
        <v>36423000</v>
      </c>
      <c r="I920" s="5">
        <v>128</v>
      </c>
      <c r="J920" s="5">
        <v>1024</v>
      </c>
      <c r="K920" s="5">
        <v>16</v>
      </c>
      <c r="L920">
        <v>9.6</v>
      </c>
      <c r="M920">
        <v>9.1999999999999993</v>
      </c>
      <c r="N920">
        <v>5.92</v>
      </c>
      <c r="O920" s="6">
        <v>15.6</v>
      </c>
      <c r="P920" s="7">
        <v>2.6</v>
      </c>
      <c r="U920" t="s">
        <v>84</v>
      </c>
      <c r="V920" t="s">
        <v>210</v>
      </c>
      <c r="W920">
        <v>2.8</v>
      </c>
      <c r="X920" t="s">
        <v>122</v>
      </c>
      <c r="Y920" t="s">
        <v>260</v>
      </c>
      <c r="Z920" t="s">
        <v>161</v>
      </c>
      <c r="AA920" t="s">
        <v>101</v>
      </c>
      <c r="AB920" t="s">
        <v>115</v>
      </c>
      <c r="AC920">
        <v>1349</v>
      </c>
      <c r="AD920" s="8" t="b">
        <f>AND(
 H920&gt;=Filters!$B$3,
 H920&lt;=Filters!$B$4,
 I920&gt;=Filters!$B$5,
 OR(Filters!$B$6="All",B920=Filters!$B$6),
 F920&gt;=Filters!$B$7,
 F920&lt;=Filters!$B$8,
 OR(Filters!$B$9="All",G920=Filters!$B$9)
)</f>
        <v>0</v>
      </c>
      <c r="AE920">
        <f t="shared" si="182"/>
        <v>6</v>
      </c>
      <c r="AF920">
        <f t="shared" si="183"/>
        <v>7</v>
      </c>
      <c r="AG920">
        <f t="shared" si="184"/>
        <v>7</v>
      </c>
      <c r="AH920" s="9" t="str">
        <f t="shared" si="185"/>
        <v/>
      </c>
      <c r="AI920" s="9" t="str">
        <f t="shared" si="186"/>
        <v/>
      </c>
      <c r="AJ920" s="9" t="str">
        <f t="shared" si="187"/>
        <v/>
      </c>
      <c r="AK920" s="9" t="str">
        <f t="shared" si="188"/>
        <v/>
      </c>
      <c r="AL920" s="9" t="str">
        <f t="shared" si="189"/>
        <v/>
      </c>
      <c r="AM920" s="9" t="str">
        <f t="shared" si="190"/>
        <v/>
      </c>
      <c r="AN920" s="9" t="str">
        <f t="shared" si="191"/>
        <v/>
      </c>
      <c r="AO920" s="9" t="str">
        <f t="shared" si="192"/>
        <v/>
      </c>
      <c r="AP920" s="9" t="str">
        <f t="shared" si="193"/>
        <v/>
      </c>
      <c r="AQ920" s="10" t="str">
        <f t="shared" si="194"/>
        <v/>
      </c>
    </row>
    <row r="921" spans="1:43">
      <c r="A921">
        <v>920</v>
      </c>
      <c r="B921" t="s">
        <v>30</v>
      </c>
      <c r="C921" t="s">
        <v>1225</v>
      </c>
      <c r="D921" t="s">
        <v>1226</v>
      </c>
      <c r="E921" t="s">
        <v>158</v>
      </c>
      <c r="G921" t="s">
        <v>18</v>
      </c>
      <c r="H921" s="4">
        <v>30237570</v>
      </c>
      <c r="I921" s="5">
        <v>128</v>
      </c>
      <c r="J921" s="5">
        <v>1024</v>
      </c>
      <c r="K921" s="5">
        <v>8</v>
      </c>
      <c r="L921">
        <v>7</v>
      </c>
      <c r="M921">
        <v>9.1999999999999993</v>
      </c>
      <c r="N921">
        <v>5.92</v>
      </c>
      <c r="O921" s="6">
        <v>15.6</v>
      </c>
      <c r="P921" s="7">
        <v>2.2000000000000002</v>
      </c>
      <c r="U921" t="s">
        <v>84</v>
      </c>
      <c r="V921" t="s">
        <v>159</v>
      </c>
      <c r="W921">
        <v>2.5</v>
      </c>
      <c r="X921" t="s">
        <v>122</v>
      </c>
      <c r="Y921" t="s">
        <v>160</v>
      </c>
      <c r="Z921" t="s">
        <v>161</v>
      </c>
      <c r="AA921" t="s">
        <v>101</v>
      </c>
      <c r="AB921" t="s">
        <v>115</v>
      </c>
      <c r="AC921">
        <v>1119.9100000000001</v>
      </c>
      <c r="AD921" s="8" t="b">
        <f>AND(
 H921&gt;=Filters!$B$3,
 H921&lt;=Filters!$B$4,
 I921&gt;=Filters!$B$5,
 OR(Filters!$B$6="All",B921=Filters!$B$6),
 F921&gt;=Filters!$B$7,
 F921&lt;=Filters!$B$8,
 OR(Filters!$B$9="All",G921=Filters!$B$9)
)</f>
        <v>0</v>
      </c>
      <c r="AE921">
        <f t="shared" si="182"/>
        <v>6</v>
      </c>
      <c r="AF921">
        <f t="shared" si="183"/>
        <v>7</v>
      </c>
      <c r="AG921">
        <f t="shared" si="184"/>
        <v>7</v>
      </c>
      <c r="AH921" s="9" t="str">
        <f t="shared" si="185"/>
        <v/>
      </c>
      <c r="AI921" s="9" t="str">
        <f t="shared" si="186"/>
        <v/>
      </c>
      <c r="AJ921" s="9" t="str">
        <f t="shared" si="187"/>
        <v/>
      </c>
      <c r="AK921" s="9" t="str">
        <f t="shared" si="188"/>
        <v/>
      </c>
      <c r="AL921" s="9" t="str">
        <f t="shared" si="189"/>
        <v/>
      </c>
      <c r="AM921" s="9" t="str">
        <f t="shared" si="190"/>
        <v/>
      </c>
      <c r="AN921" s="9" t="str">
        <f t="shared" si="191"/>
        <v/>
      </c>
      <c r="AO921" s="9" t="str">
        <f t="shared" si="192"/>
        <v/>
      </c>
      <c r="AP921" s="9" t="str">
        <f t="shared" si="193"/>
        <v/>
      </c>
      <c r="AQ921" s="10" t="str">
        <f t="shared" si="194"/>
        <v/>
      </c>
    </row>
    <row r="922" spans="1:43">
      <c r="A922">
        <v>921</v>
      </c>
      <c r="B922" t="s">
        <v>23</v>
      </c>
      <c r="C922" t="s">
        <v>540</v>
      </c>
      <c r="D922" t="s">
        <v>541</v>
      </c>
      <c r="E922" t="s">
        <v>97</v>
      </c>
      <c r="G922" t="s">
        <v>18</v>
      </c>
      <c r="H922" s="4">
        <v>18494730</v>
      </c>
      <c r="I922" s="5">
        <v>0</v>
      </c>
      <c r="J922" s="5">
        <v>1024</v>
      </c>
      <c r="K922" s="5">
        <v>4</v>
      </c>
      <c r="L922">
        <v>7</v>
      </c>
      <c r="M922">
        <v>6.5</v>
      </c>
      <c r="N922">
        <v>3.92</v>
      </c>
      <c r="O922" s="6">
        <v>15.6</v>
      </c>
      <c r="P922" s="7">
        <v>2.1800000000000002</v>
      </c>
      <c r="U922" t="s">
        <v>84</v>
      </c>
      <c r="V922" t="s">
        <v>98</v>
      </c>
      <c r="W922">
        <v>2.5</v>
      </c>
      <c r="X922" t="s">
        <v>104</v>
      </c>
      <c r="Y922" t="s">
        <v>411</v>
      </c>
      <c r="Z922" t="s">
        <v>146</v>
      </c>
      <c r="AA922" t="s">
        <v>114</v>
      </c>
      <c r="AB922" t="s">
        <v>115</v>
      </c>
      <c r="AC922">
        <v>684.99</v>
      </c>
      <c r="AD922" s="8" t="b">
        <f>AND(
 H922&gt;=Filters!$B$3,
 H922&lt;=Filters!$B$4,
 I922&gt;=Filters!$B$5,
 OR(Filters!$B$6="All",B922=Filters!$B$6),
 F922&gt;=Filters!$B$7,
 F922&lt;=Filters!$B$8,
 OR(Filters!$B$9="All",G922=Filters!$B$9)
)</f>
        <v>0</v>
      </c>
      <c r="AE922">
        <f t="shared" si="182"/>
        <v>6</v>
      </c>
      <c r="AF922">
        <f t="shared" si="183"/>
        <v>7</v>
      </c>
      <c r="AG922">
        <f t="shared" si="184"/>
        <v>7</v>
      </c>
      <c r="AH922" s="9" t="str">
        <f t="shared" si="185"/>
        <v/>
      </c>
      <c r="AI922" s="9" t="str">
        <f t="shared" si="186"/>
        <v/>
      </c>
      <c r="AJ922" s="9" t="str">
        <f t="shared" si="187"/>
        <v/>
      </c>
      <c r="AK922" s="9" t="str">
        <f t="shared" si="188"/>
        <v/>
      </c>
      <c r="AL922" s="9" t="str">
        <f t="shared" si="189"/>
        <v/>
      </c>
      <c r="AM922" s="9" t="str">
        <f t="shared" si="190"/>
        <v/>
      </c>
      <c r="AN922" s="9" t="str">
        <f t="shared" si="191"/>
        <v/>
      </c>
      <c r="AO922" s="9" t="str">
        <f t="shared" si="192"/>
        <v/>
      </c>
      <c r="AP922" s="9" t="str">
        <f t="shared" si="193"/>
        <v/>
      </c>
      <c r="AQ922" s="10" t="str">
        <f t="shared" si="194"/>
        <v/>
      </c>
    </row>
    <row r="923" spans="1:43">
      <c r="A923">
        <v>922</v>
      </c>
      <c r="B923" t="s">
        <v>26</v>
      </c>
      <c r="C923" t="s">
        <v>978</v>
      </c>
      <c r="D923" t="s">
        <v>958</v>
      </c>
      <c r="E923" t="s">
        <v>83</v>
      </c>
      <c r="G923" t="s">
        <v>18</v>
      </c>
      <c r="H923" s="4">
        <v>35018730</v>
      </c>
      <c r="I923" s="5">
        <v>256</v>
      </c>
      <c r="J923" s="5">
        <v>0</v>
      </c>
      <c r="K923" s="5">
        <v>8</v>
      </c>
      <c r="L923">
        <v>9</v>
      </c>
      <c r="M923">
        <v>6.5</v>
      </c>
      <c r="N923">
        <v>5.92</v>
      </c>
      <c r="O923" s="6">
        <v>15.6</v>
      </c>
      <c r="P923" s="7">
        <v>1.84</v>
      </c>
      <c r="U923" t="s">
        <v>84</v>
      </c>
      <c r="V923" t="s">
        <v>485</v>
      </c>
      <c r="W923">
        <v>2.5</v>
      </c>
      <c r="X923" t="s">
        <v>104</v>
      </c>
      <c r="Y923" t="s">
        <v>1308</v>
      </c>
      <c r="Z923" t="s">
        <v>100</v>
      </c>
      <c r="AA923" t="s">
        <v>101</v>
      </c>
      <c r="AB923" t="s">
        <v>115</v>
      </c>
      <c r="AC923">
        <v>1296.99</v>
      </c>
      <c r="AD923" s="8" t="b">
        <f>AND(
 H923&gt;=Filters!$B$3,
 H923&lt;=Filters!$B$4,
 I923&gt;=Filters!$B$5,
 OR(Filters!$B$6="All",B923=Filters!$B$6),
 F923&gt;=Filters!$B$7,
 F923&lt;=Filters!$B$8,
 OR(Filters!$B$9="All",G923=Filters!$B$9)
)</f>
        <v>0</v>
      </c>
      <c r="AE923">
        <f t="shared" si="182"/>
        <v>6</v>
      </c>
      <c r="AF923">
        <f t="shared" si="183"/>
        <v>7</v>
      </c>
      <c r="AG923">
        <f t="shared" si="184"/>
        <v>7</v>
      </c>
      <c r="AH923" s="9" t="str">
        <f t="shared" si="185"/>
        <v/>
      </c>
      <c r="AI923" s="9" t="str">
        <f t="shared" si="186"/>
        <v/>
      </c>
      <c r="AJ923" s="9" t="str">
        <f t="shared" si="187"/>
        <v/>
      </c>
      <c r="AK923" s="9" t="str">
        <f t="shared" si="188"/>
        <v/>
      </c>
      <c r="AL923" s="9" t="str">
        <f t="shared" si="189"/>
        <v/>
      </c>
      <c r="AM923" s="9" t="str">
        <f t="shared" si="190"/>
        <v/>
      </c>
      <c r="AN923" s="9" t="str">
        <f t="shared" si="191"/>
        <v/>
      </c>
      <c r="AO923" s="9" t="str">
        <f t="shared" si="192"/>
        <v/>
      </c>
      <c r="AP923" s="9" t="str">
        <f t="shared" si="193"/>
        <v/>
      </c>
      <c r="AQ923" s="10" t="str">
        <f t="shared" si="194"/>
        <v/>
      </c>
    </row>
    <row r="924" spans="1:43">
      <c r="A924">
        <v>923</v>
      </c>
      <c r="B924" t="s">
        <v>26</v>
      </c>
      <c r="C924" t="s">
        <v>1309</v>
      </c>
      <c r="D924" t="s">
        <v>1310</v>
      </c>
      <c r="E924" t="s">
        <v>83</v>
      </c>
      <c r="G924" t="s">
        <v>18</v>
      </c>
      <c r="H924" s="4">
        <v>31023000</v>
      </c>
      <c r="I924" s="5">
        <v>256</v>
      </c>
      <c r="J924" s="5">
        <v>0</v>
      </c>
      <c r="K924" s="5">
        <v>8</v>
      </c>
      <c r="L924">
        <v>9.4</v>
      </c>
      <c r="M924">
        <v>3.5</v>
      </c>
      <c r="N924">
        <v>8.4600000000000009</v>
      </c>
      <c r="O924" s="6">
        <v>13.3</v>
      </c>
      <c r="P924" s="7">
        <v>1.39</v>
      </c>
      <c r="U924" t="s">
        <v>84</v>
      </c>
      <c r="V924" t="s">
        <v>140</v>
      </c>
      <c r="W924">
        <v>2.7</v>
      </c>
      <c r="X924" t="s">
        <v>84</v>
      </c>
      <c r="Y924" t="s">
        <v>99</v>
      </c>
      <c r="Z924" t="s">
        <v>100</v>
      </c>
      <c r="AA924" t="s">
        <v>333</v>
      </c>
      <c r="AB924" t="s">
        <v>115</v>
      </c>
      <c r="AC924">
        <v>1149</v>
      </c>
      <c r="AD924" s="8" t="b">
        <f>AND(
 H924&gt;=Filters!$B$3,
 H924&lt;=Filters!$B$4,
 I924&gt;=Filters!$B$5,
 OR(Filters!$B$6="All",B924=Filters!$B$6),
 F924&gt;=Filters!$B$7,
 F924&lt;=Filters!$B$8,
 OR(Filters!$B$9="All",G924=Filters!$B$9)
)</f>
        <v>0</v>
      </c>
      <c r="AE924">
        <f t="shared" si="182"/>
        <v>6</v>
      </c>
      <c r="AF924">
        <f t="shared" si="183"/>
        <v>7</v>
      </c>
      <c r="AG924">
        <f t="shared" si="184"/>
        <v>7</v>
      </c>
      <c r="AH924" s="9" t="str">
        <f t="shared" si="185"/>
        <v/>
      </c>
      <c r="AI924" s="9" t="str">
        <f t="shared" si="186"/>
        <v/>
      </c>
      <c r="AJ924" s="9" t="str">
        <f t="shared" si="187"/>
        <v/>
      </c>
      <c r="AK924" s="9" t="str">
        <f t="shared" si="188"/>
        <v/>
      </c>
      <c r="AL924" s="9" t="str">
        <f t="shared" si="189"/>
        <v/>
      </c>
      <c r="AM924" s="9" t="str">
        <f t="shared" si="190"/>
        <v/>
      </c>
      <c r="AN924" s="9" t="str">
        <f t="shared" si="191"/>
        <v/>
      </c>
      <c r="AO924" s="9" t="str">
        <f t="shared" si="192"/>
        <v/>
      </c>
      <c r="AP924" s="9" t="str">
        <f t="shared" si="193"/>
        <v/>
      </c>
      <c r="AQ924" s="10" t="str">
        <f t="shared" si="194"/>
        <v/>
      </c>
    </row>
    <row r="925" spans="1:43">
      <c r="A925">
        <v>924</v>
      </c>
      <c r="B925" t="s">
        <v>35</v>
      </c>
      <c r="C925" t="s">
        <v>1311</v>
      </c>
      <c r="D925" t="s">
        <v>1312</v>
      </c>
      <c r="E925" t="s">
        <v>97</v>
      </c>
      <c r="G925" t="s">
        <v>18</v>
      </c>
      <c r="H925" s="4">
        <v>53325000</v>
      </c>
      <c r="I925" s="5">
        <v>256</v>
      </c>
      <c r="J925" s="5">
        <v>0</v>
      </c>
      <c r="K925" s="5">
        <v>16</v>
      </c>
      <c r="L925">
        <v>9.1999999999999993</v>
      </c>
      <c r="M925">
        <v>8.5</v>
      </c>
      <c r="N925">
        <v>6.32</v>
      </c>
      <c r="O925" s="6">
        <v>15.6</v>
      </c>
      <c r="P925" s="7">
        <v>2.4</v>
      </c>
      <c r="U925" t="s">
        <v>84</v>
      </c>
      <c r="V925" t="s">
        <v>548</v>
      </c>
      <c r="W925">
        <v>2.6</v>
      </c>
      <c r="X925" t="s">
        <v>122</v>
      </c>
      <c r="Y925" t="s">
        <v>549</v>
      </c>
      <c r="Z925" t="s">
        <v>100</v>
      </c>
      <c r="AA925" t="s">
        <v>128</v>
      </c>
      <c r="AB925" t="s">
        <v>115</v>
      </c>
      <c r="AC925">
        <v>1975</v>
      </c>
      <c r="AD925" s="8" t="b">
        <f>AND(
 H925&gt;=Filters!$B$3,
 H925&lt;=Filters!$B$4,
 I925&gt;=Filters!$B$5,
 OR(Filters!$B$6="All",B925=Filters!$B$6),
 F925&gt;=Filters!$B$7,
 F925&lt;=Filters!$B$8,
 OR(Filters!$B$9="All",G925=Filters!$B$9)
)</f>
        <v>0</v>
      </c>
      <c r="AE925">
        <f t="shared" si="182"/>
        <v>6</v>
      </c>
      <c r="AF925">
        <f t="shared" si="183"/>
        <v>7</v>
      </c>
      <c r="AG925">
        <f t="shared" si="184"/>
        <v>7</v>
      </c>
      <c r="AH925" s="9" t="str">
        <f t="shared" si="185"/>
        <v/>
      </c>
      <c r="AI925" s="9" t="str">
        <f t="shared" si="186"/>
        <v/>
      </c>
      <c r="AJ925" s="9" t="str">
        <f t="shared" si="187"/>
        <v/>
      </c>
      <c r="AK925" s="9" t="str">
        <f t="shared" si="188"/>
        <v/>
      </c>
      <c r="AL925" s="9" t="str">
        <f t="shared" si="189"/>
        <v/>
      </c>
      <c r="AM925" s="9" t="str">
        <f t="shared" si="190"/>
        <v/>
      </c>
      <c r="AN925" s="9" t="str">
        <f t="shared" si="191"/>
        <v/>
      </c>
      <c r="AO925" s="9" t="str">
        <f t="shared" si="192"/>
        <v/>
      </c>
      <c r="AP925" s="9" t="str">
        <f t="shared" si="193"/>
        <v/>
      </c>
      <c r="AQ925" s="10" t="str">
        <f t="shared" si="194"/>
        <v/>
      </c>
    </row>
    <row r="926" spans="1:43">
      <c r="A926">
        <v>925</v>
      </c>
      <c r="B926" t="s">
        <v>29</v>
      </c>
      <c r="C926" t="s">
        <v>334</v>
      </c>
      <c r="D926" t="s">
        <v>335</v>
      </c>
      <c r="E926" t="s">
        <v>168</v>
      </c>
      <c r="G926" t="s">
        <v>18</v>
      </c>
      <c r="H926" s="4">
        <v>49275000</v>
      </c>
      <c r="I926" s="5">
        <v>512</v>
      </c>
      <c r="J926" s="5">
        <v>0</v>
      </c>
      <c r="K926" s="5">
        <v>8</v>
      </c>
      <c r="L926">
        <v>7</v>
      </c>
      <c r="M926">
        <v>3.5</v>
      </c>
      <c r="N926">
        <v>6.67</v>
      </c>
      <c r="O926" s="6">
        <v>13.3</v>
      </c>
      <c r="P926" s="7">
        <v>1.37</v>
      </c>
      <c r="U926" t="s">
        <v>84</v>
      </c>
      <c r="V926" t="s">
        <v>98</v>
      </c>
      <c r="W926">
        <v>2.5</v>
      </c>
      <c r="X926" t="s">
        <v>84</v>
      </c>
      <c r="Y926" t="s">
        <v>99</v>
      </c>
      <c r="Z926" t="s">
        <v>106</v>
      </c>
      <c r="AA926" t="s">
        <v>149</v>
      </c>
      <c r="AB926" t="s">
        <v>115</v>
      </c>
      <c r="AC926">
        <v>1825</v>
      </c>
      <c r="AD926" s="8" t="b">
        <f>AND(
 H926&gt;=Filters!$B$3,
 H926&lt;=Filters!$B$4,
 I926&gt;=Filters!$B$5,
 OR(Filters!$B$6="All",B926=Filters!$B$6),
 F926&gt;=Filters!$B$7,
 F926&lt;=Filters!$B$8,
 OR(Filters!$B$9="All",G926=Filters!$B$9)
)</f>
        <v>0</v>
      </c>
      <c r="AE926">
        <f t="shared" si="182"/>
        <v>6</v>
      </c>
      <c r="AF926">
        <f t="shared" si="183"/>
        <v>7</v>
      </c>
      <c r="AG926">
        <f t="shared" si="184"/>
        <v>7</v>
      </c>
      <c r="AH926" s="9" t="str">
        <f t="shared" si="185"/>
        <v/>
      </c>
      <c r="AI926" s="9" t="str">
        <f t="shared" si="186"/>
        <v/>
      </c>
      <c r="AJ926" s="9" t="str">
        <f t="shared" si="187"/>
        <v/>
      </c>
      <c r="AK926" s="9" t="str">
        <f t="shared" si="188"/>
        <v/>
      </c>
      <c r="AL926" s="9" t="str">
        <f t="shared" si="189"/>
        <v/>
      </c>
      <c r="AM926" s="9" t="str">
        <f t="shared" si="190"/>
        <v/>
      </c>
      <c r="AN926" s="9" t="str">
        <f t="shared" si="191"/>
        <v/>
      </c>
      <c r="AO926" s="9" t="str">
        <f t="shared" si="192"/>
        <v/>
      </c>
      <c r="AP926" s="9" t="str">
        <f t="shared" si="193"/>
        <v/>
      </c>
      <c r="AQ926" s="10" t="str">
        <f t="shared" si="194"/>
        <v/>
      </c>
    </row>
    <row r="927" spans="1:43">
      <c r="A927">
        <v>926</v>
      </c>
      <c r="B927" t="s">
        <v>23</v>
      </c>
      <c r="C927" t="s">
        <v>1032</v>
      </c>
      <c r="D927" t="s">
        <v>1033</v>
      </c>
      <c r="E927" t="s">
        <v>97</v>
      </c>
      <c r="G927" t="s">
        <v>18</v>
      </c>
      <c r="H927" s="4">
        <v>19707300</v>
      </c>
      <c r="I927" s="5">
        <v>0</v>
      </c>
      <c r="J927" s="5">
        <v>500</v>
      </c>
      <c r="K927" s="5">
        <v>4</v>
      </c>
      <c r="L927">
        <v>6.6</v>
      </c>
      <c r="M927">
        <v>3.5</v>
      </c>
      <c r="N927">
        <v>3.92</v>
      </c>
      <c r="O927" s="6">
        <v>15.6</v>
      </c>
      <c r="P927" s="7">
        <v>1.95</v>
      </c>
      <c r="U927" t="s">
        <v>84</v>
      </c>
      <c r="V927" t="s">
        <v>375</v>
      </c>
      <c r="W927">
        <v>2.2999999999999998</v>
      </c>
      <c r="X927" t="s">
        <v>84</v>
      </c>
      <c r="Y927" t="s">
        <v>130</v>
      </c>
      <c r="Z927" t="s">
        <v>113</v>
      </c>
      <c r="AA927" t="s">
        <v>114</v>
      </c>
      <c r="AB927" t="s">
        <v>115</v>
      </c>
      <c r="AC927">
        <v>729.9</v>
      </c>
      <c r="AD927" s="8" t="b">
        <f>AND(
 H927&gt;=Filters!$B$3,
 H927&lt;=Filters!$B$4,
 I927&gt;=Filters!$B$5,
 OR(Filters!$B$6="All",B927=Filters!$B$6),
 F927&gt;=Filters!$B$7,
 F927&lt;=Filters!$B$8,
 OR(Filters!$B$9="All",G927=Filters!$B$9)
)</f>
        <v>0</v>
      </c>
      <c r="AE927">
        <f t="shared" si="182"/>
        <v>6</v>
      </c>
      <c r="AF927">
        <f t="shared" si="183"/>
        <v>7</v>
      </c>
      <c r="AG927">
        <f t="shared" si="184"/>
        <v>7</v>
      </c>
      <c r="AH927" s="9" t="str">
        <f t="shared" si="185"/>
        <v/>
      </c>
      <c r="AI927" s="9" t="str">
        <f t="shared" si="186"/>
        <v/>
      </c>
      <c r="AJ927" s="9" t="str">
        <f t="shared" si="187"/>
        <v/>
      </c>
      <c r="AK927" s="9" t="str">
        <f t="shared" si="188"/>
        <v/>
      </c>
      <c r="AL927" s="9" t="str">
        <f t="shared" si="189"/>
        <v/>
      </c>
      <c r="AM927" s="9" t="str">
        <f t="shared" si="190"/>
        <v/>
      </c>
      <c r="AN927" s="9" t="str">
        <f t="shared" si="191"/>
        <v/>
      </c>
      <c r="AO927" s="9" t="str">
        <f t="shared" si="192"/>
        <v/>
      </c>
      <c r="AP927" s="9" t="str">
        <f t="shared" si="193"/>
        <v/>
      </c>
      <c r="AQ927" s="10" t="str">
        <f t="shared" si="194"/>
        <v/>
      </c>
    </row>
    <row r="928" spans="1:43">
      <c r="A928">
        <v>927</v>
      </c>
      <c r="B928" t="s">
        <v>29</v>
      </c>
      <c r="C928" t="s">
        <v>820</v>
      </c>
      <c r="D928" t="s">
        <v>821</v>
      </c>
      <c r="E928" t="s">
        <v>83</v>
      </c>
      <c r="G928" t="s">
        <v>18</v>
      </c>
      <c r="H928" s="4">
        <v>44550000</v>
      </c>
      <c r="I928" s="5">
        <v>256</v>
      </c>
      <c r="J928" s="5">
        <v>0</v>
      </c>
      <c r="K928" s="5">
        <v>8</v>
      </c>
      <c r="L928">
        <v>9.4</v>
      </c>
      <c r="M928">
        <v>3.5</v>
      </c>
      <c r="N928">
        <v>6.33</v>
      </c>
      <c r="O928" s="6">
        <v>12.5</v>
      </c>
      <c r="P928" s="7">
        <v>1.36</v>
      </c>
      <c r="U928" t="s">
        <v>84</v>
      </c>
      <c r="V928" t="s">
        <v>140</v>
      </c>
      <c r="W928">
        <v>2.7</v>
      </c>
      <c r="X928" t="s">
        <v>84</v>
      </c>
      <c r="Y928" t="s">
        <v>99</v>
      </c>
      <c r="Z928" t="s">
        <v>100</v>
      </c>
      <c r="AA928" t="s">
        <v>128</v>
      </c>
      <c r="AB928" t="s">
        <v>115</v>
      </c>
      <c r="AC928">
        <v>1650</v>
      </c>
      <c r="AD928" s="8" t="b">
        <f>AND(
 H928&gt;=Filters!$B$3,
 H928&lt;=Filters!$B$4,
 I928&gt;=Filters!$B$5,
 OR(Filters!$B$6="All",B928=Filters!$B$6),
 F928&gt;=Filters!$B$7,
 F928&lt;=Filters!$B$8,
 OR(Filters!$B$9="All",G928=Filters!$B$9)
)</f>
        <v>0</v>
      </c>
      <c r="AE928">
        <f t="shared" si="182"/>
        <v>6</v>
      </c>
      <c r="AF928">
        <f t="shared" si="183"/>
        <v>7</v>
      </c>
      <c r="AG928">
        <f t="shared" si="184"/>
        <v>7</v>
      </c>
      <c r="AH928" s="9" t="str">
        <f t="shared" si="185"/>
        <v/>
      </c>
      <c r="AI928" s="9" t="str">
        <f t="shared" si="186"/>
        <v/>
      </c>
      <c r="AJ928" s="9" t="str">
        <f t="shared" si="187"/>
        <v/>
      </c>
      <c r="AK928" s="9" t="str">
        <f t="shared" si="188"/>
        <v/>
      </c>
      <c r="AL928" s="9" t="str">
        <f t="shared" si="189"/>
        <v/>
      </c>
      <c r="AM928" s="9" t="str">
        <f t="shared" si="190"/>
        <v/>
      </c>
      <c r="AN928" s="9" t="str">
        <f t="shared" si="191"/>
        <v/>
      </c>
      <c r="AO928" s="9" t="str">
        <f t="shared" si="192"/>
        <v/>
      </c>
      <c r="AP928" s="9" t="str">
        <f t="shared" si="193"/>
        <v/>
      </c>
      <c r="AQ928" s="10" t="str">
        <f t="shared" si="194"/>
        <v/>
      </c>
    </row>
    <row r="929" spans="1:43">
      <c r="A929">
        <v>928</v>
      </c>
      <c r="B929" t="s">
        <v>26</v>
      </c>
      <c r="C929" t="s">
        <v>1313</v>
      </c>
      <c r="D929" t="s">
        <v>1314</v>
      </c>
      <c r="E929" t="s">
        <v>97</v>
      </c>
      <c r="G929" t="s">
        <v>18</v>
      </c>
      <c r="H929" s="4">
        <v>31455000</v>
      </c>
      <c r="I929" s="5">
        <v>256</v>
      </c>
      <c r="J929" s="5">
        <v>0</v>
      </c>
      <c r="K929" s="5">
        <v>8</v>
      </c>
      <c r="L929">
        <v>6.6</v>
      </c>
      <c r="M929">
        <v>3.5</v>
      </c>
      <c r="N929">
        <v>5.92</v>
      </c>
      <c r="O929" s="6">
        <v>15.6</v>
      </c>
      <c r="P929" s="7">
        <v>2.31</v>
      </c>
      <c r="U929" t="s">
        <v>84</v>
      </c>
      <c r="V929" t="s">
        <v>375</v>
      </c>
      <c r="W929">
        <v>2.2999999999999998</v>
      </c>
      <c r="X929" t="s">
        <v>84</v>
      </c>
      <c r="Y929" t="s">
        <v>130</v>
      </c>
      <c r="Z929" t="s">
        <v>100</v>
      </c>
      <c r="AA929" t="s">
        <v>101</v>
      </c>
      <c r="AB929" t="s">
        <v>115</v>
      </c>
      <c r="AC929">
        <v>1165</v>
      </c>
      <c r="AD929" s="8" t="b">
        <f>AND(
 H929&gt;=Filters!$B$3,
 H929&lt;=Filters!$B$4,
 I929&gt;=Filters!$B$5,
 OR(Filters!$B$6="All",B929=Filters!$B$6),
 F929&gt;=Filters!$B$7,
 F929&lt;=Filters!$B$8,
 OR(Filters!$B$9="All",G929=Filters!$B$9)
)</f>
        <v>0</v>
      </c>
      <c r="AE929">
        <f t="shared" si="182"/>
        <v>6</v>
      </c>
      <c r="AF929">
        <f t="shared" si="183"/>
        <v>7</v>
      </c>
      <c r="AG929">
        <f t="shared" si="184"/>
        <v>7</v>
      </c>
      <c r="AH929" s="9" t="str">
        <f t="shared" si="185"/>
        <v/>
      </c>
      <c r="AI929" s="9" t="str">
        <f t="shared" si="186"/>
        <v/>
      </c>
      <c r="AJ929" s="9" t="str">
        <f t="shared" si="187"/>
        <v/>
      </c>
      <c r="AK929" s="9" t="str">
        <f t="shared" si="188"/>
        <v/>
      </c>
      <c r="AL929" s="9" t="str">
        <f t="shared" si="189"/>
        <v/>
      </c>
      <c r="AM929" s="9" t="str">
        <f t="shared" si="190"/>
        <v/>
      </c>
      <c r="AN929" s="9" t="str">
        <f t="shared" si="191"/>
        <v/>
      </c>
      <c r="AO929" s="9" t="str">
        <f t="shared" si="192"/>
        <v/>
      </c>
      <c r="AP929" s="9" t="str">
        <f t="shared" si="193"/>
        <v/>
      </c>
      <c r="AQ929" s="10" t="str">
        <f t="shared" si="194"/>
        <v/>
      </c>
    </row>
    <row r="930" spans="1:43">
      <c r="A930">
        <v>929</v>
      </c>
      <c r="B930" t="s">
        <v>23</v>
      </c>
      <c r="C930" t="s">
        <v>540</v>
      </c>
      <c r="D930" t="s">
        <v>541</v>
      </c>
      <c r="E930" t="s">
        <v>97</v>
      </c>
      <c r="G930" t="s">
        <v>18</v>
      </c>
      <c r="H930" s="4">
        <v>19117620</v>
      </c>
      <c r="I930" s="5">
        <v>0</v>
      </c>
      <c r="J930" s="5">
        <v>1024</v>
      </c>
      <c r="K930" s="5">
        <v>4</v>
      </c>
      <c r="L930">
        <v>7</v>
      </c>
      <c r="M930">
        <v>3.5</v>
      </c>
      <c r="N930">
        <v>3.92</v>
      </c>
      <c r="O930" s="6">
        <v>15.6</v>
      </c>
      <c r="P930" s="7">
        <v>2.1800000000000002</v>
      </c>
      <c r="U930" t="s">
        <v>84</v>
      </c>
      <c r="V930" t="s">
        <v>98</v>
      </c>
      <c r="W930">
        <v>2.5</v>
      </c>
      <c r="X930" t="s">
        <v>84</v>
      </c>
      <c r="Y930" t="s">
        <v>99</v>
      </c>
      <c r="Z930" t="s">
        <v>146</v>
      </c>
      <c r="AA930" t="s">
        <v>114</v>
      </c>
      <c r="AB930" t="s">
        <v>115</v>
      </c>
      <c r="AC930">
        <v>708.06</v>
      </c>
      <c r="AD930" s="8" t="b">
        <f>AND(
 H930&gt;=Filters!$B$3,
 H930&lt;=Filters!$B$4,
 I930&gt;=Filters!$B$5,
 OR(Filters!$B$6="All",B930=Filters!$B$6),
 F930&gt;=Filters!$B$7,
 F930&lt;=Filters!$B$8,
 OR(Filters!$B$9="All",G930=Filters!$B$9)
)</f>
        <v>0</v>
      </c>
      <c r="AE930">
        <f t="shared" si="182"/>
        <v>6</v>
      </c>
      <c r="AF930">
        <f t="shared" si="183"/>
        <v>7</v>
      </c>
      <c r="AG930">
        <f t="shared" si="184"/>
        <v>7</v>
      </c>
      <c r="AH930" s="9" t="str">
        <f t="shared" si="185"/>
        <v/>
      </c>
      <c r="AI930" s="9" t="str">
        <f t="shared" si="186"/>
        <v/>
      </c>
      <c r="AJ930" s="9" t="str">
        <f t="shared" si="187"/>
        <v/>
      </c>
      <c r="AK930" s="9" t="str">
        <f t="shared" si="188"/>
        <v/>
      </c>
      <c r="AL930" s="9" t="str">
        <f t="shared" si="189"/>
        <v/>
      </c>
      <c r="AM930" s="9" t="str">
        <f t="shared" si="190"/>
        <v/>
      </c>
      <c r="AN930" s="9" t="str">
        <f t="shared" si="191"/>
        <v/>
      </c>
      <c r="AO930" s="9" t="str">
        <f t="shared" si="192"/>
        <v/>
      </c>
      <c r="AP930" s="9" t="str">
        <f t="shared" si="193"/>
        <v/>
      </c>
      <c r="AQ930" s="10" t="str">
        <f t="shared" si="194"/>
        <v/>
      </c>
    </row>
    <row r="931" spans="1:43">
      <c r="A931">
        <v>930</v>
      </c>
      <c r="B931" t="s">
        <v>26</v>
      </c>
      <c r="C931" t="s">
        <v>607</v>
      </c>
      <c r="D931" t="s">
        <v>608</v>
      </c>
      <c r="E931" t="s">
        <v>97</v>
      </c>
      <c r="G931" t="s">
        <v>18</v>
      </c>
      <c r="H931" s="4">
        <v>31023000</v>
      </c>
      <c r="I931" s="5">
        <v>0</v>
      </c>
      <c r="J931" s="5">
        <v>500</v>
      </c>
      <c r="K931" s="5">
        <v>4</v>
      </c>
      <c r="L931">
        <v>6.6</v>
      </c>
      <c r="M931">
        <v>3.5</v>
      </c>
      <c r="N931">
        <v>4</v>
      </c>
      <c r="O931" s="6">
        <v>14</v>
      </c>
      <c r="P931" s="7">
        <v>1.95</v>
      </c>
      <c r="U931" t="s">
        <v>84</v>
      </c>
      <c r="V931" t="s">
        <v>375</v>
      </c>
      <c r="W931">
        <v>2.2999999999999998</v>
      </c>
      <c r="X931" t="s">
        <v>84</v>
      </c>
      <c r="Y931" t="s">
        <v>130</v>
      </c>
      <c r="Z931" t="s">
        <v>113</v>
      </c>
      <c r="AA931" t="s">
        <v>114</v>
      </c>
      <c r="AB931" t="s">
        <v>115</v>
      </c>
      <c r="AC931">
        <v>1149</v>
      </c>
      <c r="AD931" s="8" t="b">
        <f>AND(
 H931&gt;=Filters!$B$3,
 H931&lt;=Filters!$B$4,
 I931&gt;=Filters!$B$5,
 OR(Filters!$B$6="All",B931=Filters!$B$6),
 F931&gt;=Filters!$B$7,
 F931&lt;=Filters!$B$8,
 OR(Filters!$B$9="All",G931=Filters!$B$9)
)</f>
        <v>0</v>
      </c>
      <c r="AE931">
        <f t="shared" si="182"/>
        <v>6</v>
      </c>
      <c r="AF931">
        <f t="shared" si="183"/>
        <v>7</v>
      </c>
      <c r="AG931">
        <f t="shared" si="184"/>
        <v>7</v>
      </c>
      <c r="AH931" s="9" t="str">
        <f t="shared" si="185"/>
        <v/>
      </c>
      <c r="AI931" s="9" t="str">
        <f t="shared" si="186"/>
        <v/>
      </c>
      <c r="AJ931" s="9" t="str">
        <f t="shared" si="187"/>
        <v/>
      </c>
      <c r="AK931" s="9" t="str">
        <f t="shared" si="188"/>
        <v/>
      </c>
      <c r="AL931" s="9" t="str">
        <f t="shared" si="189"/>
        <v/>
      </c>
      <c r="AM931" s="9" t="str">
        <f t="shared" si="190"/>
        <v/>
      </c>
      <c r="AN931" s="9" t="str">
        <f t="shared" si="191"/>
        <v/>
      </c>
      <c r="AO931" s="9" t="str">
        <f t="shared" si="192"/>
        <v/>
      </c>
      <c r="AP931" s="9" t="str">
        <f t="shared" si="193"/>
        <v/>
      </c>
      <c r="AQ931" s="10" t="str">
        <f t="shared" si="194"/>
        <v/>
      </c>
    </row>
    <row r="932" spans="1:43">
      <c r="A932">
        <v>931</v>
      </c>
      <c r="B932" t="s">
        <v>29</v>
      </c>
      <c r="C932" t="s">
        <v>588</v>
      </c>
      <c r="D932" t="s">
        <v>589</v>
      </c>
      <c r="E932" t="s">
        <v>97</v>
      </c>
      <c r="G932" t="s">
        <v>18</v>
      </c>
      <c r="H932" s="4">
        <v>8343000</v>
      </c>
      <c r="I932" s="5">
        <v>0</v>
      </c>
      <c r="J932" s="5">
        <v>1024</v>
      </c>
      <c r="K932" s="5">
        <v>4</v>
      </c>
      <c r="L932">
        <v>1.2</v>
      </c>
      <c r="M932">
        <v>3.5</v>
      </c>
      <c r="N932">
        <v>3.92</v>
      </c>
      <c r="O932" s="6">
        <v>15.6</v>
      </c>
      <c r="P932" s="7">
        <v>2.2000000000000002</v>
      </c>
      <c r="U932" t="s">
        <v>84</v>
      </c>
      <c r="V932" t="s">
        <v>229</v>
      </c>
      <c r="W932">
        <v>1.1000000000000001</v>
      </c>
      <c r="X932" t="s">
        <v>84</v>
      </c>
      <c r="Y932" t="s">
        <v>418</v>
      </c>
      <c r="Z932" t="s">
        <v>146</v>
      </c>
      <c r="AA932" t="s">
        <v>114</v>
      </c>
      <c r="AB932" t="s">
        <v>115</v>
      </c>
      <c r="AC932">
        <v>309</v>
      </c>
      <c r="AD932" s="8" t="b">
        <f>AND(
 H932&gt;=Filters!$B$3,
 H932&lt;=Filters!$B$4,
 I932&gt;=Filters!$B$5,
 OR(Filters!$B$6="All",B932=Filters!$B$6),
 F932&gt;=Filters!$B$7,
 F932&lt;=Filters!$B$8,
 OR(Filters!$B$9="All",G932=Filters!$B$9)
)</f>
        <v>0</v>
      </c>
      <c r="AE932">
        <f t="shared" si="182"/>
        <v>6</v>
      </c>
      <c r="AF932">
        <f t="shared" si="183"/>
        <v>7</v>
      </c>
      <c r="AG932">
        <f t="shared" si="184"/>
        <v>7</v>
      </c>
      <c r="AH932" s="9" t="str">
        <f t="shared" si="185"/>
        <v/>
      </c>
      <c r="AI932" s="9" t="str">
        <f t="shared" si="186"/>
        <v/>
      </c>
      <c r="AJ932" s="9" t="str">
        <f t="shared" si="187"/>
        <v/>
      </c>
      <c r="AK932" s="9" t="str">
        <f t="shared" si="188"/>
        <v/>
      </c>
      <c r="AL932" s="9" t="str">
        <f t="shared" si="189"/>
        <v/>
      </c>
      <c r="AM932" s="9" t="str">
        <f t="shared" si="190"/>
        <v/>
      </c>
      <c r="AN932" s="9" t="str">
        <f t="shared" si="191"/>
        <v/>
      </c>
      <c r="AO932" s="9" t="str">
        <f t="shared" si="192"/>
        <v/>
      </c>
      <c r="AP932" s="9" t="str">
        <f t="shared" si="193"/>
        <v/>
      </c>
      <c r="AQ932" s="10" t="str">
        <f t="shared" si="194"/>
        <v/>
      </c>
    </row>
    <row r="933" spans="1:43">
      <c r="A933">
        <v>932</v>
      </c>
      <c r="B933" t="s">
        <v>26</v>
      </c>
      <c r="C933" t="s">
        <v>1165</v>
      </c>
      <c r="D933" t="s">
        <v>1166</v>
      </c>
      <c r="E933" t="s">
        <v>83</v>
      </c>
      <c r="G933" t="s">
        <v>18</v>
      </c>
      <c r="H933" s="4">
        <v>42633000</v>
      </c>
      <c r="I933" s="5">
        <v>0</v>
      </c>
      <c r="J933" s="5">
        <v>500</v>
      </c>
      <c r="K933" s="5">
        <v>4</v>
      </c>
      <c r="L933">
        <v>6.6</v>
      </c>
      <c r="M933">
        <v>3.5</v>
      </c>
      <c r="N933">
        <v>5.92</v>
      </c>
      <c r="O933" s="6">
        <v>12.5</v>
      </c>
      <c r="P933" s="7">
        <v>1.26</v>
      </c>
      <c r="U933" t="s">
        <v>84</v>
      </c>
      <c r="V933" t="s">
        <v>375</v>
      </c>
      <c r="W933">
        <v>2.2999999999999998</v>
      </c>
      <c r="X933" t="s">
        <v>84</v>
      </c>
      <c r="Y933" t="s">
        <v>130</v>
      </c>
      <c r="Z933" t="s">
        <v>113</v>
      </c>
      <c r="AA933" t="s">
        <v>101</v>
      </c>
      <c r="AB933" t="s">
        <v>115</v>
      </c>
      <c r="AC933">
        <v>1579</v>
      </c>
      <c r="AD933" s="8" t="b">
        <f>AND(
 H933&gt;=Filters!$B$3,
 H933&lt;=Filters!$B$4,
 I933&gt;=Filters!$B$5,
 OR(Filters!$B$6="All",B933=Filters!$B$6),
 F933&gt;=Filters!$B$7,
 F933&lt;=Filters!$B$8,
 OR(Filters!$B$9="All",G933=Filters!$B$9)
)</f>
        <v>0</v>
      </c>
      <c r="AE933">
        <f t="shared" si="182"/>
        <v>6</v>
      </c>
      <c r="AF933">
        <f t="shared" si="183"/>
        <v>7</v>
      </c>
      <c r="AG933">
        <f t="shared" si="184"/>
        <v>7</v>
      </c>
      <c r="AH933" s="9" t="str">
        <f t="shared" si="185"/>
        <v/>
      </c>
      <c r="AI933" s="9" t="str">
        <f t="shared" si="186"/>
        <v/>
      </c>
      <c r="AJ933" s="9" t="str">
        <f t="shared" si="187"/>
        <v/>
      </c>
      <c r="AK933" s="9" t="str">
        <f t="shared" si="188"/>
        <v/>
      </c>
      <c r="AL933" s="9" t="str">
        <f t="shared" si="189"/>
        <v/>
      </c>
      <c r="AM933" s="9" t="str">
        <f t="shared" si="190"/>
        <v/>
      </c>
      <c r="AN933" s="9" t="str">
        <f t="shared" si="191"/>
        <v/>
      </c>
      <c r="AO933" s="9" t="str">
        <f t="shared" si="192"/>
        <v/>
      </c>
      <c r="AP933" s="9" t="str">
        <f t="shared" si="193"/>
        <v/>
      </c>
      <c r="AQ933" s="10" t="str">
        <f t="shared" si="194"/>
        <v/>
      </c>
    </row>
    <row r="934" spans="1:43">
      <c r="A934">
        <v>933</v>
      </c>
      <c r="B934" t="s">
        <v>26</v>
      </c>
      <c r="C934" t="s">
        <v>95</v>
      </c>
      <c r="D934" t="s">
        <v>96</v>
      </c>
      <c r="E934" t="s">
        <v>97</v>
      </c>
      <c r="G934" t="s">
        <v>18</v>
      </c>
      <c r="H934" s="4">
        <v>7800300</v>
      </c>
      <c r="I934" s="5">
        <v>0</v>
      </c>
      <c r="J934" s="5">
        <v>1024</v>
      </c>
      <c r="K934" s="5">
        <v>4</v>
      </c>
      <c r="L934">
        <v>1.2</v>
      </c>
      <c r="M934">
        <v>3.5</v>
      </c>
      <c r="N934">
        <v>3.92</v>
      </c>
      <c r="O934" s="6">
        <v>15.6</v>
      </c>
      <c r="P934" s="7">
        <v>1.86</v>
      </c>
      <c r="U934" t="s">
        <v>84</v>
      </c>
      <c r="V934" t="s">
        <v>263</v>
      </c>
      <c r="W934">
        <v>1.6</v>
      </c>
      <c r="X934" t="s">
        <v>84</v>
      </c>
      <c r="Y934" t="s">
        <v>154</v>
      </c>
      <c r="Z934" t="s">
        <v>146</v>
      </c>
      <c r="AA934" t="s">
        <v>114</v>
      </c>
      <c r="AB934" t="s">
        <v>102</v>
      </c>
      <c r="AC934">
        <v>288.89999999999998</v>
      </c>
      <c r="AD934" s="8" t="b">
        <f>AND(
 H934&gt;=Filters!$B$3,
 H934&lt;=Filters!$B$4,
 I934&gt;=Filters!$B$5,
 OR(Filters!$B$6="All",B934=Filters!$B$6),
 F934&gt;=Filters!$B$7,
 F934&lt;=Filters!$B$8,
 OR(Filters!$B$9="All",G934=Filters!$B$9)
)</f>
        <v>0</v>
      </c>
      <c r="AE934">
        <f t="shared" si="182"/>
        <v>6</v>
      </c>
      <c r="AF934">
        <f t="shared" si="183"/>
        <v>7</v>
      </c>
      <c r="AG934">
        <f t="shared" si="184"/>
        <v>7</v>
      </c>
      <c r="AH934" s="9" t="str">
        <f t="shared" si="185"/>
        <v/>
      </c>
      <c r="AI934" s="9" t="str">
        <f t="shared" si="186"/>
        <v/>
      </c>
      <c r="AJ934" s="9" t="str">
        <f t="shared" si="187"/>
        <v/>
      </c>
      <c r="AK934" s="9" t="str">
        <f t="shared" si="188"/>
        <v/>
      </c>
      <c r="AL934" s="9" t="str">
        <f t="shared" si="189"/>
        <v/>
      </c>
      <c r="AM934" s="9" t="str">
        <f t="shared" si="190"/>
        <v/>
      </c>
      <c r="AN934" s="9" t="str">
        <f t="shared" si="191"/>
        <v/>
      </c>
      <c r="AO934" s="9" t="str">
        <f t="shared" si="192"/>
        <v/>
      </c>
      <c r="AP934" s="9" t="str">
        <f t="shared" si="193"/>
        <v/>
      </c>
      <c r="AQ934" s="10" t="str">
        <f t="shared" si="194"/>
        <v/>
      </c>
    </row>
    <row r="935" spans="1:43">
      <c r="A935">
        <v>934</v>
      </c>
      <c r="B935" t="s">
        <v>29</v>
      </c>
      <c r="C935" t="s">
        <v>1145</v>
      </c>
      <c r="D935" t="s">
        <v>1146</v>
      </c>
      <c r="E935" t="s">
        <v>168</v>
      </c>
      <c r="G935" t="s">
        <v>18</v>
      </c>
      <c r="H935" s="4">
        <v>48573000</v>
      </c>
      <c r="I935" s="5">
        <v>1024</v>
      </c>
      <c r="J935" s="5">
        <v>0</v>
      </c>
      <c r="K935" s="5">
        <v>16</v>
      </c>
      <c r="L935">
        <v>8.4</v>
      </c>
      <c r="M935">
        <v>4.2</v>
      </c>
      <c r="N935">
        <v>8.8699999999999992</v>
      </c>
      <c r="O935" s="6">
        <v>13.3</v>
      </c>
      <c r="P935" s="7">
        <v>1.3</v>
      </c>
      <c r="U935" t="s">
        <v>84</v>
      </c>
      <c r="V935" t="s">
        <v>1315</v>
      </c>
      <c r="W935">
        <v>2.2000000000000002</v>
      </c>
      <c r="X935" t="s">
        <v>84</v>
      </c>
      <c r="Y935" t="s">
        <v>220</v>
      </c>
      <c r="Z935" t="s">
        <v>445</v>
      </c>
      <c r="AA935" t="s">
        <v>909</v>
      </c>
      <c r="AB935" t="s">
        <v>115</v>
      </c>
      <c r="AC935">
        <v>1799</v>
      </c>
      <c r="AD935" s="8" t="b">
        <f>AND(
 H935&gt;=Filters!$B$3,
 H935&lt;=Filters!$B$4,
 I935&gt;=Filters!$B$5,
 OR(Filters!$B$6="All",B935=Filters!$B$6),
 F935&gt;=Filters!$B$7,
 F935&lt;=Filters!$B$8,
 OR(Filters!$B$9="All",G935=Filters!$B$9)
)</f>
        <v>0</v>
      </c>
      <c r="AE935">
        <f t="shared" si="182"/>
        <v>6</v>
      </c>
      <c r="AF935">
        <f t="shared" si="183"/>
        <v>7</v>
      </c>
      <c r="AG935">
        <f t="shared" si="184"/>
        <v>7</v>
      </c>
      <c r="AH935" s="9" t="str">
        <f t="shared" si="185"/>
        <v/>
      </c>
      <c r="AI935" s="9" t="str">
        <f t="shared" si="186"/>
        <v/>
      </c>
      <c r="AJ935" s="9" t="str">
        <f t="shared" si="187"/>
        <v/>
      </c>
      <c r="AK935" s="9" t="str">
        <f t="shared" si="188"/>
        <v/>
      </c>
      <c r="AL935" s="9" t="str">
        <f t="shared" si="189"/>
        <v/>
      </c>
      <c r="AM935" s="9" t="str">
        <f t="shared" si="190"/>
        <v/>
      </c>
      <c r="AN935" s="9" t="str">
        <f t="shared" si="191"/>
        <v/>
      </c>
      <c r="AO935" s="9" t="str">
        <f t="shared" si="192"/>
        <v/>
      </c>
      <c r="AP935" s="9" t="str">
        <f t="shared" si="193"/>
        <v/>
      </c>
      <c r="AQ935" s="10" t="str">
        <f t="shared" si="194"/>
        <v/>
      </c>
    </row>
    <row r="936" spans="1:43">
      <c r="A936">
        <v>935</v>
      </c>
      <c r="B936" t="s">
        <v>35</v>
      </c>
      <c r="C936" t="s">
        <v>1316</v>
      </c>
      <c r="D936" t="s">
        <v>1317</v>
      </c>
      <c r="E936" t="s">
        <v>97</v>
      </c>
      <c r="G936" t="s">
        <v>18</v>
      </c>
      <c r="H936" s="4">
        <v>29835000</v>
      </c>
      <c r="I936" s="5">
        <v>128</v>
      </c>
      <c r="J936" s="5">
        <v>0</v>
      </c>
      <c r="K936" s="5">
        <v>4</v>
      </c>
      <c r="L936">
        <v>6.6</v>
      </c>
      <c r="M936">
        <v>3.5</v>
      </c>
      <c r="N936">
        <v>6.4</v>
      </c>
      <c r="O936" s="6">
        <v>14</v>
      </c>
      <c r="P936" s="7">
        <v>1.47</v>
      </c>
      <c r="U936" t="s">
        <v>84</v>
      </c>
      <c r="V936" t="s">
        <v>375</v>
      </c>
      <c r="W936">
        <v>2.2999999999999998</v>
      </c>
      <c r="X936" t="s">
        <v>84</v>
      </c>
      <c r="Y936" t="s">
        <v>130</v>
      </c>
      <c r="Z936" t="s">
        <v>87</v>
      </c>
      <c r="AA936" t="s">
        <v>128</v>
      </c>
      <c r="AB936" t="s">
        <v>115</v>
      </c>
      <c r="AC936">
        <v>1105</v>
      </c>
      <c r="AD936" s="8" t="b">
        <f>AND(
 H936&gt;=Filters!$B$3,
 H936&lt;=Filters!$B$4,
 I936&gt;=Filters!$B$5,
 OR(Filters!$B$6="All",B936=Filters!$B$6),
 F936&gt;=Filters!$B$7,
 F936&lt;=Filters!$B$8,
 OR(Filters!$B$9="All",G936=Filters!$B$9)
)</f>
        <v>0</v>
      </c>
      <c r="AE936">
        <f t="shared" si="182"/>
        <v>6</v>
      </c>
      <c r="AF936">
        <f t="shared" si="183"/>
        <v>7</v>
      </c>
      <c r="AG936">
        <f t="shared" si="184"/>
        <v>7</v>
      </c>
      <c r="AH936" s="9" t="str">
        <f t="shared" si="185"/>
        <v/>
      </c>
      <c r="AI936" s="9" t="str">
        <f t="shared" si="186"/>
        <v/>
      </c>
      <c r="AJ936" s="9" t="str">
        <f t="shared" si="187"/>
        <v/>
      </c>
      <c r="AK936" s="9" t="str">
        <f t="shared" si="188"/>
        <v/>
      </c>
      <c r="AL936" s="9" t="str">
        <f t="shared" si="189"/>
        <v/>
      </c>
      <c r="AM936" s="9" t="str">
        <f t="shared" si="190"/>
        <v/>
      </c>
      <c r="AN936" s="9" t="str">
        <f t="shared" si="191"/>
        <v/>
      </c>
      <c r="AO936" s="9" t="str">
        <f t="shared" si="192"/>
        <v/>
      </c>
      <c r="AP936" s="9" t="str">
        <f t="shared" si="193"/>
        <v/>
      </c>
      <c r="AQ936" s="10" t="str">
        <f t="shared" si="194"/>
        <v/>
      </c>
    </row>
    <row r="937" spans="1:43">
      <c r="A937">
        <v>936</v>
      </c>
      <c r="B937" t="s">
        <v>26</v>
      </c>
      <c r="C937" t="s">
        <v>1207</v>
      </c>
      <c r="D937" t="s">
        <v>1166</v>
      </c>
      <c r="E937" t="s">
        <v>152</v>
      </c>
      <c r="G937" t="s">
        <v>18</v>
      </c>
      <c r="H937" s="4">
        <v>45063000</v>
      </c>
      <c r="I937" s="5">
        <v>256</v>
      </c>
      <c r="J937" s="5">
        <v>0</v>
      </c>
      <c r="K937" s="5">
        <v>8</v>
      </c>
      <c r="L937">
        <v>6.6</v>
      </c>
      <c r="M937">
        <v>3.5</v>
      </c>
      <c r="N937">
        <v>5.92</v>
      </c>
      <c r="O937" s="6">
        <v>12.5</v>
      </c>
      <c r="P937" s="7">
        <v>1.26</v>
      </c>
      <c r="U937" t="s">
        <v>84</v>
      </c>
      <c r="V937" t="s">
        <v>375</v>
      </c>
      <c r="W937">
        <v>2.2999999999999998</v>
      </c>
      <c r="X937" t="s">
        <v>84</v>
      </c>
      <c r="Y937" t="s">
        <v>130</v>
      </c>
      <c r="Z937" t="s">
        <v>100</v>
      </c>
      <c r="AA937" t="s">
        <v>101</v>
      </c>
      <c r="AB937" t="s">
        <v>115</v>
      </c>
      <c r="AC937">
        <v>1669</v>
      </c>
      <c r="AD937" s="8" t="b">
        <f>AND(
 H937&gt;=Filters!$B$3,
 H937&lt;=Filters!$B$4,
 I937&gt;=Filters!$B$5,
 OR(Filters!$B$6="All",B937=Filters!$B$6),
 F937&gt;=Filters!$B$7,
 F937&lt;=Filters!$B$8,
 OR(Filters!$B$9="All",G937=Filters!$B$9)
)</f>
        <v>0</v>
      </c>
      <c r="AE937">
        <f t="shared" si="182"/>
        <v>6</v>
      </c>
      <c r="AF937">
        <f t="shared" si="183"/>
        <v>7</v>
      </c>
      <c r="AG937">
        <f t="shared" si="184"/>
        <v>7</v>
      </c>
      <c r="AH937" s="9" t="str">
        <f t="shared" si="185"/>
        <v/>
      </c>
      <c r="AI937" s="9" t="str">
        <f t="shared" si="186"/>
        <v/>
      </c>
      <c r="AJ937" s="9" t="str">
        <f t="shared" si="187"/>
        <v/>
      </c>
      <c r="AK937" s="9" t="str">
        <f t="shared" si="188"/>
        <v/>
      </c>
      <c r="AL937" s="9" t="str">
        <f t="shared" si="189"/>
        <v/>
      </c>
      <c r="AM937" s="9" t="str">
        <f t="shared" si="190"/>
        <v/>
      </c>
      <c r="AN937" s="9" t="str">
        <f t="shared" si="191"/>
        <v/>
      </c>
      <c r="AO937" s="9" t="str">
        <f t="shared" si="192"/>
        <v/>
      </c>
      <c r="AP937" s="9" t="str">
        <f t="shared" si="193"/>
        <v/>
      </c>
      <c r="AQ937" s="10" t="str">
        <f t="shared" si="194"/>
        <v/>
      </c>
    </row>
    <row r="938" spans="1:43">
      <c r="A938">
        <v>937</v>
      </c>
      <c r="B938" t="s">
        <v>23</v>
      </c>
      <c r="C938" t="s">
        <v>540</v>
      </c>
      <c r="D938" t="s">
        <v>541</v>
      </c>
      <c r="E938" t="s">
        <v>97</v>
      </c>
      <c r="G938" t="s">
        <v>18</v>
      </c>
      <c r="H938" s="4">
        <v>15082200</v>
      </c>
      <c r="I938" s="5">
        <v>0</v>
      </c>
      <c r="J938" s="5">
        <v>1024</v>
      </c>
      <c r="K938" s="5">
        <v>4</v>
      </c>
      <c r="L938">
        <v>4</v>
      </c>
      <c r="M938">
        <v>3.5</v>
      </c>
      <c r="N938">
        <v>3.92</v>
      </c>
      <c r="O938" s="6">
        <v>15.6</v>
      </c>
      <c r="P938" s="7">
        <v>2.1800000000000002</v>
      </c>
      <c r="U938" t="s">
        <v>84</v>
      </c>
      <c r="V938" t="s">
        <v>129</v>
      </c>
      <c r="W938">
        <v>2</v>
      </c>
      <c r="X938" t="s">
        <v>84</v>
      </c>
      <c r="Y938" t="s">
        <v>130</v>
      </c>
      <c r="Z938" t="s">
        <v>146</v>
      </c>
      <c r="AA938" t="s">
        <v>114</v>
      </c>
      <c r="AB938" t="s">
        <v>115</v>
      </c>
      <c r="AC938">
        <v>558.6</v>
      </c>
      <c r="AD938" s="8" t="b">
        <f>AND(
 H938&gt;=Filters!$B$3,
 H938&lt;=Filters!$B$4,
 I938&gt;=Filters!$B$5,
 OR(Filters!$B$6="All",B938=Filters!$B$6),
 F938&gt;=Filters!$B$7,
 F938&lt;=Filters!$B$8,
 OR(Filters!$B$9="All",G938=Filters!$B$9)
)</f>
        <v>0</v>
      </c>
      <c r="AE938">
        <f t="shared" si="182"/>
        <v>6</v>
      </c>
      <c r="AF938">
        <f t="shared" si="183"/>
        <v>7</v>
      </c>
      <c r="AG938">
        <f t="shared" si="184"/>
        <v>7</v>
      </c>
      <c r="AH938" s="9" t="str">
        <f t="shared" si="185"/>
        <v/>
      </c>
      <c r="AI938" s="9" t="str">
        <f t="shared" si="186"/>
        <v/>
      </c>
      <c r="AJ938" s="9" t="str">
        <f t="shared" si="187"/>
        <v/>
      </c>
      <c r="AK938" s="9" t="str">
        <f t="shared" si="188"/>
        <v/>
      </c>
      <c r="AL938" s="9" t="str">
        <f t="shared" si="189"/>
        <v/>
      </c>
      <c r="AM938" s="9" t="str">
        <f t="shared" si="190"/>
        <v/>
      </c>
      <c r="AN938" s="9" t="str">
        <f t="shared" si="191"/>
        <v/>
      </c>
      <c r="AO938" s="9" t="str">
        <f t="shared" si="192"/>
        <v/>
      </c>
      <c r="AP938" s="9" t="str">
        <f t="shared" si="193"/>
        <v/>
      </c>
      <c r="AQ938" s="10" t="str">
        <f t="shared" si="194"/>
        <v/>
      </c>
    </row>
    <row r="939" spans="1:43">
      <c r="A939">
        <v>938</v>
      </c>
      <c r="B939" t="s">
        <v>30</v>
      </c>
      <c r="C939" t="s">
        <v>1318</v>
      </c>
      <c r="D939" t="s">
        <v>1319</v>
      </c>
      <c r="E939" t="s">
        <v>158</v>
      </c>
      <c r="G939" t="s">
        <v>18</v>
      </c>
      <c r="H939" s="4">
        <v>32373000</v>
      </c>
      <c r="I939" s="5">
        <v>128</v>
      </c>
      <c r="J939" s="5">
        <v>1024</v>
      </c>
      <c r="K939" s="5">
        <v>8</v>
      </c>
      <c r="L939">
        <v>9.6</v>
      </c>
      <c r="M939">
        <v>9.1999999999999993</v>
      </c>
      <c r="N939">
        <v>5.92</v>
      </c>
      <c r="O939" s="6">
        <v>15.6</v>
      </c>
      <c r="P939" s="7">
        <v>2.2000000000000002</v>
      </c>
      <c r="U939" t="s">
        <v>84</v>
      </c>
      <c r="V939" t="s">
        <v>210</v>
      </c>
      <c r="W939">
        <v>2.8</v>
      </c>
      <c r="X939" t="s">
        <v>122</v>
      </c>
      <c r="Y939" t="s">
        <v>160</v>
      </c>
      <c r="Z939" t="s">
        <v>161</v>
      </c>
      <c r="AA939" t="s">
        <v>101</v>
      </c>
      <c r="AB939" t="s">
        <v>115</v>
      </c>
      <c r="AC939">
        <v>1199</v>
      </c>
      <c r="AD939" s="8" t="b">
        <f>AND(
 H939&gt;=Filters!$B$3,
 H939&lt;=Filters!$B$4,
 I939&gt;=Filters!$B$5,
 OR(Filters!$B$6="All",B939=Filters!$B$6),
 F939&gt;=Filters!$B$7,
 F939&lt;=Filters!$B$8,
 OR(Filters!$B$9="All",G939=Filters!$B$9)
)</f>
        <v>0</v>
      </c>
      <c r="AE939">
        <f t="shared" si="182"/>
        <v>6</v>
      </c>
      <c r="AF939">
        <f t="shared" si="183"/>
        <v>7</v>
      </c>
      <c r="AG939">
        <f t="shared" si="184"/>
        <v>7</v>
      </c>
      <c r="AH939" s="9" t="str">
        <f t="shared" si="185"/>
        <v/>
      </c>
      <c r="AI939" s="9" t="str">
        <f t="shared" si="186"/>
        <v/>
      </c>
      <c r="AJ939" s="9" t="str">
        <f t="shared" si="187"/>
        <v/>
      </c>
      <c r="AK939" s="9" t="str">
        <f t="shared" si="188"/>
        <v/>
      </c>
      <c r="AL939" s="9" t="str">
        <f t="shared" si="189"/>
        <v/>
      </c>
      <c r="AM939" s="9" t="str">
        <f t="shared" si="190"/>
        <v/>
      </c>
      <c r="AN939" s="9" t="str">
        <f t="shared" si="191"/>
        <v/>
      </c>
      <c r="AO939" s="9" t="str">
        <f t="shared" si="192"/>
        <v/>
      </c>
      <c r="AP939" s="9" t="str">
        <f t="shared" si="193"/>
        <v/>
      </c>
      <c r="AQ939" s="10" t="str">
        <f t="shared" si="194"/>
        <v/>
      </c>
    </row>
    <row r="940" spans="1:43">
      <c r="A940">
        <v>939</v>
      </c>
      <c r="B940" t="s">
        <v>23</v>
      </c>
      <c r="C940" t="s">
        <v>716</v>
      </c>
      <c r="D940" t="s">
        <v>654</v>
      </c>
      <c r="E940" t="s">
        <v>83</v>
      </c>
      <c r="G940" t="s">
        <v>18</v>
      </c>
      <c r="H940" s="4">
        <v>44253000</v>
      </c>
      <c r="I940" s="5">
        <v>256</v>
      </c>
      <c r="J940" s="5">
        <v>0</v>
      </c>
      <c r="K940" s="5">
        <v>8</v>
      </c>
      <c r="L940">
        <v>7</v>
      </c>
      <c r="M940">
        <v>3.5</v>
      </c>
      <c r="N940">
        <v>6</v>
      </c>
      <c r="O940" s="6">
        <v>14</v>
      </c>
      <c r="P940" s="7">
        <v>1.36</v>
      </c>
      <c r="U940" t="s">
        <v>84</v>
      </c>
      <c r="V940" t="s">
        <v>98</v>
      </c>
      <c r="W940">
        <v>2.5</v>
      </c>
      <c r="X940" t="s">
        <v>84</v>
      </c>
      <c r="Y940" t="s">
        <v>99</v>
      </c>
      <c r="Z940" t="s">
        <v>100</v>
      </c>
      <c r="AA940" t="s">
        <v>101</v>
      </c>
      <c r="AB940" t="s">
        <v>115</v>
      </c>
      <c r="AC940">
        <v>1639</v>
      </c>
      <c r="AD940" s="8" t="b">
        <f>AND(
 H940&gt;=Filters!$B$3,
 H940&lt;=Filters!$B$4,
 I940&gt;=Filters!$B$5,
 OR(Filters!$B$6="All",B940=Filters!$B$6),
 F940&gt;=Filters!$B$7,
 F940&lt;=Filters!$B$8,
 OR(Filters!$B$9="All",G940=Filters!$B$9)
)</f>
        <v>0</v>
      </c>
      <c r="AE940">
        <f t="shared" si="182"/>
        <v>6</v>
      </c>
      <c r="AF940">
        <f t="shared" si="183"/>
        <v>7</v>
      </c>
      <c r="AG940">
        <f t="shared" si="184"/>
        <v>7</v>
      </c>
      <c r="AH940" s="9" t="str">
        <f t="shared" si="185"/>
        <v/>
      </c>
      <c r="AI940" s="9" t="str">
        <f t="shared" si="186"/>
        <v/>
      </c>
      <c r="AJ940" s="9" t="str">
        <f t="shared" si="187"/>
        <v/>
      </c>
      <c r="AK940" s="9" t="str">
        <f t="shared" si="188"/>
        <v/>
      </c>
      <c r="AL940" s="9" t="str">
        <f t="shared" si="189"/>
        <v/>
      </c>
      <c r="AM940" s="9" t="str">
        <f t="shared" si="190"/>
        <v/>
      </c>
      <c r="AN940" s="9" t="str">
        <f t="shared" si="191"/>
        <v/>
      </c>
      <c r="AO940" s="9" t="str">
        <f t="shared" si="192"/>
        <v/>
      </c>
      <c r="AP940" s="9" t="str">
        <f t="shared" si="193"/>
        <v/>
      </c>
      <c r="AQ940" s="10" t="str">
        <f t="shared" si="194"/>
        <v/>
      </c>
    </row>
    <row r="941" spans="1:43">
      <c r="A941">
        <v>940</v>
      </c>
      <c r="B941" t="s">
        <v>23</v>
      </c>
      <c r="C941" t="s">
        <v>486</v>
      </c>
      <c r="D941" t="s">
        <v>487</v>
      </c>
      <c r="E941" t="s">
        <v>158</v>
      </c>
      <c r="G941" t="s">
        <v>18</v>
      </c>
      <c r="H941" s="4">
        <v>74466000</v>
      </c>
      <c r="I941" s="5">
        <v>512</v>
      </c>
      <c r="J941" s="5">
        <v>1024</v>
      </c>
      <c r="K941" s="5">
        <v>16</v>
      </c>
      <c r="L941">
        <v>9.4</v>
      </c>
      <c r="M941">
        <v>9.1999999999999993</v>
      </c>
      <c r="N941">
        <v>6.83</v>
      </c>
      <c r="O941" s="6">
        <v>17.3</v>
      </c>
      <c r="P941" s="7">
        <v>4.3600000000000003</v>
      </c>
      <c r="U941" t="s">
        <v>84</v>
      </c>
      <c r="V941" t="s">
        <v>932</v>
      </c>
      <c r="W941">
        <v>2.7</v>
      </c>
      <c r="X941" t="s">
        <v>122</v>
      </c>
      <c r="Y941" t="s">
        <v>456</v>
      </c>
      <c r="Z941" t="s">
        <v>428</v>
      </c>
      <c r="AA941" t="s">
        <v>763</v>
      </c>
      <c r="AB941" t="s">
        <v>115</v>
      </c>
      <c r="AC941">
        <v>2758</v>
      </c>
      <c r="AD941" s="8" t="b">
        <f>AND(
 H941&gt;=Filters!$B$3,
 H941&lt;=Filters!$B$4,
 I941&gt;=Filters!$B$5,
 OR(Filters!$B$6="All",B941=Filters!$B$6),
 F941&gt;=Filters!$B$7,
 F941&lt;=Filters!$B$8,
 OR(Filters!$B$9="All",G941=Filters!$B$9)
)</f>
        <v>0</v>
      </c>
      <c r="AE941">
        <f t="shared" si="182"/>
        <v>6</v>
      </c>
      <c r="AF941">
        <f t="shared" si="183"/>
        <v>7</v>
      </c>
      <c r="AG941">
        <f t="shared" si="184"/>
        <v>7</v>
      </c>
      <c r="AH941" s="9" t="str">
        <f t="shared" si="185"/>
        <v/>
      </c>
      <c r="AI941" s="9" t="str">
        <f t="shared" si="186"/>
        <v/>
      </c>
      <c r="AJ941" s="9" t="str">
        <f t="shared" si="187"/>
        <v/>
      </c>
      <c r="AK941" s="9" t="str">
        <f t="shared" si="188"/>
        <v/>
      </c>
      <c r="AL941" s="9" t="str">
        <f t="shared" si="189"/>
        <v/>
      </c>
      <c r="AM941" s="9" t="str">
        <f t="shared" si="190"/>
        <v/>
      </c>
      <c r="AN941" s="9" t="str">
        <f t="shared" si="191"/>
        <v/>
      </c>
      <c r="AO941" s="9" t="str">
        <f t="shared" si="192"/>
        <v/>
      </c>
      <c r="AP941" s="9" t="str">
        <f t="shared" si="193"/>
        <v/>
      </c>
      <c r="AQ941" s="10" t="str">
        <f t="shared" si="194"/>
        <v/>
      </c>
    </row>
    <row r="942" spans="1:43">
      <c r="A942">
        <v>941</v>
      </c>
      <c r="B942" t="s">
        <v>26</v>
      </c>
      <c r="C942" t="s">
        <v>1320</v>
      </c>
      <c r="D942" t="s">
        <v>1321</v>
      </c>
      <c r="E942" t="s">
        <v>158</v>
      </c>
      <c r="G942" t="s">
        <v>18</v>
      </c>
      <c r="H942" s="4">
        <v>37773000</v>
      </c>
      <c r="I942" s="5">
        <v>128</v>
      </c>
      <c r="J942" s="5">
        <v>1024</v>
      </c>
      <c r="K942" s="5">
        <v>8</v>
      </c>
      <c r="L942">
        <v>6.6</v>
      </c>
      <c r="M942">
        <v>9.1999999999999993</v>
      </c>
      <c r="N942">
        <v>6.24</v>
      </c>
      <c r="O942" s="6">
        <v>17.3</v>
      </c>
      <c r="P942" s="7">
        <v>2.75</v>
      </c>
      <c r="U942" t="s">
        <v>84</v>
      </c>
      <c r="V942" t="s">
        <v>1094</v>
      </c>
      <c r="W942">
        <v>2.2999999999999998</v>
      </c>
      <c r="X942" t="s">
        <v>122</v>
      </c>
      <c r="Y942" t="s">
        <v>832</v>
      </c>
      <c r="Z942" t="s">
        <v>161</v>
      </c>
      <c r="AA942" t="s">
        <v>128</v>
      </c>
      <c r="AB942" t="s">
        <v>115</v>
      </c>
      <c r="AC942">
        <v>1399</v>
      </c>
      <c r="AD942" s="8" t="b">
        <f>AND(
 H942&gt;=Filters!$B$3,
 H942&lt;=Filters!$B$4,
 I942&gt;=Filters!$B$5,
 OR(Filters!$B$6="All",B942=Filters!$B$6),
 F942&gt;=Filters!$B$7,
 F942&lt;=Filters!$B$8,
 OR(Filters!$B$9="All",G942=Filters!$B$9)
)</f>
        <v>0</v>
      </c>
      <c r="AE942">
        <f t="shared" si="182"/>
        <v>6</v>
      </c>
      <c r="AF942">
        <f t="shared" si="183"/>
        <v>7</v>
      </c>
      <c r="AG942">
        <f t="shared" si="184"/>
        <v>7</v>
      </c>
      <c r="AH942" s="9" t="str">
        <f t="shared" si="185"/>
        <v/>
      </c>
      <c r="AI942" s="9" t="str">
        <f t="shared" si="186"/>
        <v/>
      </c>
      <c r="AJ942" s="9" t="str">
        <f t="shared" si="187"/>
        <v/>
      </c>
      <c r="AK942" s="9" t="str">
        <f t="shared" si="188"/>
        <v/>
      </c>
      <c r="AL942" s="9" t="str">
        <f t="shared" si="189"/>
        <v/>
      </c>
      <c r="AM942" s="9" t="str">
        <f t="shared" si="190"/>
        <v/>
      </c>
      <c r="AN942" s="9" t="str">
        <f t="shared" si="191"/>
        <v/>
      </c>
      <c r="AO942" s="9" t="str">
        <f t="shared" si="192"/>
        <v/>
      </c>
      <c r="AP942" s="9" t="str">
        <f t="shared" si="193"/>
        <v/>
      </c>
      <c r="AQ942" s="10" t="str">
        <f t="shared" si="194"/>
        <v/>
      </c>
    </row>
    <row r="943" spans="1:43">
      <c r="A943">
        <v>942</v>
      </c>
      <c r="B943" t="s">
        <v>21</v>
      </c>
      <c r="C943" t="s">
        <v>1322</v>
      </c>
      <c r="D943" t="s">
        <v>1323</v>
      </c>
      <c r="E943" t="s">
        <v>97</v>
      </c>
      <c r="G943" t="s">
        <v>18</v>
      </c>
      <c r="H943" s="4">
        <v>14310000</v>
      </c>
      <c r="I943" s="5">
        <v>0</v>
      </c>
      <c r="J943" s="5">
        <v>1024</v>
      </c>
      <c r="K943" s="5">
        <v>4</v>
      </c>
      <c r="L943">
        <v>2.2000000000000002</v>
      </c>
      <c r="M943">
        <v>6.5</v>
      </c>
      <c r="N943">
        <v>5.83</v>
      </c>
      <c r="O943" s="6">
        <v>17.3</v>
      </c>
      <c r="P943" s="7">
        <v>2.8</v>
      </c>
      <c r="U943" t="s">
        <v>84</v>
      </c>
      <c r="V943" t="s">
        <v>611</v>
      </c>
      <c r="W943">
        <v>1.6</v>
      </c>
      <c r="X943" t="s">
        <v>122</v>
      </c>
      <c r="Y943" t="s">
        <v>230</v>
      </c>
      <c r="Z943" t="s">
        <v>146</v>
      </c>
      <c r="AA943" t="s">
        <v>452</v>
      </c>
      <c r="AB943" t="s">
        <v>115</v>
      </c>
      <c r="AC943">
        <v>530</v>
      </c>
      <c r="AD943" s="8" t="b">
        <f>AND(
 H943&gt;=Filters!$B$3,
 H943&lt;=Filters!$B$4,
 I943&gt;=Filters!$B$5,
 OR(Filters!$B$6="All",B943=Filters!$B$6),
 F943&gt;=Filters!$B$7,
 F943&lt;=Filters!$B$8,
 OR(Filters!$B$9="All",G943=Filters!$B$9)
)</f>
        <v>0</v>
      </c>
      <c r="AE943">
        <f t="shared" si="182"/>
        <v>6</v>
      </c>
      <c r="AF943">
        <f t="shared" si="183"/>
        <v>7</v>
      </c>
      <c r="AG943">
        <f t="shared" si="184"/>
        <v>7</v>
      </c>
      <c r="AH943" s="9" t="str">
        <f t="shared" si="185"/>
        <v/>
      </c>
      <c r="AI943" s="9" t="str">
        <f t="shared" si="186"/>
        <v/>
      </c>
      <c r="AJ943" s="9" t="str">
        <f t="shared" si="187"/>
        <v/>
      </c>
      <c r="AK943" s="9" t="str">
        <f t="shared" si="188"/>
        <v/>
      </c>
      <c r="AL943" s="9" t="str">
        <f t="shared" si="189"/>
        <v/>
      </c>
      <c r="AM943" s="9" t="str">
        <f t="shared" si="190"/>
        <v/>
      </c>
      <c r="AN943" s="9" t="str">
        <f t="shared" si="191"/>
        <v/>
      </c>
      <c r="AO943" s="9" t="str">
        <f t="shared" si="192"/>
        <v/>
      </c>
      <c r="AP943" s="9" t="str">
        <f t="shared" si="193"/>
        <v/>
      </c>
      <c r="AQ943" s="10" t="str">
        <f t="shared" si="194"/>
        <v/>
      </c>
    </row>
    <row r="944" spans="1:43">
      <c r="A944">
        <v>943</v>
      </c>
      <c r="B944" t="s">
        <v>17</v>
      </c>
      <c r="C944" t="s">
        <v>1324</v>
      </c>
      <c r="D944" t="s">
        <v>1325</v>
      </c>
      <c r="E944" t="s">
        <v>97</v>
      </c>
      <c r="G944" t="s">
        <v>18</v>
      </c>
      <c r="H944" s="4">
        <v>16713000</v>
      </c>
      <c r="I944" s="5">
        <v>0</v>
      </c>
      <c r="J944" s="5">
        <v>500</v>
      </c>
      <c r="K944" s="5">
        <v>4</v>
      </c>
      <c r="L944">
        <v>7</v>
      </c>
      <c r="M944">
        <v>3.5</v>
      </c>
      <c r="N944">
        <v>3.92</v>
      </c>
      <c r="O944" s="6">
        <v>15.6</v>
      </c>
      <c r="P944" s="7">
        <v>2.23</v>
      </c>
      <c r="U944" t="s">
        <v>84</v>
      </c>
      <c r="V944" t="s">
        <v>98</v>
      </c>
      <c r="W944">
        <v>2.5</v>
      </c>
      <c r="X944" t="s">
        <v>84</v>
      </c>
      <c r="Y944" t="s">
        <v>99</v>
      </c>
      <c r="Z944" t="s">
        <v>113</v>
      </c>
      <c r="AA944" t="s">
        <v>114</v>
      </c>
      <c r="AB944" t="s">
        <v>115</v>
      </c>
      <c r="AC944">
        <v>619</v>
      </c>
      <c r="AD944" s="8" t="b">
        <f>AND(
 H944&gt;=Filters!$B$3,
 H944&lt;=Filters!$B$4,
 I944&gt;=Filters!$B$5,
 OR(Filters!$B$6="All",B944=Filters!$B$6),
 F944&gt;=Filters!$B$7,
 F944&lt;=Filters!$B$8,
 OR(Filters!$B$9="All",G944=Filters!$B$9)
)</f>
        <v>0</v>
      </c>
      <c r="AE944">
        <f t="shared" si="182"/>
        <v>6</v>
      </c>
      <c r="AF944">
        <f t="shared" si="183"/>
        <v>7</v>
      </c>
      <c r="AG944">
        <f t="shared" si="184"/>
        <v>7</v>
      </c>
      <c r="AH944" s="9" t="str">
        <f t="shared" si="185"/>
        <v/>
      </c>
      <c r="AI944" s="9" t="str">
        <f t="shared" si="186"/>
        <v/>
      </c>
      <c r="AJ944" s="9" t="str">
        <f t="shared" si="187"/>
        <v/>
      </c>
      <c r="AK944" s="9" t="str">
        <f t="shared" si="188"/>
        <v/>
      </c>
      <c r="AL944" s="9" t="str">
        <f t="shared" si="189"/>
        <v/>
      </c>
      <c r="AM944" s="9" t="str">
        <f t="shared" si="190"/>
        <v/>
      </c>
      <c r="AN944" s="9" t="str">
        <f t="shared" si="191"/>
        <v/>
      </c>
      <c r="AO944" s="9" t="str">
        <f t="shared" si="192"/>
        <v/>
      </c>
      <c r="AP944" s="9" t="str">
        <f t="shared" si="193"/>
        <v/>
      </c>
      <c r="AQ944" s="10" t="str">
        <f t="shared" si="194"/>
        <v/>
      </c>
    </row>
    <row r="945" spans="1:43">
      <c r="A945">
        <v>944</v>
      </c>
      <c r="B945" t="s">
        <v>35</v>
      </c>
      <c r="C945" t="s">
        <v>1326</v>
      </c>
      <c r="D945" t="s">
        <v>1327</v>
      </c>
      <c r="E945" t="s">
        <v>97</v>
      </c>
      <c r="G945" t="s">
        <v>18</v>
      </c>
      <c r="H945" s="4">
        <v>30213000</v>
      </c>
      <c r="I945" s="5">
        <v>256</v>
      </c>
      <c r="J945" s="5">
        <v>0</v>
      </c>
      <c r="K945" s="5">
        <v>8</v>
      </c>
      <c r="L945">
        <v>6.6</v>
      </c>
      <c r="M945">
        <v>3.5</v>
      </c>
      <c r="N945">
        <v>3.92</v>
      </c>
      <c r="O945" s="6">
        <v>15.6</v>
      </c>
      <c r="P945" s="7">
        <v>2.2000000000000002</v>
      </c>
      <c r="U945" t="s">
        <v>84</v>
      </c>
      <c r="V945" t="s">
        <v>375</v>
      </c>
      <c r="W945">
        <v>2.2999999999999998</v>
      </c>
      <c r="X945" t="s">
        <v>84</v>
      </c>
      <c r="Y945" t="s">
        <v>130</v>
      </c>
      <c r="Z945" t="s">
        <v>100</v>
      </c>
      <c r="AA945" t="s">
        <v>114</v>
      </c>
      <c r="AB945" t="s">
        <v>115</v>
      </c>
      <c r="AC945">
        <v>1119</v>
      </c>
      <c r="AD945" s="8" t="b">
        <f>AND(
 H945&gt;=Filters!$B$3,
 H945&lt;=Filters!$B$4,
 I945&gt;=Filters!$B$5,
 OR(Filters!$B$6="All",B945=Filters!$B$6),
 F945&gt;=Filters!$B$7,
 F945&lt;=Filters!$B$8,
 OR(Filters!$B$9="All",G945=Filters!$B$9)
)</f>
        <v>0</v>
      </c>
      <c r="AE945">
        <f t="shared" si="182"/>
        <v>6</v>
      </c>
      <c r="AF945">
        <f t="shared" si="183"/>
        <v>7</v>
      </c>
      <c r="AG945">
        <f t="shared" si="184"/>
        <v>7</v>
      </c>
      <c r="AH945" s="9" t="str">
        <f t="shared" si="185"/>
        <v/>
      </c>
      <c r="AI945" s="9" t="str">
        <f t="shared" si="186"/>
        <v/>
      </c>
      <c r="AJ945" s="9" t="str">
        <f t="shared" si="187"/>
        <v/>
      </c>
      <c r="AK945" s="9" t="str">
        <f t="shared" si="188"/>
        <v/>
      </c>
      <c r="AL945" s="9" t="str">
        <f t="shared" si="189"/>
        <v/>
      </c>
      <c r="AM945" s="9" t="str">
        <f t="shared" si="190"/>
        <v/>
      </c>
      <c r="AN945" s="9" t="str">
        <f t="shared" si="191"/>
        <v/>
      </c>
      <c r="AO945" s="9" t="str">
        <f t="shared" si="192"/>
        <v/>
      </c>
      <c r="AP945" s="9" t="str">
        <f t="shared" si="193"/>
        <v/>
      </c>
      <c r="AQ945" s="10" t="str">
        <f t="shared" si="194"/>
        <v/>
      </c>
    </row>
    <row r="946" spans="1:43">
      <c r="A946">
        <v>945</v>
      </c>
      <c r="B946" t="s">
        <v>29</v>
      </c>
      <c r="C946" t="s">
        <v>1328</v>
      </c>
      <c r="D946" t="s">
        <v>1329</v>
      </c>
      <c r="E946" t="s">
        <v>168</v>
      </c>
      <c r="G946" t="s">
        <v>18</v>
      </c>
      <c r="H946" s="4">
        <v>35073000</v>
      </c>
      <c r="I946" s="5">
        <v>256</v>
      </c>
      <c r="J946" s="5">
        <v>0</v>
      </c>
      <c r="K946" s="5">
        <v>8</v>
      </c>
      <c r="L946">
        <v>3.4</v>
      </c>
      <c r="M946">
        <v>3.5</v>
      </c>
      <c r="N946">
        <v>6.57</v>
      </c>
      <c r="O946" s="6">
        <v>11.3</v>
      </c>
      <c r="P946" s="7">
        <v>1.1000000000000001</v>
      </c>
      <c r="U946" t="s">
        <v>84</v>
      </c>
      <c r="V946" t="s">
        <v>1330</v>
      </c>
      <c r="W946">
        <v>1.2</v>
      </c>
      <c r="X946" t="s">
        <v>84</v>
      </c>
      <c r="Y946" t="s">
        <v>381</v>
      </c>
      <c r="Z946" t="s">
        <v>100</v>
      </c>
      <c r="AA946" t="s">
        <v>149</v>
      </c>
      <c r="AB946" t="s">
        <v>115</v>
      </c>
      <c r="AC946">
        <v>1299</v>
      </c>
      <c r="AD946" s="8" t="b">
        <f>AND(
 H946&gt;=Filters!$B$3,
 H946&lt;=Filters!$B$4,
 I946&gt;=Filters!$B$5,
 OR(Filters!$B$6="All",B946=Filters!$B$6),
 F946&gt;=Filters!$B$7,
 F946&lt;=Filters!$B$8,
 OR(Filters!$B$9="All",G946=Filters!$B$9)
)</f>
        <v>0</v>
      </c>
      <c r="AE946">
        <f t="shared" si="182"/>
        <v>6</v>
      </c>
      <c r="AF946">
        <f t="shared" si="183"/>
        <v>7</v>
      </c>
      <c r="AG946">
        <f t="shared" si="184"/>
        <v>7</v>
      </c>
      <c r="AH946" s="9" t="str">
        <f t="shared" si="185"/>
        <v/>
      </c>
      <c r="AI946" s="9" t="str">
        <f t="shared" si="186"/>
        <v/>
      </c>
      <c r="AJ946" s="9" t="str">
        <f t="shared" si="187"/>
        <v/>
      </c>
      <c r="AK946" s="9" t="str">
        <f t="shared" si="188"/>
        <v/>
      </c>
      <c r="AL946" s="9" t="str">
        <f t="shared" si="189"/>
        <v/>
      </c>
      <c r="AM946" s="9" t="str">
        <f t="shared" si="190"/>
        <v/>
      </c>
      <c r="AN946" s="9" t="str">
        <f t="shared" si="191"/>
        <v/>
      </c>
      <c r="AO946" s="9" t="str">
        <f t="shared" si="192"/>
        <v/>
      </c>
      <c r="AP946" s="9" t="str">
        <f t="shared" si="193"/>
        <v/>
      </c>
      <c r="AQ946" s="10" t="str">
        <f t="shared" si="194"/>
        <v/>
      </c>
    </row>
    <row r="947" spans="1:43">
      <c r="A947">
        <v>946</v>
      </c>
      <c r="B947" t="s">
        <v>29</v>
      </c>
      <c r="C947" t="s">
        <v>1331</v>
      </c>
      <c r="D947" t="s">
        <v>1332</v>
      </c>
      <c r="E947" t="s">
        <v>158</v>
      </c>
      <c r="G947" t="s">
        <v>18</v>
      </c>
      <c r="H947" s="4">
        <v>26973000</v>
      </c>
      <c r="I947" s="5">
        <v>512</v>
      </c>
      <c r="J947" s="5">
        <v>1024</v>
      </c>
      <c r="K947" s="5">
        <v>16</v>
      </c>
      <c r="L947">
        <v>5.2</v>
      </c>
      <c r="M947">
        <v>6.5</v>
      </c>
      <c r="N947">
        <v>6.32</v>
      </c>
      <c r="O947" s="6">
        <v>15.6</v>
      </c>
      <c r="P947" s="7">
        <v>2.5</v>
      </c>
      <c r="U947" t="s">
        <v>104</v>
      </c>
      <c r="V947" t="s">
        <v>1333</v>
      </c>
      <c r="W947">
        <v>2.1</v>
      </c>
      <c r="X947" t="s">
        <v>104</v>
      </c>
      <c r="Y947" t="s">
        <v>1334</v>
      </c>
      <c r="Z947" t="s">
        <v>428</v>
      </c>
      <c r="AA947" t="s">
        <v>128</v>
      </c>
      <c r="AB947" t="s">
        <v>115</v>
      </c>
      <c r="AC947">
        <v>999</v>
      </c>
      <c r="AD947" s="8" t="b">
        <f>AND(
 H947&gt;=Filters!$B$3,
 H947&lt;=Filters!$B$4,
 I947&gt;=Filters!$B$5,
 OR(Filters!$B$6="All",B947=Filters!$B$6),
 F947&gt;=Filters!$B$7,
 F947&lt;=Filters!$B$8,
 OR(Filters!$B$9="All",G947=Filters!$B$9)
)</f>
        <v>0</v>
      </c>
      <c r="AE947">
        <f t="shared" si="182"/>
        <v>6</v>
      </c>
      <c r="AF947">
        <f t="shared" si="183"/>
        <v>7</v>
      </c>
      <c r="AG947">
        <f t="shared" si="184"/>
        <v>7</v>
      </c>
      <c r="AH947" s="9" t="str">
        <f t="shared" si="185"/>
        <v/>
      </c>
      <c r="AI947" s="9" t="str">
        <f t="shared" si="186"/>
        <v/>
      </c>
      <c r="AJ947" s="9" t="str">
        <f t="shared" si="187"/>
        <v/>
      </c>
      <c r="AK947" s="9" t="str">
        <f t="shared" si="188"/>
        <v/>
      </c>
      <c r="AL947" s="9" t="str">
        <f t="shared" si="189"/>
        <v/>
      </c>
      <c r="AM947" s="9" t="str">
        <f t="shared" si="190"/>
        <v/>
      </c>
      <c r="AN947" s="9" t="str">
        <f t="shared" si="191"/>
        <v/>
      </c>
      <c r="AO947" s="9" t="str">
        <f t="shared" si="192"/>
        <v/>
      </c>
      <c r="AP947" s="9" t="str">
        <f t="shared" si="193"/>
        <v/>
      </c>
      <c r="AQ947" s="10" t="str">
        <f t="shared" si="194"/>
        <v/>
      </c>
    </row>
    <row r="948" spans="1:43">
      <c r="A948">
        <v>947</v>
      </c>
      <c r="B948" t="s">
        <v>23</v>
      </c>
      <c r="C948" t="s">
        <v>1152</v>
      </c>
      <c r="D948" t="s">
        <v>1153</v>
      </c>
      <c r="E948" t="s">
        <v>83</v>
      </c>
      <c r="G948" t="s">
        <v>18</v>
      </c>
      <c r="H948" s="4">
        <v>39749400</v>
      </c>
      <c r="I948" s="5">
        <v>256</v>
      </c>
      <c r="J948" s="5">
        <v>0</v>
      </c>
      <c r="K948" s="5">
        <v>8</v>
      </c>
      <c r="L948">
        <v>7</v>
      </c>
      <c r="M948">
        <v>3.5</v>
      </c>
      <c r="N948">
        <v>6.22</v>
      </c>
      <c r="O948" s="6">
        <v>12.5</v>
      </c>
      <c r="P948" s="7">
        <v>1.36</v>
      </c>
      <c r="U948" t="s">
        <v>84</v>
      </c>
      <c r="V948" t="s">
        <v>98</v>
      </c>
      <c r="W948">
        <v>2.5</v>
      </c>
      <c r="X948" t="s">
        <v>84</v>
      </c>
      <c r="Y948" t="s">
        <v>187</v>
      </c>
      <c r="Z948" t="s">
        <v>100</v>
      </c>
      <c r="AA948" t="s">
        <v>169</v>
      </c>
      <c r="AB948" t="s">
        <v>115</v>
      </c>
      <c r="AC948">
        <v>1472.2</v>
      </c>
      <c r="AD948" s="8" t="b">
        <f>AND(
 H948&gt;=Filters!$B$3,
 H948&lt;=Filters!$B$4,
 I948&gt;=Filters!$B$5,
 OR(Filters!$B$6="All",B948=Filters!$B$6),
 F948&gt;=Filters!$B$7,
 F948&lt;=Filters!$B$8,
 OR(Filters!$B$9="All",G948=Filters!$B$9)
)</f>
        <v>0</v>
      </c>
      <c r="AE948">
        <f t="shared" si="182"/>
        <v>6</v>
      </c>
      <c r="AF948">
        <f t="shared" si="183"/>
        <v>7</v>
      </c>
      <c r="AG948">
        <f t="shared" si="184"/>
        <v>7</v>
      </c>
      <c r="AH948" s="9" t="str">
        <f t="shared" si="185"/>
        <v/>
      </c>
      <c r="AI948" s="9" t="str">
        <f t="shared" si="186"/>
        <v/>
      </c>
      <c r="AJ948" s="9" t="str">
        <f t="shared" si="187"/>
        <v/>
      </c>
      <c r="AK948" s="9" t="str">
        <f t="shared" si="188"/>
        <v/>
      </c>
      <c r="AL948" s="9" t="str">
        <f t="shared" si="189"/>
        <v/>
      </c>
      <c r="AM948" s="9" t="str">
        <f t="shared" si="190"/>
        <v/>
      </c>
      <c r="AN948" s="9" t="str">
        <f t="shared" si="191"/>
        <v/>
      </c>
      <c r="AO948" s="9" t="str">
        <f t="shared" si="192"/>
        <v/>
      </c>
      <c r="AP948" s="9" t="str">
        <f t="shared" si="193"/>
        <v/>
      </c>
      <c r="AQ948" s="10" t="str">
        <f t="shared" si="194"/>
        <v/>
      </c>
    </row>
    <row r="949" spans="1:43">
      <c r="A949">
        <v>948</v>
      </c>
      <c r="B949" t="s">
        <v>29</v>
      </c>
      <c r="C949" t="s">
        <v>968</v>
      </c>
      <c r="D949" t="s">
        <v>969</v>
      </c>
      <c r="E949" t="s">
        <v>97</v>
      </c>
      <c r="G949" t="s">
        <v>18</v>
      </c>
      <c r="H949" s="4">
        <v>18495000</v>
      </c>
      <c r="I949" s="5">
        <v>0</v>
      </c>
      <c r="J949" s="5">
        <v>1024</v>
      </c>
      <c r="K949" s="5">
        <v>8</v>
      </c>
      <c r="L949">
        <v>9.4</v>
      </c>
      <c r="M949">
        <v>6.5</v>
      </c>
      <c r="N949">
        <v>5.92</v>
      </c>
      <c r="O949" s="6">
        <v>15.6</v>
      </c>
      <c r="P949" s="7">
        <v>2.2000000000000002</v>
      </c>
      <c r="U949" t="s">
        <v>84</v>
      </c>
      <c r="V949" t="s">
        <v>140</v>
      </c>
      <c r="W949">
        <v>2.7</v>
      </c>
      <c r="X949" t="s">
        <v>122</v>
      </c>
      <c r="Y949" t="s">
        <v>230</v>
      </c>
      <c r="Z949" t="s">
        <v>146</v>
      </c>
      <c r="AA949" t="s">
        <v>101</v>
      </c>
      <c r="AB949" t="s">
        <v>102</v>
      </c>
      <c r="AC949">
        <v>685</v>
      </c>
      <c r="AD949" s="8" t="b">
        <f>AND(
 H949&gt;=Filters!$B$3,
 H949&lt;=Filters!$B$4,
 I949&gt;=Filters!$B$5,
 OR(Filters!$B$6="All",B949=Filters!$B$6),
 F949&gt;=Filters!$B$7,
 F949&lt;=Filters!$B$8,
 OR(Filters!$B$9="All",G949=Filters!$B$9)
)</f>
        <v>0</v>
      </c>
      <c r="AE949">
        <f t="shared" si="182"/>
        <v>6</v>
      </c>
      <c r="AF949">
        <f t="shared" si="183"/>
        <v>7</v>
      </c>
      <c r="AG949">
        <f t="shared" si="184"/>
        <v>7</v>
      </c>
      <c r="AH949" s="9" t="str">
        <f t="shared" si="185"/>
        <v/>
      </c>
      <c r="AI949" s="9" t="str">
        <f t="shared" si="186"/>
        <v/>
      </c>
      <c r="AJ949" s="9" t="str">
        <f t="shared" si="187"/>
        <v/>
      </c>
      <c r="AK949" s="9" t="str">
        <f t="shared" si="188"/>
        <v/>
      </c>
      <c r="AL949" s="9" t="str">
        <f t="shared" si="189"/>
        <v/>
      </c>
      <c r="AM949" s="9" t="str">
        <f t="shared" si="190"/>
        <v/>
      </c>
      <c r="AN949" s="9" t="str">
        <f t="shared" si="191"/>
        <v/>
      </c>
      <c r="AO949" s="9" t="str">
        <f t="shared" si="192"/>
        <v/>
      </c>
      <c r="AP949" s="9" t="str">
        <f t="shared" si="193"/>
        <v/>
      </c>
      <c r="AQ949" s="10" t="str">
        <f t="shared" si="194"/>
        <v/>
      </c>
    </row>
    <row r="950" spans="1:43">
      <c r="A950">
        <v>949</v>
      </c>
      <c r="B950" t="s">
        <v>23</v>
      </c>
      <c r="C950" t="s">
        <v>1335</v>
      </c>
      <c r="D950" t="s">
        <v>1336</v>
      </c>
      <c r="E950" t="s">
        <v>97</v>
      </c>
      <c r="G950" t="s">
        <v>18</v>
      </c>
      <c r="H950" s="4">
        <v>17793000</v>
      </c>
      <c r="I950" s="5">
        <v>0</v>
      </c>
      <c r="J950" s="5">
        <v>1024</v>
      </c>
      <c r="K950" s="5">
        <v>4</v>
      </c>
      <c r="L950">
        <v>4</v>
      </c>
      <c r="M950">
        <v>6.5</v>
      </c>
      <c r="N950">
        <v>5.83</v>
      </c>
      <c r="O950" s="6">
        <v>17.3</v>
      </c>
      <c r="P950" s="7">
        <v>2.36</v>
      </c>
      <c r="U950" t="s">
        <v>84</v>
      </c>
      <c r="V950" t="s">
        <v>129</v>
      </c>
      <c r="W950">
        <v>2</v>
      </c>
      <c r="X950" t="s">
        <v>104</v>
      </c>
      <c r="Y950" t="s">
        <v>358</v>
      </c>
      <c r="Z950" t="s">
        <v>146</v>
      </c>
      <c r="AA950" t="s">
        <v>452</v>
      </c>
      <c r="AB950" t="s">
        <v>115</v>
      </c>
      <c r="AC950">
        <v>659</v>
      </c>
      <c r="AD950" s="8" t="b">
        <f>AND(
 H950&gt;=Filters!$B$3,
 H950&lt;=Filters!$B$4,
 I950&gt;=Filters!$B$5,
 OR(Filters!$B$6="All",B950=Filters!$B$6),
 F950&gt;=Filters!$B$7,
 F950&lt;=Filters!$B$8,
 OR(Filters!$B$9="All",G950=Filters!$B$9)
)</f>
        <v>0</v>
      </c>
      <c r="AE950">
        <f t="shared" si="182"/>
        <v>6</v>
      </c>
      <c r="AF950">
        <f t="shared" si="183"/>
        <v>7</v>
      </c>
      <c r="AG950">
        <f t="shared" si="184"/>
        <v>7</v>
      </c>
      <c r="AH950" s="9" t="str">
        <f t="shared" si="185"/>
        <v/>
      </c>
      <c r="AI950" s="9" t="str">
        <f t="shared" si="186"/>
        <v/>
      </c>
      <c r="AJ950" s="9" t="str">
        <f t="shared" si="187"/>
        <v/>
      </c>
      <c r="AK950" s="9" t="str">
        <f t="shared" si="188"/>
        <v/>
      </c>
      <c r="AL950" s="9" t="str">
        <f t="shared" si="189"/>
        <v/>
      </c>
      <c r="AM950" s="9" t="str">
        <f t="shared" si="190"/>
        <v/>
      </c>
      <c r="AN950" s="9" t="str">
        <f t="shared" si="191"/>
        <v/>
      </c>
      <c r="AO950" s="9" t="str">
        <f t="shared" si="192"/>
        <v/>
      </c>
      <c r="AP950" s="9" t="str">
        <f t="shared" si="193"/>
        <v/>
      </c>
      <c r="AQ950" s="10" t="str">
        <f t="shared" si="194"/>
        <v/>
      </c>
    </row>
    <row r="951" spans="1:43">
      <c r="A951">
        <v>950</v>
      </c>
      <c r="B951" t="s">
        <v>17</v>
      </c>
      <c r="C951" t="s">
        <v>1069</v>
      </c>
      <c r="D951" t="s">
        <v>1070</v>
      </c>
      <c r="E951" t="s">
        <v>97</v>
      </c>
      <c r="G951" t="s">
        <v>18</v>
      </c>
      <c r="H951" s="4">
        <v>9423000</v>
      </c>
      <c r="I951" s="5">
        <v>32</v>
      </c>
      <c r="J951" s="5">
        <v>0</v>
      </c>
      <c r="K951" s="5">
        <v>4</v>
      </c>
      <c r="L951">
        <v>1.2</v>
      </c>
      <c r="M951">
        <v>3.5</v>
      </c>
      <c r="N951">
        <v>4</v>
      </c>
      <c r="O951" s="6">
        <v>14</v>
      </c>
      <c r="P951" s="7">
        <v>1.68</v>
      </c>
      <c r="U951" t="s">
        <v>84</v>
      </c>
      <c r="V951" t="s">
        <v>263</v>
      </c>
      <c r="W951">
        <v>1.6</v>
      </c>
      <c r="X951" t="s">
        <v>84</v>
      </c>
      <c r="Y951" t="s">
        <v>154</v>
      </c>
      <c r="Z951" t="s">
        <v>155</v>
      </c>
      <c r="AA951" t="s">
        <v>114</v>
      </c>
      <c r="AB951" t="s">
        <v>563</v>
      </c>
      <c r="AC951">
        <v>349</v>
      </c>
      <c r="AD951" s="8" t="b">
        <f>AND(
 H951&gt;=Filters!$B$3,
 H951&lt;=Filters!$B$4,
 I951&gt;=Filters!$B$5,
 OR(Filters!$B$6="All",B951=Filters!$B$6),
 F951&gt;=Filters!$B$7,
 F951&lt;=Filters!$B$8,
 OR(Filters!$B$9="All",G951=Filters!$B$9)
)</f>
        <v>0</v>
      </c>
      <c r="AE951">
        <f t="shared" si="182"/>
        <v>6</v>
      </c>
      <c r="AF951">
        <f t="shared" si="183"/>
        <v>7</v>
      </c>
      <c r="AG951">
        <f t="shared" si="184"/>
        <v>7</v>
      </c>
      <c r="AH951" s="9" t="str">
        <f t="shared" si="185"/>
        <v/>
      </c>
      <c r="AI951" s="9" t="str">
        <f t="shared" si="186"/>
        <v/>
      </c>
      <c r="AJ951" s="9" t="str">
        <f t="shared" si="187"/>
        <v/>
      </c>
      <c r="AK951" s="9" t="str">
        <f t="shared" si="188"/>
        <v/>
      </c>
      <c r="AL951" s="9" t="str">
        <f t="shared" si="189"/>
        <v/>
      </c>
      <c r="AM951" s="9" t="str">
        <f t="shared" si="190"/>
        <v/>
      </c>
      <c r="AN951" s="9" t="str">
        <f t="shared" si="191"/>
        <v/>
      </c>
      <c r="AO951" s="9" t="str">
        <f t="shared" si="192"/>
        <v/>
      </c>
      <c r="AP951" s="9" t="str">
        <f t="shared" si="193"/>
        <v/>
      </c>
      <c r="AQ951" s="10" t="str">
        <f t="shared" si="194"/>
        <v/>
      </c>
    </row>
    <row r="952" spans="1:43">
      <c r="A952">
        <v>951</v>
      </c>
      <c r="B952" t="s">
        <v>26</v>
      </c>
      <c r="C952" t="s">
        <v>1337</v>
      </c>
      <c r="D952" t="s">
        <v>1338</v>
      </c>
      <c r="E952" t="s">
        <v>468</v>
      </c>
      <c r="G952" t="s">
        <v>18</v>
      </c>
      <c r="H952" s="4">
        <v>60723000</v>
      </c>
      <c r="I952" s="5">
        <v>8</v>
      </c>
      <c r="J952" s="5">
        <v>0</v>
      </c>
      <c r="K952" s="5">
        <v>8</v>
      </c>
      <c r="L952">
        <v>9.4</v>
      </c>
      <c r="M952">
        <v>8</v>
      </c>
      <c r="N952">
        <v>6.32</v>
      </c>
      <c r="O952" s="6">
        <v>15.6</v>
      </c>
      <c r="P952" s="7">
        <v>2</v>
      </c>
      <c r="U952" t="s">
        <v>84</v>
      </c>
      <c r="V952" t="s">
        <v>693</v>
      </c>
      <c r="W952">
        <v>2.7</v>
      </c>
      <c r="X952" t="s">
        <v>122</v>
      </c>
      <c r="Y952" t="s">
        <v>1151</v>
      </c>
      <c r="Z952" t="s">
        <v>1339</v>
      </c>
      <c r="AA952" t="s">
        <v>128</v>
      </c>
      <c r="AB952" t="s">
        <v>115</v>
      </c>
      <c r="AC952">
        <v>2249</v>
      </c>
      <c r="AD952" s="8" t="b">
        <f>AND(
 H952&gt;=Filters!$B$3,
 H952&lt;=Filters!$B$4,
 I952&gt;=Filters!$B$5,
 OR(Filters!$B$6="All",B952=Filters!$B$6),
 F952&gt;=Filters!$B$7,
 F952&lt;=Filters!$B$8,
 OR(Filters!$B$9="All",G952=Filters!$B$9)
)</f>
        <v>0</v>
      </c>
      <c r="AE952">
        <f t="shared" si="182"/>
        <v>6</v>
      </c>
      <c r="AF952">
        <f t="shared" si="183"/>
        <v>7</v>
      </c>
      <c r="AG952">
        <f t="shared" si="184"/>
        <v>7</v>
      </c>
      <c r="AH952" s="9" t="str">
        <f t="shared" si="185"/>
        <v/>
      </c>
      <c r="AI952" s="9" t="str">
        <f t="shared" si="186"/>
        <v/>
      </c>
      <c r="AJ952" s="9" t="str">
        <f t="shared" si="187"/>
        <v/>
      </c>
      <c r="AK952" s="9" t="str">
        <f t="shared" si="188"/>
        <v/>
      </c>
      <c r="AL952" s="9" t="str">
        <f t="shared" si="189"/>
        <v/>
      </c>
      <c r="AM952" s="9" t="str">
        <f t="shared" si="190"/>
        <v/>
      </c>
      <c r="AN952" s="9" t="str">
        <f t="shared" si="191"/>
        <v/>
      </c>
      <c r="AO952" s="9" t="str">
        <f t="shared" si="192"/>
        <v/>
      </c>
      <c r="AP952" s="9" t="str">
        <f t="shared" si="193"/>
        <v/>
      </c>
      <c r="AQ952" s="10" t="str">
        <f t="shared" si="194"/>
        <v/>
      </c>
    </row>
    <row r="953" spans="1:43">
      <c r="A953">
        <v>952</v>
      </c>
      <c r="B953" t="s">
        <v>23</v>
      </c>
      <c r="C953" t="s">
        <v>716</v>
      </c>
      <c r="D953" t="s">
        <v>654</v>
      </c>
      <c r="E953" t="s">
        <v>83</v>
      </c>
      <c r="G953" t="s">
        <v>18</v>
      </c>
      <c r="H953" s="4">
        <v>47925000</v>
      </c>
      <c r="I953" s="5">
        <v>256</v>
      </c>
      <c r="J953" s="5">
        <v>0</v>
      </c>
      <c r="K953" s="5">
        <v>8</v>
      </c>
      <c r="L953">
        <v>9.6</v>
      </c>
      <c r="M953">
        <v>3.5</v>
      </c>
      <c r="N953">
        <v>6</v>
      </c>
      <c r="O953" s="6">
        <v>14</v>
      </c>
      <c r="P953" s="7">
        <v>1.36</v>
      </c>
      <c r="U953" t="s">
        <v>84</v>
      </c>
      <c r="V953" t="s">
        <v>592</v>
      </c>
      <c r="W953">
        <v>2.8</v>
      </c>
      <c r="X953" t="s">
        <v>84</v>
      </c>
      <c r="Y953" t="s">
        <v>99</v>
      </c>
      <c r="Z953" t="s">
        <v>100</v>
      </c>
      <c r="AA953" t="s">
        <v>101</v>
      </c>
      <c r="AB953" t="s">
        <v>115</v>
      </c>
      <c r="AC953">
        <v>1775</v>
      </c>
      <c r="AD953" s="8" t="b">
        <f>AND(
 H953&gt;=Filters!$B$3,
 H953&lt;=Filters!$B$4,
 I953&gt;=Filters!$B$5,
 OR(Filters!$B$6="All",B953=Filters!$B$6),
 F953&gt;=Filters!$B$7,
 F953&lt;=Filters!$B$8,
 OR(Filters!$B$9="All",G953=Filters!$B$9)
)</f>
        <v>0</v>
      </c>
      <c r="AE953">
        <f t="shared" si="182"/>
        <v>6</v>
      </c>
      <c r="AF953">
        <f t="shared" si="183"/>
        <v>7</v>
      </c>
      <c r="AG953">
        <f t="shared" si="184"/>
        <v>7</v>
      </c>
      <c r="AH953" s="9" t="str">
        <f t="shared" si="185"/>
        <v/>
      </c>
      <c r="AI953" s="9" t="str">
        <f t="shared" si="186"/>
        <v/>
      </c>
      <c r="AJ953" s="9" t="str">
        <f t="shared" si="187"/>
        <v/>
      </c>
      <c r="AK953" s="9" t="str">
        <f t="shared" si="188"/>
        <v/>
      </c>
      <c r="AL953" s="9" t="str">
        <f t="shared" si="189"/>
        <v/>
      </c>
      <c r="AM953" s="9" t="str">
        <f t="shared" si="190"/>
        <v/>
      </c>
      <c r="AN953" s="9" t="str">
        <f t="shared" si="191"/>
        <v/>
      </c>
      <c r="AO953" s="9" t="str">
        <f t="shared" si="192"/>
        <v/>
      </c>
      <c r="AP953" s="9" t="str">
        <f t="shared" si="193"/>
        <v/>
      </c>
      <c r="AQ953" s="10" t="str">
        <f t="shared" si="194"/>
        <v/>
      </c>
    </row>
    <row r="954" spans="1:43">
      <c r="A954">
        <v>953</v>
      </c>
      <c r="B954" t="s">
        <v>35</v>
      </c>
      <c r="C954" t="s">
        <v>1340</v>
      </c>
      <c r="D954" t="s">
        <v>1341</v>
      </c>
      <c r="E954" t="s">
        <v>97</v>
      </c>
      <c r="G954" t="s">
        <v>18</v>
      </c>
      <c r="H954" s="4">
        <v>39420000</v>
      </c>
      <c r="I954" s="5">
        <v>256</v>
      </c>
      <c r="J954" s="5">
        <v>0</v>
      </c>
      <c r="K954" s="5">
        <v>8</v>
      </c>
      <c r="L954">
        <v>6.6</v>
      </c>
      <c r="M954">
        <v>3.5</v>
      </c>
      <c r="N954">
        <v>5.96</v>
      </c>
      <c r="O954" s="6">
        <v>13.3</v>
      </c>
      <c r="P954" s="7">
        <v>1.2</v>
      </c>
      <c r="U954" t="s">
        <v>84</v>
      </c>
      <c r="V954" t="s">
        <v>375</v>
      </c>
      <c r="W954">
        <v>2.2999999999999998</v>
      </c>
      <c r="X954" t="s">
        <v>84</v>
      </c>
      <c r="Y954" t="s">
        <v>130</v>
      </c>
      <c r="Z954" t="s">
        <v>100</v>
      </c>
      <c r="AA954" t="s">
        <v>101</v>
      </c>
      <c r="AB954" t="s">
        <v>869</v>
      </c>
      <c r="AC954">
        <v>1460</v>
      </c>
      <c r="AD954" s="8" t="b">
        <f>AND(
 H954&gt;=Filters!$B$3,
 H954&lt;=Filters!$B$4,
 I954&gt;=Filters!$B$5,
 OR(Filters!$B$6="All",B954=Filters!$B$6),
 F954&gt;=Filters!$B$7,
 F954&lt;=Filters!$B$8,
 OR(Filters!$B$9="All",G954=Filters!$B$9)
)</f>
        <v>0</v>
      </c>
      <c r="AE954">
        <f t="shared" si="182"/>
        <v>6</v>
      </c>
      <c r="AF954">
        <f t="shared" si="183"/>
        <v>7</v>
      </c>
      <c r="AG954">
        <f t="shared" si="184"/>
        <v>7</v>
      </c>
      <c r="AH954" s="9" t="str">
        <f t="shared" si="185"/>
        <v/>
      </c>
      <c r="AI954" s="9" t="str">
        <f t="shared" si="186"/>
        <v/>
      </c>
      <c r="AJ954" s="9" t="str">
        <f t="shared" si="187"/>
        <v/>
      </c>
      <c r="AK954" s="9" t="str">
        <f t="shared" si="188"/>
        <v/>
      </c>
      <c r="AL954" s="9" t="str">
        <f t="shared" si="189"/>
        <v/>
      </c>
      <c r="AM954" s="9" t="str">
        <f t="shared" si="190"/>
        <v/>
      </c>
      <c r="AN954" s="9" t="str">
        <f t="shared" si="191"/>
        <v/>
      </c>
      <c r="AO954" s="9" t="str">
        <f t="shared" si="192"/>
        <v/>
      </c>
      <c r="AP954" s="9" t="str">
        <f t="shared" si="193"/>
        <v/>
      </c>
      <c r="AQ954" s="10" t="str">
        <f t="shared" si="194"/>
        <v/>
      </c>
    </row>
    <row r="955" spans="1:43">
      <c r="A955">
        <v>954</v>
      </c>
      <c r="B955" t="s">
        <v>21</v>
      </c>
      <c r="C955" t="s">
        <v>1076</v>
      </c>
      <c r="D955" t="s">
        <v>1077</v>
      </c>
      <c r="E955" t="s">
        <v>168</v>
      </c>
      <c r="G955" t="s">
        <v>18</v>
      </c>
      <c r="H955" s="4">
        <v>31293000</v>
      </c>
      <c r="I955" s="5">
        <v>64</v>
      </c>
      <c r="J955" s="5">
        <v>0</v>
      </c>
      <c r="K955" s="5">
        <v>8</v>
      </c>
      <c r="L955">
        <v>3.4</v>
      </c>
      <c r="M955">
        <v>3.5</v>
      </c>
      <c r="N955">
        <v>5.92</v>
      </c>
      <c r="O955" s="6">
        <v>12.5</v>
      </c>
      <c r="P955" s="7">
        <v>1.2</v>
      </c>
      <c r="U955" t="s">
        <v>84</v>
      </c>
      <c r="V955" t="s">
        <v>1342</v>
      </c>
      <c r="W955">
        <v>1.2</v>
      </c>
      <c r="X955" t="s">
        <v>84</v>
      </c>
      <c r="Y955" t="s">
        <v>381</v>
      </c>
      <c r="Z955" t="s">
        <v>188</v>
      </c>
      <c r="AA955" t="s">
        <v>101</v>
      </c>
      <c r="AB955" t="s">
        <v>563</v>
      </c>
      <c r="AC955">
        <v>1159</v>
      </c>
      <c r="AD955" s="8" t="b">
        <f>AND(
 H955&gt;=Filters!$B$3,
 H955&lt;=Filters!$B$4,
 I955&gt;=Filters!$B$5,
 OR(Filters!$B$6="All",B955=Filters!$B$6),
 F955&gt;=Filters!$B$7,
 F955&lt;=Filters!$B$8,
 OR(Filters!$B$9="All",G955=Filters!$B$9)
)</f>
        <v>0</v>
      </c>
      <c r="AE955">
        <f t="shared" si="182"/>
        <v>6</v>
      </c>
      <c r="AF955">
        <f t="shared" si="183"/>
        <v>7</v>
      </c>
      <c r="AG955">
        <f t="shared" si="184"/>
        <v>7</v>
      </c>
      <c r="AH955" s="9" t="str">
        <f t="shared" si="185"/>
        <v/>
      </c>
      <c r="AI955" s="9" t="str">
        <f t="shared" si="186"/>
        <v/>
      </c>
      <c r="AJ955" s="9" t="str">
        <f t="shared" si="187"/>
        <v/>
      </c>
      <c r="AK955" s="9" t="str">
        <f t="shared" si="188"/>
        <v/>
      </c>
      <c r="AL955" s="9" t="str">
        <f t="shared" si="189"/>
        <v/>
      </c>
      <c r="AM955" s="9" t="str">
        <f t="shared" si="190"/>
        <v/>
      </c>
      <c r="AN955" s="9" t="str">
        <f t="shared" si="191"/>
        <v/>
      </c>
      <c r="AO955" s="9" t="str">
        <f t="shared" si="192"/>
        <v/>
      </c>
      <c r="AP955" s="9" t="str">
        <f t="shared" si="193"/>
        <v/>
      </c>
      <c r="AQ955" s="10" t="str">
        <f t="shared" si="194"/>
        <v/>
      </c>
    </row>
    <row r="956" spans="1:43">
      <c r="A956">
        <v>955</v>
      </c>
      <c r="B956" t="s">
        <v>29</v>
      </c>
      <c r="C956" t="s">
        <v>1141</v>
      </c>
      <c r="D956" t="s">
        <v>1142</v>
      </c>
      <c r="E956" t="s">
        <v>83</v>
      </c>
      <c r="G956" t="s">
        <v>18</v>
      </c>
      <c r="H956" s="4">
        <v>40202730</v>
      </c>
      <c r="I956" s="5">
        <v>256</v>
      </c>
      <c r="J956" s="5">
        <v>0</v>
      </c>
      <c r="K956" s="5">
        <v>8</v>
      </c>
      <c r="L956">
        <v>9.1999999999999993</v>
      </c>
      <c r="M956">
        <v>3.5</v>
      </c>
      <c r="N956">
        <v>6.4</v>
      </c>
      <c r="O956" s="6">
        <v>14</v>
      </c>
      <c r="P956" s="7">
        <v>1.7</v>
      </c>
      <c r="U956" t="s">
        <v>84</v>
      </c>
      <c r="V956" t="s">
        <v>548</v>
      </c>
      <c r="W956">
        <v>2.6</v>
      </c>
      <c r="X956" t="s">
        <v>84</v>
      </c>
      <c r="Y956" t="s">
        <v>130</v>
      </c>
      <c r="Z956" t="s">
        <v>100</v>
      </c>
      <c r="AA956" t="s">
        <v>128</v>
      </c>
      <c r="AB956" t="s">
        <v>115</v>
      </c>
      <c r="AC956">
        <v>1488.99</v>
      </c>
      <c r="AD956" s="8" t="b">
        <f>AND(
 H956&gt;=Filters!$B$3,
 H956&lt;=Filters!$B$4,
 I956&gt;=Filters!$B$5,
 OR(Filters!$B$6="All",B956=Filters!$B$6),
 F956&gt;=Filters!$B$7,
 F956&lt;=Filters!$B$8,
 OR(Filters!$B$9="All",G956=Filters!$B$9)
)</f>
        <v>0</v>
      </c>
      <c r="AE956">
        <f t="shared" si="182"/>
        <v>6</v>
      </c>
      <c r="AF956">
        <f t="shared" si="183"/>
        <v>7</v>
      </c>
      <c r="AG956">
        <f t="shared" si="184"/>
        <v>7</v>
      </c>
      <c r="AH956" s="9" t="str">
        <f t="shared" si="185"/>
        <v/>
      </c>
      <c r="AI956" s="9" t="str">
        <f t="shared" si="186"/>
        <v/>
      </c>
      <c r="AJ956" s="9" t="str">
        <f t="shared" si="187"/>
        <v/>
      </c>
      <c r="AK956" s="9" t="str">
        <f t="shared" si="188"/>
        <v/>
      </c>
      <c r="AL956" s="9" t="str">
        <f t="shared" si="189"/>
        <v/>
      </c>
      <c r="AM956" s="9" t="str">
        <f t="shared" si="190"/>
        <v/>
      </c>
      <c r="AN956" s="9" t="str">
        <f t="shared" si="191"/>
        <v/>
      </c>
      <c r="AO956" s="9" t="str">
        <f t="shared" si="192"/>
        <v/>
      </c>
      <c r="AP956" s="9" t="str">
        <f t="shared" si="193"/>
        <v/>
      </c>
      <c r="AQ956" s="10" t="str">
        <f t="shared" si="194"/>
        <v/>
      </c>
    </row>
    <row r="957" spans="1:43">
      <c r="A957">
        <v>956</v>
      </c>
      <c r="B957" t="s">
        <v>23</v>
      </c>
      <c r="C957" t="s">
        <v>486</v>
      </c>
      <c r="D957" t="s">
        <v>487</v>
      </c>
      <c r="E957" t="s">
        <v>158</v>
      </c>
      <c r="G957" t="s">
        <v>18</v>
      </c>
      <c r="H957" s="4">
        <v>85158000</v>
      </c>
      <c r="I957" s="5">
        <v>512</v>
      </c>
      <c r="J957" s="5">
        <v>1024</v>
      </c>
      <c r="K957" s="5">
        <v>16</v>
      </c>
      <c r="L957">
        <v>9.6</v>
      </c>
      <c r="M957">
        <v>9.1999999999999993</v>
      </c>
      <c r="N957">
        <v>9.73</v>
      </c>
      <c r="O957" s="6">
        <v>17.3</v>
      </c>
      <c r="P957" s="7">
        <v>4.3600000000000003</v>
      </c>
      <c r="U957" t="s">
        <v>84</v>
      </c>
      <c r="V957" t="s">
        <v>210</v>
      </c>
      <c r="W957">
        <v>2.8</v>
      </c>
      <c r="X957" t="s">
        <v>122</v>
      </c>
      <c r="Y957" t="s">
        <v>248</v>
      </c>
      <c r="Z957" t="s">
        <v>428</v>
      </c>
      <c r="AA957" t="s">
        <v>459</v>
      </c>
      <c r="AB957" t="s">
        <v>115</v>
      </c>
      <c r="AC957">
        <v>3154</v>
      </c>
      <c r="AD957" s="8" t="b">
        <f>AND(
 H957&gt;=Filters!$B$3,
 H957&lt;=Filters!$B$4,
 I957&gt;=Filters!$B$5,
 OR(Filters!$B$6="All",B957=Filters!$B$6),
 F957&gt;=Filters!$B$7,
 F957&lt;=Filters!$B$8,
 OR(Filters!$B$9="All",G957=Filters!$B$9)
)</f>
        <v>0</v>
      </c>
      <c r="AE957">
        <f t="shared" si="182"/>
        <v>6</v>
      </c>
      <c r="AF957">
        <f t="shared" si="183"/>
        <v>7</v>
      </c>
      <c r="AG957">
        <f t="shared" si="184"/>
        <v>7</v>
      </c>
      <c r="AH957" s="9" t="str">
        <f t="shared" si="185"/>
        <v/>
      </c>
      <c r="AI957" s="9" t="str">
        <f t="shared" si="186"/>
        <v/>
      </c>
      <c r="AJ957" s="9" t="str">
        <f t="shared" si="187"/>
        <v/>
      </c>
      <c r="AK957" s="9" t="str">
        <f t="shared" si="188"/>
        <v/>
      </c>
      <c r="AL957" s="9" t="str">
        <f t="shared" si="189"/>
        <v/>
      </c>
      <c r="AM957" s="9" t="str">
        <f t="shared" si="190"/>
        <v/>
      </c>
      <c r="AN957" s="9" t="str">
        <f t="shared" si="191"/>
        <v/>
      </c>
      <c r="AO957" s="9" t="str">
        <f t="shared" si="192"/>
        <v/>
      </c>
      <c r="AP957" s="9" t="str">
        <f t="shared" si="193"/>
        <v/>
      </c>
      <c r="AQ957" s="10" t="str">
        <f t="shared" si="194"/>
        <v/>
      </c>
    </row>
    <row r="958" spans="1:43">
      <c r="A958">
        <v>957</v>
      </c>
      <c r="B958" t="s">
        <v>23</v>
      </c>
      <c r="C958" t="s">
        <v>1290</v>
      </c>
      <c r="D958" t="s">
        <v>148</v>
      </c>
      <c r="E958" t="s">
        <v>168</v>
      </c>
      <c r="G958" t="s">
        <v>18</v>
      </c>
      <c r="H958" s="4">
        <v>51273000</v>
      </c>
      <c r="I958" s="5">
        <v>256</v>
      </c>
      <c r="J958" s="5">
        <v>0</v>
      </c>
      <c r="K958" s="5">
        <v>8</v>
      </c>
      <c r="L958">
        <v>4.4000000000000004</v>
      </c>
      <c r="M958">
        <v>3.5</v>
      </c>
      <c r="N958">
        <v>6.26</v>
      </c>
      <c r="O958" s="6">
        <v>13.3</v>
      </c>
      <c r="P958" s="7">
        <v>1.24</v>
      </c>
      <c r="U958" t="s">
        <v>84</v>
      </c>
      <c r="V958" t="s">
        <v>442</v>
      </c>
      <c r="W958">
        <v>1.2</v>
      </c>
      <c r="X958" t="s">
        <v>84</v>
      </c>
      <c r="Y958" t="s">
        <v>138</v>
      </c>
      <c r="Z958" t="s">
        <v>100</v>
      </c>
      <c r="AA958" t="s">
        <v>169</v>
      </c>
      <c r="AB958" t="s">
        <v>115</v>
      </c>
      <c r="AC958">
        <v>1899</v>
      </c>
      <c r="AD958" s="8" t="b">
        <f>AND(
 H958&gt;=Filters!$B$3,
 H958&lt;=Filters!$B$4,
 I958&gt;=Filters!$B$5,
 OR(Filters!$B$6="All",B958=Filters!$B$6),
 F958&gt;=Filters!$B$7,
 F958&lt;=Filters!$B$8,
 OR(Filters!$B$9="All",G958=Filters!$B$9)
)</f>
        <v>0</v>
      </c>
      <c r="AE958">
        <f t="shared" si="182"/>
        <v>6</v>
      </c>
      <c r="AF958">
        <f t="shared" si="183"/>
        <v>7</v>
      </c>
      <c r="AG958">
        <f t="shared" si="184"/>
        <v>7</v>
      </c>
      <c r="AH958" s="9" t="str">
        <f t="shared" si="185"/>
        <v/>
      </c>
      <c r="AI958" s="9" t="str">
        <f t="shared" si="186"/>
        <v/>
      </c>
      <c r="AJ958" s="9" t="str">
        <f t="shared" si="187"/>
        <v/>
      </c>
      <c r="AK958" s="9" t="str">
        <f t="shared" si="188"/>
        <v/>
      </c>
      <c r="AL958" s="9" t="str">
        <f t="shared" si="189"/>
        <v/>
      </c>
      <c r="AM958" s="9" t="str">
        <f t="shared" si="190"/>
        <v/>
      </c>
      <c r="AN958" s="9" t="str">
        <f t="shared" si="191"/>
        <v/>
      </c>
      <c r="AO958" s="9" t="str">
        <f t="shared" si="192"/>
        <v/>
      </c>
      <c r="AP958" s="9" t="str">
        <f t="shared" si="193"/>
        <v/>
      </c>
      <c r="AQ958" s="10" t="str">
        <f t="shared" si="194"/>
        <v/>
      </c>
    </row>
    <row r="959" spans="1:43">
      <c r="A959">
        <v>958</v>
      </c>
      <c r="B959" t="s">
        <v>26</v>
      </c>
      <c r="C959" t="s">
        <v>1343</v>
      </c>
      <c r="D959" t="s">
        <v>1344</v>
      </c>
      <c r="E959" t="s">
        <v>168</v>
      </c>
      <c r="G959" t="s">
        <v>18</v>
      </c>
      <c r="H959" s="4">
        <v>20925000</v>
      </c>
      <c r="I959" s="5">
        <v>256</v>
      </c>
      <c r="J959" s="5">
        <v>0</v>
      </c>
      <c r="K959" s="5">
        <v>4</v>
      </c>
      <c r="L959">
        <v>1.2</v>
      </c>
      <c r="M959">
        <v>3.5</v>
      </c>
      <c r="N959">
        <v>4.18</v>
      </c>
      <c r="O959" s="6">
        <v>11.6</v>
      </c>
      <c r="P959" s="7">
        <v>1.45</v>
      </c>
      <c r="U959" t="s">
        <v>84</v>
      </c>
      <c r="V959" t="s">
        <v>229</v>
      </c>
      <c r="W959">
        <v>1.1000000000000001</v>
      </c>
      <c r="X959" t="s">
        <v>84</v>
      </c>
      <c r="Y959" t="s">
        <v>418</v>
      </c>
      <c r="Z959" t="s">
        <v>100</v>
      </c>
      <c r="AA959" t="s">
        <v>472</v>
      </c>
      <c r="AB959" t="s">
        <v>115</v>
      </c>
      <c r="AC959">
        <v>775</v>
      </c>
      <c r="AD959" s="8" t="b">
        <f>AND(
 H959&gt;=Filters!$B$3,
 H959&lt;=Filters!$B$4,
 I959&gt;=Filters!$B$5,
 OR(Filters!$B$6="All",B959=Filters!$B$6),
 F959&gt;=Filters!$B$7,
 F959&lt;=Filters!$B$8,
 OR(Filters!$B$9="All",G959=Filters!$B$9)
)</f>
        <v>1</v>
      </c>
      <c r="AE959">
        <f t="shared" si="182"/>
        <v>6</v>
      </c>
      <c r="AF959">
        <f t="shared" si="183"/>
        <v>7</v>
      </c>
      <c r="AG959">
        <f t="shared" si="184"/>
        <v>7</v>
      </c>
      <c r="AH959" s="9">
        <f t="shared" si="185"/>
        <v>0</v>
      </c>
      <c r="AI959" s="9">
        <f t="shared" si="186"/>
        <v>0.33333333333333331</v>
      </c>
      <c r="AJ959" s="9">
        <f t="shared" si="187"/>
        <v>0.27380952380952378</v>
      </c>
      <c r="AK959" s="9">
        <f t="shared" si="188"/>
        <v>0.35476190476190467</v>
      </c>
      <c r="AL959" s="9">
        <f t="shared" si="189"/>
        <v>0.97023809523809523</v>
      </c>
      <c r="AM959" s="9">
        <f t="shared" si="190"/>
        <v>0.5714285714285714</v>
      </c>
      <c r="AN959" s="9">
        <f t="shared" si="191"/>
        <v>0.69047619047619047</v>
      </c>
      <c r="AO959" s="9">
        <f t="shared" si="192"/>
        <v>0.69047619047619047</v>
      </c>
      <c r="AP959" s="9">
        <f t="shared" si="193"/>
        <v>0.42366733358228215</v>
      </c>
      <c r="AQ959" s="10">
        <f t="shared" si="194"/>
        <v>0.42366829258228217</v>
      </c>
    </row>
    <row r="960" spans="1:43">
      <c r="A960">
        <v>959</v>
      </c>
      <c r="B960" t="s">
        <v>23</v>
      </c>
      <c r="C960" t="s">
        <v>147</v>
      </c>
      <c r="D960" t="s">
        <v>148</v>
      </c>
      <c r="E960" t="s">
        <v>83</v>
      </c>
      <c r="G960" t="s">
        <v>18</v>
      </c>
      <c r="H960" s="4">
        <v>34236000</v>
      </c>
      <c r="I960" s="5">
        <v>256</v>
      </c>
      <c r="J960" s="5">
        <v>0</v>
      </c>
      <c r="K960" s="5">
        <v>8</v>
      </c>
      <c r="L960">
        <v>9</v>
      </c>
      <c r="M960">
        <v>3.5</v>
      </c>
      <c r="N960">
        <v>8.16</v>
      </c>
      <c r="O960" s="6">
        <v>13.3</v>
      </c>
      <c r="P960" s="7">
        <v>1.3</v>
      </c>
      <c r="U960" t="s">
        <v>84</v>
      </c>
      <c r="V960" t="s">
        <v>485</v>
      </c>
      <c r="W960">
        <v>2.5</v>
      </c>
      <c r="X960" t="s">
        <v>84</v>
      </c>
      <c r="Y960" t="s">
        <v>130</v>
      </c>
      <c r="Z960" t="s">
        <v>100</v>
      </c>
      <c r="AA960" t="s">
        <v>1345</v>
      </c>
      <c r="AB960" t="s">
        <v>115</v>
      </c>
      <c r="AC960">
        <v>1268</v>
      </c>
      <c r="AD960" s="8" t="b">
        <f>AND(
 H960&gt;=Filters!$B$3,
 H960&lt;=Filters!$B$4,
 I960&gt;=Filters!$B$5,
 OR(Filters!$B$6="All",B960=Filters!$B$6),
 F960&gt;=Filters!$B$7,
 F960&lt;=Filters!$B$8,
 OR(Filters!$B$9="All",G960=Filters!$B$9)
)</f>
        <v>0</v>
      </c>
      <c r="AE960">
        <f t="shared" si="182"/>
        <v>6</v>
      </c>
      <c r="AF960">
        <f t="shared" si="183"/>
        <v>7</v>
      </c>
      <c r="AG960">
        <f t="shared" si="184"/>
        <v>7</v>
      </c>
      <c r="AH960" s="9" t="str">
        <f t="shared" si="185"/>
        <v/>
      </c>
      <c r="AI960" s="9" t="str">
        <f t="shared" si="186"/>
        <v/>
      </c>
      <c r="AJ960" s="9" t="str">
        <f t="shared" si="187"/>
        <v/>
      </c>
      <c r="AK960" s="9" t="str">
        <f t="shared" si="188"/>
        <v/>
      </c>
      <c r="AL960" s="9" t="str">
        <f t="shared" si="189"/>
        <v/>
      </c>
      <c r="AM960" s="9" t="str">
        <f t="shared" si="190"/>
        <v/>
      </c>
      <c r="AN960" s="9" t="str">
        <f t="shared" si="191"/>
        <v/>
      </c>
      <c r="AO960" s="9" t="str">
        <f t="shared" si="192"/>
        <v/>
      </c>
      <c r="AP960" s="9" t="str">
        <f t="shared" si="193"/>
        <v/>
      </c>
      <c r="AQ960" s="10" t="str">
        <f t="shared" si="194"/>
        <v/>
      </c>
    </row>
    <row r="961" spans="1:43">
      <c r="A961">
        <v>960</v>
      </c>
      <c r="B961" t="s">
        <v>17</v>
      </c>
      <c r="C961" t="s">
        <v>1346</v>
      </c>
      <c r="D961" t="s">
        <v>1347</v>
      </c>
      <c r="E961" t="s">
        <v>168</v>
      </c>
      <c r="G961" t="s">
        <v>18</v>
      </c>
      <c r="H961" s="4">
        <v>10503000</v>
      </c>
      <c r="I961" s="5">
        <v>32</v>
      </c>
      <c r="J961" s="5">
        <v>0</v>
      </c>
      <c r="K961" s="5">
        <v>4</v>
      </c>
      <c r="L961">
        <v>1.2</v>
      </c>
      <c r="M961">
        <v>3.5</v>
      </c>
      <c r="N961">
        <v>4.58</v>
      </c>
      <c r="O961" s="6">
        <v>11.6</v>
      </c>
      <c r="P961" s="7">
        <v>1.25</v>
      </c>
      <c r="U961" t="s">
        <v>84</v>
      </c>
      <c r="V961" t="s">
        <v>263</v>
      </c>
      <c r="W961">
        <v>1.6</v>
      </c>
      <c r="X961" t="s">
        <v>84</v>
      </c>
      <c r="Y961" t="s">
        <v>154</v>
      </c>
      <c r="Z961" t="s">
        <v>155</v>
      </c>
      <c r="AA961" t="s">
        <v>984</v>
      </c>
      <c r="AB961" t="s">
        <v>563</v>
      </c>
      <c r="AC961">
        <v>389</v>
      </c>
      <c r="AD961" s="8" t="b">
        <f>AND(
 H961&gt;=Filters!$B$3,
 H961&lt;=Filters!$B$4,
 I961&gt;=Filters!$B$5,
 OR(Filters!$B$6="All",B961=Filters!$B$6),
 F961&gt;=Filters!$B$7,
 F961&lt;=Filters!$B$8,
 OR(Filters!$B$9="All",G961=Filters!$B$9)
)</f>
        <v>0</v>
      </c>
      <c r="AE961">
        <f t="shared" si="182"/>
        <v>6</v>
      </c>
      <c r="AF961">
        <f t="shared" si="183"/>
        <v>7</v>
      </c>
      <c r="AG961">
        <f t="shared" si="184"/>
        <v>7</v>
      </c>
      <c r="AH961" s="9" t="str">
        <f t="shared" si="185"/>
        <v/>
      </c>
      <c r="AI961" s="9" t="str">
        <f t="shared" si="186"/>
        <v/>
      </c>
      <c r="AJ961" s="9" t="str">
        <f t="shared" si="187"/>
        <v/>
      </c>
      <c r="AK961" s="9" t="str">
        <f t="shared" si="188"/>
        <v/>
      </c>
      <c r="AL961" s="9" t="str">
        <f t="shared" si="189"/>
        <v/>
      </c>
      <c r="AM961" s="9" t="str">
        <f t="shared" si="190"/>
        <v/>
      </c>
      <c r="AN961" s="9" t="str">
        <f t="shared" si="191"/>
        <v/>
      </c>
      <c r="AO961" s="9" t="str">
        <f t="shared" si="192"/>
        <v/>
      </c>
      <c r="AP961" s="9" t="str">
        <f t="shared" si="193"/>
        <v/>
      </c>
      <c r="AQ961" s="10" t="str">
        <f t="shared" si="194"/>
        <v/>
      </c>
    </row>
    <row r="962" spans="1:43">
      <c r="A962">
        <v>961</v>
      </c>
      <c r="B962" t="s">
        <v>35</v>
      </c>
      <c r="C962" t="s">
        <v>1348</v>
      </c>
      <c r="D962" t="s">
        <v>1349</v>
      </c>
      <c r="E962" t="s">
        <v>97</v>
      </c>
      <c r="G962" t="s">
        <v>18</v>
      </c>
      <c r="H962" s="4">
        <v>41445000</v>
      </c>
      <c r="I962" s="5">
        <v>256</v>
      </c>
      <c r="J962" s="5">
        <v>0</v>
      </c>
      <c r="K962" s="5">
        <v>8</v>
      </c>
      <c r="L962">
        <v>6.8</v>
      </c>
      <c r="M962">
        <v>3.5</v>
      </c>
      <c r="N962">
        <v>5.96</v>
      </c>
      <c r="O962" s="6">
        <v>13.3</v>
      </c>
      <c r="P962" s="7">
        <v>1.2</v>
      </c>
      <c r="U962" t="s">
        <v>84</v>
      </c>
      <c r="V962" t="s">
        <v>1024</v>
      </c>
      <c r="W962">
        <v>2.4</v>
      </c>
      <c r="X962" t="s">
        <v>84</v>
      </c>
      <c r="Y962" t="s">
        <v>130</v>
      </c>
      <c r="Z962" t="s">
        <v>100</v>
      </c>
      <c r="AA962" t="s">
        <v>101</v>
      </c>
      <c r="AB962" t="s">
        <v>115</v>
      </c>
      <c r="AC962">
        <v>1535</v>
      </c>
      <c r="AD962" s="8" t="b">
        <f>AND(
 H962&gt;=Filters!$B$3,
 H962&lt;=Filters!$B$4,
 I962&gt;=Filters!$B$5,
 OR(Filters!$B$6="All",B962=Filters!$B$6),
 F962&gt;=Filters!$B$7,
 F962&lt;=Filters!$B$8,
 OR(Filters!$B$9="All",G962=Filters!$B$9)
)</f>
        <v>0</v>
      </c>
      <c r="AE962">
        <f t="shared" ref="AE962:AE1025" si="195">IF(Q962="",6,Q962)</f>
        <v>6</v>
      </c>
      <c r="AF962">
        <f t="shared" ref="AF962:AF1025" si="196">IF(R962="",7,R962)</f>
        <v>7</v>
      </c>
      <c r="AG962">
        <f t="shared" ref="AG962:AG1025" si="197">IF(S962="",7,S962)</f>
        <v>7</v>
      </c>
      <c r="AH962" s="9" t="str">
        <f t="shared" ref="AH962:AH1025" si="198">IF(AD962,IF(CPU_MAX=CPU_MIN,1,(L962-CPU_MIN)/(CPU_MAX-CPU_MIN)),"")</f>
        <v/>
      </c>
      <c r="AI962" s="9" t="str">
        <f t="shared" ref="AI962:AI1025" si="199">IF(AD962,IF(RAM_MAX=RAM_MIN,1,(K962-RAM_MIN)/(RAM_MAX-RAM_MIN)),"")</f>
        <v/>
      </c>
      <c r="AJ962" s="9" t="str">
        <f t="shared" ref="AJ962:AJ1025" si="200">IF(AD962,IF(GPU_MAX=GPU_MIN,1,(M962-GPU_MIN)/(GPU_MAX-GPU_MIN)),"")</f>
        <v/>
      </c>
      <c r="AK962" s="9" t="str">
        <f t="shared" ref="AK962:AK1025" si="201">IF(AD962,IF(SCREEN_MAX=SCREEN_MIN,1,(N962-SCREEN_MIN)/(SCREEN_MAX-SCREEN_MIN)),"")</f>
        <v/>
      </c>
      <c r="AL962" s="9" t="str">
        <f t="shared" ref="AL962:AL1025" si="202">IF(AD962,IF(WEIGHT_MAX=WEIGHT_MIN,1,(WEIGHT_MAX-P962)/(WEIGHT_MAX-WEIGHT_MIN)),"")</f>
        <v/>
      </c>
      <c r="AM962" s="9" t="str">
        <f t="shared" ref="AM962:AM1025" si="203">IF(AD962,IF(BATTERY_MAX=BATTERY_MIN,1,(AE962-BATTERY_MIN)/(BATTERY_MAX-BATTERY_MIN)),"")</f>
        <v/>
      </c>
      <c r="AN962" s="9" t="str">
        <f t="shared" ref="AN962:AN1025" si="204">IF(AD962,IF(DURABILITY_MAX=DURABILITY_MIN,1,(AF962-DURABILITY_MIN)/(DURABILITY_MAX-DURABILITY_MIN)),"")</f>
        <v/>
      </c>
      <c r="AO962" s="9" t="str">
        <f t="shared" ref="AO962:AO1025" si="205">IF(AD962,IF(UPGRADE_MAX=UPGRADE_MIN,1,(AG962-UPGRADE_MIN)/(UPGRADE_MAX-UPGRADE_MIN)),"")</f>
        <v/>
      </c>
      <c r="AP962" s="9" t="str">
        <f t="shared" ref="AP962:AP1025" si="206">IF(AD962,W_CPU*AH962+W_RAM*AI962+W_GPU*AJ962+W_SCREEN*AK962+W_WEIGHT*AL962+W_BATTERY*AM962+W_DURABILITY*AN962+W_UPGRADE*AO962,"" )</f>
        <v/>
      </c>
      <c r="AQ962" s="10" t="str">
        <f t="shared" ref="AQ962:AQ1025" si="207">IF(AP962="","",AP962+ROW()*0.000000001)</f>
        <v/>
      </c>
    </row>
    <row r="963" spans="1:43">
      <c r="A963">
        <v>962</v>
      </c>
      <c r="B963" t="s">
        <v>29</v>
      </c>
      <c r="C963" t="s">
        <v>765</v>
      </c>
      <c r="D963" t="s">
        <v>766</v>
      </c>
      <c r="E963" t="s">
        <v>83</v>
      </c>
      <c r="G963" t="s">
        <v>18</v>
      </c>
      <c r="H963" s="4">
        <v>47520000</v>
      </c>
      <c r="I963" s="5">
        <v>256</v>
      </c>
      <c r="J963" s="5">
        <v>0</v>
      </c>
      <c r="K963" s="5">
        <v>8</v>
      </c>
      <c r="L963">
        <v>7.2</v>
      </c>
      <c r="M963">
        <v>3.5</v>
      </c>
      <c r="N963">
        <v>6.33</v>
      </c>
      <c r="O963" s="6">
        <v>12.5</v>
      </c>
      <c r="P963" s="7">
        <v>1.36</v>
      </c>
      <c r="U963" t="s">
        <v>84</v>
      </c>
      <c r="V963" t="s">
        <v>633</v>
      </c>
      <c r="W963">
        <v>2.6</v>
      </c>
      <c r="X963" t="s">
        <v>84</v>
      </c>
      <c r="Y963" t="s">
        <v>99</v>
      </c>
      <c r="Z963" t="s">
        <v>100</v>
      </c>
      <c r="AA963" t="s">
        <v>128</v>
      </c>
      <c r="AB963" t="s">
        <v>115</v>
      </c>
      <c r="AC963">
        <v>1760</v>
      </c>
      <c r="AD963" s="8" t="b">
        <f>AND(
 H963&gt;=Filters!$B$3,
 H963&lt;=Filters!$B$4,
 I963&gt;=Filters!$B$5,
 OR(Filters!$B$6="All",B963=Filters!$B$6),
 F963&gt;=Filters!$B$7,
 F963&lt;=Filters!$B$8,
 OR(Filters!$B$9="All",G963=Filters!$B$9)
)</f>
        <v>0</v>
      </c>
      <c r="AE963">
        <f t="shared" si="195"/>
        <v>6</v>
      </c>
      <c r="AF963">
        <f t="shared" si="196"/>
        <v>7</v>
      </c>
      <c r="AG963">
        <f t="shared" si="197"/>
        <v>7</v>
      </c>
      <c r="AH963" s="9" t="str">
        <f t="shared" si="198"/>
        <v/>
      </c>
      <c r="AI963" s="9" t="str">
        <f t="shared" si="199"/>
        <v/>
      </c>
      <c r="AJ963" s="9" t="str">
        <f t="shared" si="200"/>
        <v/>
      </c>
      <c r="AK963" s="9" t="str">
        <f t="shared" si="201"/>
        <v/>
      </c>
      <c r="AL963" s="9" t="str">
        <f t="shared" si="202"/>
        <v/>
      </c>
      <c r="AM963" s="9" t="str">
        <f t="shared" si="203"/>
        <v/>
      </c>
      <c r="AN963" s="9" t="str">
        <f t="shared" si="204"/>
        <v/>
      </c>
      <c r="AO963" s="9" t="str">
        <f t="shared" si="205"/>
        <v/>
      </c>
      <c r="AP963" s="9" t="str">
        <f t="shared" si="206"/>
        <v/>
      </c>
      <c r="AQ963" s="10" t="str">
        <f t="shared" si="207"/>
        <v/>
      </c>
    </row>
    <row r="964" spans="1:43">
      <c r="A964">
        <v>963</v>
      </c>
      <c r="B964" t="s">
        <v>17</v>
      </c>
      <c r="C964" t="s">
        <v>1350</v>
      </c>
      <c r="D964" t="s">
        <v>1351</v>
      </c>
      <c r="E964" t="s">
        <v>97</v>
      </c>
      <c r="G964" t="s">
        <v>18</v>
      </c>
      <c r="H964" s="4">
        <v>27243000</v>
      </c>
      <c r="I964" s="5">
        <v>128</v>
      </c>
      <c r="J964" s="5">
        <v>1024</v>
      </c>
      <c r="K964" s="5">
        <v>12</v>
      </c>
      <c r="L964">
        <v>7</v>
      </c>
      <c r="M964">
        <v>9.1999999999999993</v>
      </c>
      <c r="N964">
        <v>5.92</v>
      </c>
      <c r="O964" s="6">
        <v>15.6</v>
      </c>
      <c r="P964" s="7">
        <v>2.4</v>
      </c>
      <c r="U964" t="s">
        <v>84</v>
      </c>
      <c r="V964" t="s">
        <v>98</v>
      </c>
      <c r="W964">
        <v>2.5</v>
      </c>
      <c r="X964" t="s">
        <v>122</v>
      </c>
      <c r="Y964" t="s">
        <v>492</v>
      </c>
      <c r="Z964" t="s">
        <v>161</v>
      </c>
      <c r="AA964" t="s">
        <v>101</v>
      </c>
      <c r="AB964" t="s">
        <v>115</v>
      </c>
      <c r="AC964">
        <v>1009</v>
      </c>
      <c r="AD964" s="8" t="b">
        <f>AND(
 H964&gt;=Filters!$B$3,
 H964&lt;=Filters!$B$4,
 I964&gt;=Filters!$B$5,
 OR(Filters!$B$6="All",B964=Filters!$B$6),
 F964&gt;=Filters!$B$7,
 F964&lt;=Filters!$B$8,
 OR(Filters!$B$9="All",G964=Filters!$B$9)
)</f>
        <v>0</v>
      </c>
      <c r="AE964">
        <f t="shared" si="195"/>
        <v>6</v>
      </c>
      <c r="AF964">
        <f t="shared" si="196"/>
        <v>7</v>
      </c>
      <c r="AG964">
        <f t="shared" si="197"/>
        <v>7</v>
      </c>
      <c r="AH964" s="9" t="str">
        <f t="shared" si="198"/>
        <v/>
      </c>
      <c r="AI964" s="9" t="str">
        <f t="shared" si="199"/>
        <v/>
      </c>
      <c r="AJ964" s="9" t="str">
        <f t="shared" si="200"/>
        <v/>
      </c>
      <c r="AK964" s="9" t="str">
        <f t="shared" si="201"/>
        <v/>
      </c>
      <c r="AL964" s="9" t="str">
        <f t="shared" si="202"/>
        <v/>
      </c>
      <c r="AM964" s="9" t="str">
        <f t="shared" si="203"/>
        <v/>
      </c>
      <c r="AN964" s="9" t="str">
        <f t="shared" si="204"/>
        <v/>
      </c>
      <c r="AO964" s="9" t="str">
        <f t="shared" si="205"/>
        <v/>
      </c>
      <c r="AP964" s="9" t="str">
        <f t="shared" si="206"/>
        <v/>
      </c>
      <c r="AQ964" s="10" t="str">
        <f t="shared" si="207"/>
        <v/>
      </c>
    </row>
    <row r="965" spans="1:43">
      <c r="A965">
        <v>964</v>
      </c>
      <c r="B965" t="s">
        <v>35</v>
      </c>
      <c r="C965" t="s">
        <v>1352</v>
      </c>
      <c r="D965" t="s">
        <v>1353</v>
      </c>
      <c r="E965" t="s">
        <v>83</v>
      </c>
      <c r="G965" t="s">
        <v>18</v>
      </c>
      <c r="H965" s="4">
        <v>48330000</v>
      </c>
      <c r="I965" s="5">
        <v>512</v>
      </c>
      <c r="J965" s="5">
        <v>0</v>
      </c>
      <c r="K965" s="5">
        <v>8</v>
      </c>
      <c r="L965">
        <v>9.4</v>
      </c>
      <c r="M965">
        <v>3.5</v>
      </c>
      <c r="N965">
        <v>6.22</v>
      </c>
      <c r="O965" s="6">
        <v>12.5</v>
      </c>
      <c r="P965" s="7">
        <v>1.1000000000000001</v>
      </c>
      <c r="U965" t="s">
        <v>84</v>
      </c>
      <c r="V965" t="s">
        <v>140</v>
      </c>
      <c r="W965">
        <v>2.7</v>
      </c>
      <c r="X965" t="s">
        <v>84</v>
      </c>
      <c r="Y965" t="s">
        <v>99</v>
      </c>
      <c r="Z965" t="s">
        <v>106</v>
      </c>
      <c r="AA965" t="s">
        <v>169</v>
      </c>
      <c r="AB965" t="s">
        <v>115</v>
      </c>
      <c r="AC965">
        <v>1790</v>
      </c>
      <c r="AD965" s="8" t="b">
        <f>AND(
 H965&gt;=Filters!$B$3,
 H965&lt;=Filters!$B$4,
 I965&gt;=Filters!$B$5,
 OR(Filters!$B$6="All",B965=Filters!$B$6),
 F965&gt;=Filters!$B$7,
 F965&lt;=Filters!$B$8,
 OR(Filters!$B$9="All",G965=Filters!$B$9)
)</f>
        <v>0</v>
      </c>
      <c r="AE965">
        <f t="shared" si="195"/>
        <v>6</v>
      </c>
      <c r="AF965">
        <f t="shared" si="196"/>
        <v>7</v>
      </c>
      <c r="AG965">
        <f t="shared" si="197"/>
        <v>7</v>
      </c>
      <c r="AH965" s="9" t="str">
        <f t="shared" si="198"/>
        <v/>
      </c>
      <c r="AI965" s="9" t="str">
        <f t="shared" si="199"/>
        <v/>
      </c>
      <c r="AJ965" s="9" t="str">
        <f t="shared" si="200"/>
        <v/>
      </c>
      <c r="AK965" s="9" t="str">
        <f t="shared" si="201"/>
        <v/>
      </c>
      <c r="AL965" s="9" t="str">
        <f t="shared" si="202"/>
        <v/>
      </c>
      <c r="AM965" s="9" t="str">
        <f t="shared" si="203"/>
        <v/>
      </c>
      <c r="AN965" s="9" t="str">
        <f t="shared" si="204"/>
        <v/>
      </c>
      <c r="AO965" s="9" t="str">
        <f t="shared" si="205"/>
        <v/>
      </c>
      <c r="AP965" s="9" t="str">
        <f t="shared" si="206"/>
        <v/>
      </c>
      <c r="AQ965" s="10" t="str">
        <f t="shared" si="207"/>
        <v/>
      </c>
    </row>
    <row r="966" spans="1:43">
      <c r="A966">
        <v>965</v>
      </c>
      <c r="B966" t="s">
        <v>26</v>
      </c>
      <c r="C966" t="s">
        <v>204</v>
      </c>
      <c r="D966" t="s">
        <v>205</v>
      </c>
      <c r="E966" t="s">
        <v>97</v>
      </c>
      <c r="G966" t="s">
        <v>18</v>
      </c>
      <c r="H966" s="4">
        <v>22855500</v>
      </c>
      <c r="I966" s="5">
        <v>0</v>
      </c>
      <c r="J966" s="5">
        <v>1024</v>
      </c>
      <c r="K966" s="5">
        <v>8</v>
      </c>
      <c r="L966">
        <v>7</v>
      </c>
      <c r="M966">
        <v>6.5</v>
      </c>
      <c r="N966">
        <v>3.92</v>
      </c>
      <c r="O966" s="6">
        <v>15.6</v>
      </c>
      <c r="P966" s="7">
        <v>2.04</v>
      </c>
      <c r="U966" t="s">
        <v>84</v>
      </c>
      <c r="V966" t="s">
        <v>98</v>
      </c>
      <c r="W966">
        <v>2.5</v>
      </c>
      <c r="X966" t="s">
        <v>122</v>
      </c>
      <c r="Y966" t="s">
        <v>183</v>
      </c>
      <c r="Z966" t="s">
        <v>146</v>
      </c>
      <c r="AA966" t="s">
        <v>114</v>
      </c>
      <c r="AB966" t="s">
        <v>115</v>
      </c>
      <c r="AC966">
        <v>846.5</v>
      </c>
      <c r="AD966" s="8" t="b">
        <f>AND(
 H966&gt;=Filters!$B$3,
 H966&lt;=Filters!$B$4,
 I966&gt;=Filters!$B$5,
 OR(Filters!$B$6="All",B966=Filters!$B$6),
 F966&gt;=Filters!$B$7,
 F966&lt;=Filters!$B$8,
 OR(Filters!$B$9="All",G966=Filters!$B$9)
)</f>
        <v>0</v>
      </c>
      <c r="AE966">
        <f t="shared" si="195"/>
        <v>6</v>
      </c>
      <c r="AF966">
        <f t="shared" si="196"/>
        <v>7</v>
      </c>
      <c r="AG966">
        <f t="shared" si="197"/>
        <v>7</v>
      </c>
      <c r="AH966" s="9" t="str">
        <f t="shared" si="198"/>
        <v/>
      </c>
      <c r="AI966" s="9" t="str">
        <f t="shared" si="199"/>
        <v/>
      </c>
      <c r="AJ966" s="9" t="str">
        <f t="shared" si="200"/>
        <v/>
      </c>
      <c r="AK966" s="9" t="str">
        <f t="shared" si="201"/>
        <v/>
      </c>
      <c r="AL966" s="9" t="str">
        <f t="shared" si="202"/>
        <v/>
      </c>
      <c r="AM966" s="9" t="str">
        <f t="shared" si="203"/>
        <v/>
      </c>
      <c r="AN966" s="9" t="str">
        <f t="shared" si="204"/>
        <v/>
      </c>
      <c r="AO966" s="9" t="str">
        <f t="shared" si="205"/>
        <v/>
      </c>
      <c r="AP966" s="9" t="str">
        <f t="shared" si="206"/>
        <v/>
      </c>
      <c r="AQ966" s="10" t="str">
        <f t="shared" si="207"/>
        <v/>
      </c>
    </row>
    <row r="967" spans="1:43">
      <c r="A967">
        <v>966</v>
      </c>
      <c r="B967" t="s">
        <v>23</v>
      </c>
      <c r="C967" t="s">
        <v>132</v>
      </c>
      <c r="D967" t="s">
        <v>133</v>
      </c>
      <c r="E967" t="s">
        <v>97</v>
      </c>
      <c r="G967" t="s">
        <v>18</v>
      </c>
      <c r="H967" s="4">
        <v>12571740</v>
      </c>
      <c r="I967" s="5">
        <v>0</v>
      </c>
      <c r="J967" s="5">
        <v>1024</v>
      </c>
      <c r="K967" s="5">
        <v>4</v>
      </c>
      <c r="L967">
        <v>4</v>
      </c>
      <c r="M967">
        <v>6.5</v>
      </c>
      <c r="N967">
        <v>3.92</v>
      </c>
      <c r="O967" s="6">
        <v>15.6</v>
      </c>
      <c r="P967" s="7">
        <v>2.25</v>
      </c>
      <c r="U967" t="s">
        <v>84</v>
      </c>
      <c r="V967" t="s">
        <v>129</v>
      </c>
      <c r="W967">
        <v>2</v>
      </c>
      <c r="X967" t="s">
        <v>104</v>
      </c>
      <c r="Y967" t="s">
        <v>134</v>
      </c>
      <c r="Z967" t="s">
        <v>146</v>
      </c>
      <c r="AA967" t="s">
        <v>114</v>
      </c>
      <c r="AB967" t="s">
        <v>201</v>
      </c>
      <c r="AC967">
        <v>465.62</v>
      </c>
      <c r="AD967" s="8" t="b">
        <f>AND(
 H967&gt;=Filters!$B$3,
 H967&lt;=Filters!$B$4,
 I967&gt;=Filters!$B$5,
 OR(Filters!$B$6="All",B967=Filters!$B$6),
 F967&gt;=Filters!$B$7,
 F967&lt;=Filters!$B$8,
 OR(Filters!$B$9="All",G967=Filters!$B$9)
)</f>
        <v>0</v>
      </c>
      <c r="AE967">
        <f t="shared" si="195"/>
        <v>6</v>
      </c>
      <c r="AF967">
        <f t="shared" si="196"/>
        <v>7</v>
      </c>
      <c r="AG967">
        <f t="shared" si="197"/>
        <v>7</v>
      </c>
      <c r="AH967" s="9" t="str">
        <f t="shared" si="198"/>
        <v/>
      </c>
      <c r="AI967" s="9" t="str">
        <f t="shared" si="199"/>
        <v/>
      </c>
      <c r="AJ967" s="9" t="str">
        <f t="shared" si="200"/>
        <v/>
      </c>
      <c r="AK967" s="9" t="str">
        <f t="shared" si="201"/>
        <v/>
      </c>
      <c r="AL967" s="9" t="str">
        <f t="shared" si="202"/>
        <v/>
      </c>
      <c r="AM967" s="9" t="str">
        <f t="shared" si="203"/>
        <v/>
      </c>
      <c r="AN967" s="9" t="str">
        <f t="shared" si="204"/>
        <v/>
      </c>
      <c r="AO967" s="9" t="str">
        <f t="shared" si="205"/>
        <v/>
      </c>
      <c r="AP967" s="9" t="str">
        <f t="shared" si="206"/>
        <v/>
      </c>
      <c r="AQ967" s="10" t="str">
        <f t="shared" si="207"/>
        <v/>
      </c>
    </row>
    <row r="968" spans="1:43">
      <c r="A968">
        <v>967</v>
      </c>
      <c r="B968" t="s">
        <v>23</v>
      </c>
      <c r="C968" t="s">
        <v>870</v>
      </c>
      <c r="D968" t="s">
        <v>871</v>
      </c>
      <c r="E968" t="s">
        <v>97</v>
      </c>
      <c r="G968" t="s">
        <v>18</v>
      </c>
      <c r="H968" s="4">
        <v>22275000</v>
      </c>
      <c r="I968" s="5">
        <v>0</v>
      </c>
      <c r="J968" s="5">
        <v>500</v>
      </c>
      <c r="K968" s="5">
        <v>4</v>
      </c>
      <c r="L968">
        <v>7</v>
      </c>
      <c r="M968">
        <v>3.5</v>
      </c>
      <c r="N968">
        <v>3.92</v>
      </c>
      <c r="O968" s="6">
        <v>15.6</v>
      </c>
      <c r="P968" s="7">
        <v>1.9</v>
      </c>
      <c r="U968" t="s">
        <v>84</v>
      </c>
      <c r="V968" t="s">
        <v>98</v>
      </c>
      <c r="W968">
        <v>2.5</v>
      </c>
      <c r="X968" t="s">
        <v>84</v>
      </c>
      <c r="Y968" t="s">
        <v>99</v>
      </c>
      <c r="Z968" t="s">
        <v>113</v>
      </c>
      <c r="AA968" t="s">
        <v>114</v>
      </c>
      <c r="AB968" t="s">
        <v>115</v>
      </c>
      <c r="AC968">
        <v>825</v>
      </c>
      <c r="AD968" s="8" t="b">
        <f>AND(
 H968&gt;=Filters!$B$3,
 H968&lt;=Filters!$B$4,
 I968&gt;=Filters!$B$5,
 OR(Filters!$B$6="All",B968=Filters!$B$6),
 F968&gt;=Filters!$B$7,
 F968&lt;=Filters!$B$8,
 OR(Filters!$B$9="All",G968=Filters!$B$9)
)</f>
        <v>0</v>
      </c>
      <c r="AE968">
        <f t="shared" si="195"/>
        <v>6</v>
      </c>
      <c r="AF968">
        <f t="shared" si="196"/>
        <v>7</v>
      </c>
      <c r="AG968">
        <f t="shared" si="197"/>
        <v>7</v>
      </c>
      <c r="AH968" s="9" t="str">
        <f t="shared" si="198"/>
        <v/>
      </c>
      <c r="AI968" s="9" t="str">
        <f t="shared" si="199"/>
        <v/>
      </c>
      <c r="AJ968" s="9" t="str">
        <f t="shared" si="200"/>
        <v/>
      </c>
      <c r="AK968" s="9" t="str">
        <f t="shared" si="201"/>
        <v/>
      </c>
      <c r="AL968" s="9" t="str">
        <f t="shared" si="202"/>
        <v/>
      </c>
      <c r="AM968" s="9" t="str">
        <f t="shared" si="203"/>
        <v/>
      </c>
      <c r="AN968" s="9" t="str">
        <f t="shared" si="204"/>
        <v/>
      </c>
      <c r="AO968" s="9" t="str">
        <f t="shared" si="205"/>
        <v/>
      </c>
      <c r="AP968" s="9" t="str">
        <f t="shared" si="206"/>
        <v/>
      </c>
      <c r="AQ968" s="10" t="str">
        <f t="shared" si="207"/>
        <v/>
      </c>
    </row>
    <row r="969" spans="1:43">
      <c r="A969">
        <v>968</v>
      </c>
      <c r="B969" t="s">
        <v>26</v>
      </c>
      <c r="C969" t="s">
        <v>204</v>
      </c>
      <c r="D969" t="s">
        <v>205</v>
      </c>
      <c r="E969" t="s">
        <v>97</v>
      </c>
      <c r="G969" t="s">
        <v>18</v>
      </c>
      <c r="H969" s="4">
        <v>18495000</v>
      </c>
      <c r="I969" s="5">
        <v>0</v>
      </c>
      <c r="J969" s="5">
        <v>500</v>
      </c>
      <c r="K969" s="5">
        <v>4</v>
      </c>
      <c r="L969">
        <v>4.8</v>
      </c>
      <c r="M969">
        <v>3.5</v>
      </c>
      <c r="N969">
        <v>5.92</v>
      </c>
      <c r="O969" s="6">
        <v>15.6</v>
      </c>
      <c r="P969" s="7">
        <v>2.04</v>
      </c>
      <c r="U969" t="s">
        <v>84</v>
      </c>
      <c r="V969" t="s">
        <v>144</v>
      </c>
      <c r="W969">
        <v>2.4</v>
      </c>
      <c r="X969" t="s">
        <v>84</v>
      </c>
      <c r="Y969" t="s">
        <v>99</v>
      </c>
      <c r="Z969" t="s">
        <v>113</v>
      </c>
      <c r="AA969" t="s">
        <v>101</v>
      </c>
      <c r="AB969" t="s">
        <v>115</v>
      </c>
      <c r="AC969">
        <v>685</v>
      </c>
      <c r="AD969" s="8" t="b">
        <f>AND(
 H969&gt;=Filters!$B$3,
 H969&lt;=Filters!$B$4,
 I969&gt;=Filters!$B$5,
 OR(Filters!$B$6="All",B969=Filters!$B$6),
 F969&gt;=Filters!$B$7,
 F969&lt;=Filters!$B$8,
 OR(Filters!$B$9="All",G969=Filters!$B$9)
)</f>
        <v>0</v>
      </c>
      <c r="AE969">
        <f t="shared" si="195"/>
        <v>6</v>
      </c>
      <c r="AF969">
        <f t="shared" si="196"/>
        <v>7</v>
      </c>
      <c r="AG969">
        <f t="shared" si="197"/>
        <v>7</v>
      </c>
      <c r="AH969" s="9" t="str">
        <f t="shared" si="198"/>
        <v/>
      </c>
      <c r="AI969" s="9" t="str">
        <f t="shared" si="199"/>
        <v/>
      </c>
      <c r="AJ969" s="9" t="str">
        <f t="shared" si="200"/>
        <v/>
      </c>
      <c r="AK969" s="9" t="str">
        <f t="shared" si="201"/>
        <v/>
      </c>
      <c r="AL969" s="9" t="str">
        <f t="shared" si="202"/>
        <v/>
      </c>
      <c r="AM969" s="9" t="str">
        <f t="shared" si="203"/>
        <v/>
      </c>
      <c r="AN969" s="9" t="str">
        <f t="shared" si="204"/>
        <v/>
      </c>
      <c r="AO969" s="9" t="str">
        <f t="shared" si="205"/>
        <v/>
      </c>
      <c r="AP969" s="9" t="str">
        <f t="shared" si="206"/>
        <v/>
      </c>
      <c r="AQ969" s="10" t="str">
        <f t="shared" si="207"/>
        <v/>
      </c>
    </row>
    <row r="970" spans="1:43">
      <c r="A970">
        <v>969</v>
      </c>
      <c r="B970" t="s">
        <v>23</v>
      </c>
      <c r="C970" t="s">
        <v>486</v>
      </c>
      <c r="D970" t="s">
        <v>487</v>
      </c>
      <c r="E970" t="s">
        <v>158</v>
      </c>
      <c r="G970" t="s">
        <v>18</v>
      </c>
      <c r="H970" s="4">
        <v>85023000</v>
      </c>
      <c r="I970" s="5">
        <v>256</v>
      </c>
      <c r="J970" s="5">
        <v>1024</v>
      </c>
      <c r="K970" s="5">
        <v>32</v>
      </c>
      <c r="L970">
        <v>9.6</v>
      </c>
      <c r="M970">
        <v>9.1999999999999993</v>
      </c>
      <c r="N970">
        <v>6.24</v>
      </c>
      <c r="O970" s="6">
        <v>17.3</v>
      </c>
      <c r="P970" s="7">
        <v>4.42</v>
      </c>
      <c r="U970" t="s">
        <v>84</v>
      </c>
      <c r="V970" t="s">
        <v>210</v>
      </c>
      <c r="W970">
        <v>2.8</v>
      </c>
      <c r="X970" t="s">
        <v>122</v>
      </c>
      <c r="Y970" t="s">
        <v>248</v>
      </c>
      <c r="Z970" t="s">
        <v>212</v>
      </c>
      <c r="AA970" t="s">
        <v>128</v>
      </c>
      <c r="AB970" t="s">
        <v>115</v>
      </c>
      <c r="AC970">
        <v>3149</v>
      </c>
      <c r="AD970" s="8" t="b">
        <f>AND(
 H970&gt;=Filters!$B$3,
 H970&lt;=Filters!$B$4,
 I970&gt;=Filters!$B$5,
 OR(Filters!$B$6="All",B970=Filters!$B$6),
 F970&gt;=Filters!$B$7,
 F970&lt;=Filters!$B$8,
 OR(Filters!$B$9="All",G970=Filters!$B$9)
)</f>
        <v>0</v>
      </c>
      <c r="AE970">
        <f t="shared" si="195"/>
        <v>6</v>
      </c>
      <c r="AF970">
        <f t="shared" si="196"/>
        <v>7</v>
      </c>
      <c r="AG970">
        <f t="shared" si="197"/>
        <v>7</v>
      </c>
      <c r="AH970" s="9" t="str">
        <f t="shared" si="198"/>
        <v/>
      </c>
      <c r="AI970" s="9" t="str">
        <f t="shared" si="199"/>
        <v/>
      </c>
      <c r="AJ970" s="9" t="str">
        <f t="shared" si="200"/>
        <v/>
      </c>
      <c r="AK970" s="9" t="str">
        <f t="shared" si="201"/>
        <v/>
      </c>
      <c r="AL970" s="9" t="str">
        <f t="shared" si="202"/>
        <v/>
      </c>
      <c r="AM970" s="9" t="str">
        <f t="shared" si="203"/>
        <v/>
      </c>
      <c r="AN970" s="9" t="str">
        <f t="shared" si="204"/>
        <v/>
      </c>
      <c r="AO970" s="9" t="str">
        <f t="shared" si="205"/>
        <v/>
      </c>
      <c r="AP970" s="9" t="str">
        <f t="shared" si="206"/>
        <v/>
      </c>
      <c r="AQ970" s="10" t="str">
        <f t="shared" si="207"/>
        <v/>
      </c>
    </row>
    <row r="971" spans="1:43">
      <c r="A971">
        <v>970</v>
      </c>
      <c r="B971" t="s">
        <v>29</v>
      </c>
      <c r="C971" t="s">
        <v>968</v>
      </c>
      <c r="D971" t="s">
        <v>969</v>
      </c>
      <c r="E971" t="s">
        <v>97</v>
      </c>
      <c r="G971" t="s">
        <v>18</v>
      </c>
      <c r="H971" s="4">
        <v>18765000</v>
      </c>
      <c r="I971" s="5">
        <v>256</v>
      </c>
      <c r="J971" s="5">
        <v>0</v>
      </c>
      <c r="K971" s="5">
        <v>6</v>
      </c>
      <c r="L971">
        <v>7</v>
      </c>
      <c r="M971">
        <v>6.5</v>
      </c>
      <c r="N971">
        <v>5.92</v>
      </c>
      <c r="O971" s="6">
        <v>15.6</v>
      </c>
      <c r="P971" s="7">
        <v>2.4</v>
      </c>
      <c r="U971" t="s">
        <v>84</v>
      </c>
      <c r="V971" t="s">
        <v>98</v>
      </c>
      <c r="W971">
        <v>2.5</v>
      </c>
      <c r="X971" t="s">
        <v>122</v>
      </c>
      <c r="Y971" t="s">
        <v>230</v>
      </c>
      <c r="Z971" t="s">
        <v>100</v>
      </c>
      <c r="AA971" t="s">
        <v>101</v>
      </c>
      <c r="AB971" t="s">
        <v>115</v>
      </c>
      <c r="AC971">
        <v>695</v>
      </c>
      <c r="AD971" s="8" t="b">
        <f>AND(
 H971&gt;=Filters!$B$3,
 H971&lt;=Filters!$B$4,
 I971&gt;=Filters!$B$5,
 OR(Filters!$B$6="All",B971=Filters!$B$6),
 F971&gt;=Filters!$B$7,
 F971&lt;=Filters!$B$8,
 OR(Filters!$B$9="All",G971=Filters!$B$9)
)</f>
        <v>1</v>
      </c>
      <c r="AE971">
        <f t="shared" si="195"/>
        <v>6</v>
      </c>
      <c r="AF971">
        <f t="shared" si="196"/>
        <v>7</v>
      </c>
      <c r="AG971">
        <f t="shared" si="197"/>
        <v>7</v>
      </c>
      <c r="AH971" s="9">
        <f t="shared" si="198"/>
        <v>0.69047619047619047</v>
      </c>
      <c r="AI971" s="9">
        <f t="shared" si="199"/>
        <v>0.5714285714285714</v>
      </c>
      <c r="AJ971" s="9">
        <f t="shared" si="200"/>
        <v>0.63095238095238093</v>
      </c>
      <c r="AK971" s="9">
        <f t="shared" si="201"/>
        <v>0.56190476190476191</v>
      </c>
      <c r="AL971" s="9">
        <f t="shared" si="202"/>
        <v>0.85714285714285698</v>
      </c>
      <c r="AM971" s="9">
        <f t="shared" si="203"/>
        <v>0.5714285714285714</v>
      </c>
      <c r="AN971" s="9">
        <f t="shared" si="204"/>
        <v>0.69047619047619047</v>
      </c>
      <c r="AO971" s="9">
        <f t="shared" si="205"/>
        <v>0.69047619047619047</v>
      </c>
      <c r="AP971" s="9">
        <f t="shared" si="206"/>
        <v>0.64604426345695365</v>
      </c>
      <c r="AQ971" s="10">
        <f t="shared" si="207"/>
        <v>0.64604523445695361</v>
      </c>
    </row>
    <row r="972" spans="1:43">
      <c r="A972">
        <v>971</v>
      </c>
      <c r="B972" t="s">
        <v>23</v>
      </c>
      <c r="C972" t="s">
        <v>1290</v>
      </c>
      <c r="D972" t="s">
        <v>148</v>
      </c>
      <c r="E972" t="s">
        <v>168</v>
      </c>
      <c r="G972" t="s">
        <v>18</v>
      </c>
      <c r="H972" s="4">
        <v>51273000</v>
      </c>
      <c r="I972" s="5">
        <v>512</v>
      </c>
      <c r="J972" s="5">
        <v>0</v>
      </c>
      <c r="K972" s="5">
        <v>16</v>
      </c>
      <c r="L972">
        <v>6.6</v>
      </c>
      <c r="M972">
        <v>3.5</v>
      </c>
      <c r="N972">
        <v>8.4600000000000009</v>
      </c>
      <c r="O972" s="6">
        <v>13.3</v>
      </c>
      <c r="P972" s="7">
        <v>1.22</v>
      </c>
      <c r="U972" t="s">
        <v>84</v>
      </c>
      <c r="V972" t="s">
        <v>759</v>
      </c>
      <c r="W972">
        <v>1.3</v>
      </c>
      <c r="X972" t="s">
        <v>84</v>
      </c>
      <c r="Y972" t="s">
        <v>138</v>
      </c>
      <c r="Z972" t="s">
        <v>106</v>
      </c>
      <c r="AA972" t="s">
        <v>333</v>
      </c>
      <c r="AB972" t="s">
        <v>115</v>
      </c>
      <c r="AC972">
        <v>1899</v>
      </c>
      <c r="AD972" s="8" t="b">
        <f>AND(
 H972&gt;=Filters!$B$3,
 H972&lt;=Filters!$B$4,
 I972&gt;=Filters!$B$5,
 OR(Filters!$B$6="All",B972=Filters!$B$6),
 F972&gt;=Filters!$B$7,
 F972&lt;=Filters!$B$8,
 OR(Filters!$B$9="All",G972=Filters!$B$9)
)</f>
        <v>0</v>
      </c>
      <c r="AE972">
        <f t="shared" si="195"/>
        <v>6</v>
      </c>
      <c r="AF972">
        <f t="shared" si="196"/>
        <v>7</v>
      </c>
      <c r="AG972">
        <f t="shared" si="197"/>
        <v>7</v>
      </c>
      <c r="AH972" s="9" t="str">
        <f t="shared" si="198"/>
        <v/>
      </c>
      <c r="AI972" s="9" t="str">
        <f t="shared" si="199"/>
        <v/>
      </c>
      <c r="AJ972" s="9" t="str">
        <f t="shared" si="200"/>
        <v/>
      </c>
      <c r="AK972" s="9" t="str">
        <f t="shared" si="201"/>
        <v/>
      </c>
      <c r="AL972" s="9" t="str">
        <f t="shared" si="202"/>
        <v/>
      </c>
      <c r="AM972" s="9" t="str">
        <f t="shared" si="203"/>
        <v/>
      </c>
      <c r="AN972" s="9" t="str">
        <f t="shared" si="204"/>
        <v/>
      </c>
      <c r="AO972" s="9" t="str">
        <f t="shared" si="205"/>
        <v/>
      </c>
      <c r="AP972" s="9" t="str">
        <f t="shared" si="206"/>
        <v/>
      </c>
      <c r="AQ972" s="10" t="str">
        <f t="shared" si="207"/>
        <v/>
      </c>
    </row>
    <row r="973" spans="1:43">
      <c r="A973">
        <v>972</v>
      </c>
      <c r="B973" t="s">
        <v>23</v>
      </c>
      <c r="C973" t="s">
        <v>1354</v>
      </c>
      <c r="D973" t="s">
        <v>1023</v>
      </c>
      <c r="E973" t="s">
        <v>83</v>
      </c>
      <c r="G973" t="s">
        <v>18</v>
      </c>
      <c r="H973" s="4">
        <v>53000460</v>
      </c>
      <c r="I973" s="5">
        <v>256</v>
      </c>
      <c r="J973" s="5">
        <v>0</v>
      </c>
      <c r="K973" s="5">
        <v>8</v>
      </c>
      <c r="L973">
        <v>9.1999999999999993</v>
      </c>
      <c r="M973">
        <v>3.5</v>
      </c>
      <c r="N973">
        <v>7.3</v>
      </c>
      <c r="O973" s="6">
        <v>14</v>
      </c>
      <c r="P973" s="7">
        <v>1.5</v>
      </c>
      <c r="U973" t="s">
        <v>84</v>
      </c>
      <c r="V973" t="s">
        <v>548</v>
      </c>
      <c r="W973">
        <v>2.6</v>
      </c>
      <c r="X973" t="s">
        <v>84</v>
      </c>
      <c r="Y973" t="s">
        <v>130</v>
      </c>
      <c r="Z973" t="s">
        <v>100</v>
      </c>
      <c r="AA973" t="s">
        <v>446</v>
      </c>
      <c r="AB973" t="s">
        <v>115</v>
      </c>
      <c r="AC973">
        <v>1962.98</v>
      </c>
      <c r="AD973" s="8" t="b">
        <f>AND(
 H973&gt;=Filters!$B$3,
 H973&lt;=Filters!$B$4,
 I973&gt;=Filters!$B$5,
 OR(Filters!$B$6="All",B973=Filters!$B$6),
 F973&gt;=Filters!$B$7,
 F973&lt;=Filters!$B$8,
 OR(Filters!$B$9="All",G973=Filters!$B$9)
)</f>
        <v>0</v>
      </c>
      <c r="AE973">
        <f t="shared" si="195"/>
        <v>6</v>
      </c>
      <c r="AF973">
        <f t="shared" si="196"/>
        <v>7</v>
      </c>
      <c r="AG973">
        <f t="shared" si="197"/>
        <v>7</v>
      </c>
      <c r="AH973" s="9" t="str">
        <f t="shared" si="198"/>
        <v/>
      </c>
      <c r="AI973" s="9" t="str">
        <f t="shared" si="199"/>
        <v/>
      </c>
      <c r="AJ973" s="9" t="str">
        <f t="shared" si="200"/>
        <v/>
      </c>
      <c r="AK973" s="9" t="str">
        <f t="shared" si="201"/>
        <v/>
      </c>
      <c r="AL973" s="9" t="str">
        <f t="shared" si="202"/>
        <v/>
      </c>
      <c r="AM973" s="9" t="str">
        <f t="shared" si="203"/>
        <v/>
      </c>
      <c r="AN973" s="9" t="str">
        <f t="shared" si="204"/>
        <v/>
      </c>
      <c r="AO973" s="9" t="str">
        <f t="shared" si="205"/>
        <v/>
      </c>
      <c r="AP973" s="9" t="str">
        <f t="shared" si="206"/>
        <v/>
      </c>
      <c r="AQ973" s="10" t="str">
        <f t="shared" si="207"/>
        <v/>
      </c>
    </row>
    <row r="974" spans="1:43">
      <c r="A974">
        <v>973</v>
      </c>
      <c r="B974" t="s">
        <v>23</v>
      </c>
      <c r="C974" t="s">
        <v>486</v>
      </c>
      <c r="D974" t="s">
        <v>487</v>
      </c>
      <c r="E974" t="s">
        <v>158</v>
      </c>
      <c r="G974" t="s">
        <v>18</v>
      </c>
      <c r="H974" s="4">
        <v>75600000</v>
      </c>
      <c r="I974" s="5">
        <v>256</v>
      </c>
      <c r="J974" s="5">
        <v>1024</v>
      </c>
      <c r="K974" s="5">
        <v>32</v>
      </c>
      <c r="L974">
        <v>9.1999999999999993</v>
      </c>
      <c r="M974">
        <v>9.1999999999999993</v>
      </c>
      <c r="N974">
        <v>5.83</v>
      </c>
      <c r="O974" s="6">
        <v>17.3</v>
      </c>
      <c r="P974" s="7">
        <v>4.42</v>
      </c>
      <c r="U974" t="s">
        <v>84</v>
      </c>
      <c r="V974" t="s">
        <v>808</v>
      </c>
      <c r="W974">
        <v>2.6</v>
      </c>
      <c r="X974" t="s">
        <v>122</v>
      </c>
      <c r="Y974" t="s">
        <v>248</v>
      </c>
      <c r="Z974" t="s">
        <v>212</v>
      </c>
      <c r="AA974" t="s">
        <v>101</v>
      </c>
      <c r="AB974" t="s">
        <v>115</v>
      </c>
      <c r="AC974">
        <v>2800</v>
      </c>
      <c r="AD974" s="8" t="b">
        <f>AND(
 H974&gt;=Filters!$B$3,
 H974&lt;=Filters!$B$4,
 I974&gt;=Filters!$B$5,
 OR(Filters!$B$6="All",B974=Filters!$B$6),
 F974&gt;=Filters!$B$7,
 F974&lt;=Filters!$B$8,
 OR(Filters!$B$9="All",G974=Filters!$B$9)
)</f>
        <v>0</v>
      </c>
      <c r="AE974">
        <f t="shared" si="195"/>
        <v>6</v>
      </c>
      <c r="AF974">
        <f t="shared" si="196"/>
        <v>7</v>
      </c>
      <c r="AG974">
        <f t="shared" si="197"/>
        <v>7</v>
      </c>
      <c r="AH974" s="9" t="str">
        <f t="shared" si="198"/>
        <v/>
      </c>
      <c r="AI974" s="9" t="str">
        <f t="shared" si="199"/>
        <v/>
      </c>
      <c r="AJ974" s="9" t="str">
        <f t="shared" si="200"/>
        <v/>
      </c>
      <c r="AK974" s="9" t="str">
        <f t="shared" si="201"/>
        <v/>
      </c>
      <c r="AL974" s="9" t="str">
        <f t="shared" si="202"/>
        <v/>
      </c>
      <c r="AM974" s="9" t="str">
        <f t="shared" si="203"/>
        <v/>
      </c>
      <c r="AN974" s="9" t="str">
        <f t="shared" si="204"/>
        <v/>
      </c>
      <c r="AO974" s="9" t="str">
        <f t="shared" si="205"/>
        <v/>
      </c>
      <c r="AP974" s="9" t="str">
        <f t="shared" si="206"/>
        <v/>
      </c>
      <c r="AQ974" s="10" t="str">
        <f t="shared" si="207"/>
        <v/>
      </c>
    </row>
    <row r="975" spans="1:43">
      <c r="A975">
        <v>974</v>
      </c>
      <c r="B975" t="s">
        <v>35</v>
      </c>
      <c r="C975" t="s">
        <v>1355</v>
      </c>
      <c r="D975" t="s">
        <v>1356</v>
      </c>
      <c r="E975" t="s">
        <v>97</v>
      </c>
      <c r="G975" t="s">
        <v>18</v>
      </c>
      <c r="H975" s="4">
        <v>31860000</v>
      </c>
      <c r="I975" s="5">
        <v>256</v>
      </c>
      <c r="J975" s="5">
        <v>0</v>
      </c>
      <c r="K975" s="5">
        <v>8</v>
      </c>
      <c r="L975">
        <v>6.6</v>
      </c>
      <c r="M975">
        <v>3.5</v>
      </c>
      <c r="N975">
        <v>6</v>
      </c>
      <c r="O975" s="6">
        <v>14</v>
      </c>
      <c r="P975" s="7">
        <v>1.95</v>
      </c>
      <c r="U975" t="s">
        <v>84</v>
      </c>
      <c r="V975" t="s">
        <v>375</v>
      </c>
      <c r="W975">
        <v>2.2999999999999998</v>
      </c>
      <c r="X975" t="s">
        <v>84</v>
      </c>
      <c r="Y975" t="s">
        <v>130</v>
      </c>
      <c r="Z975" t="s">
        <v>100</v>
      </c>
      <c r="AA975" t="s">
        <v>101</v>
      </c>
      <c r="AB975" t="s">
        <v>115</v>
      </c>
      <c r="AC975">
        <v>1180</v>
      </c>
      <c r="AD975" s="8" t="b">
        <f>AND(
 H975&gt;=Filters!$B$3,
 H975&lt;=Filters!$B$4,
 I975&gt;=Filters!$B$5,
 OR(Filters!$B$6="All",B975=Filters!$B$6),
 F975&gt;=Filters!$B$7,
 F975&lt;=Filters!$B$8,
 OR(Filters!$B$9="All",G975=Filters!$B$9)
)</f>
        <v>0</v>
      </c>
      <c r="AE975">
        <f t="shared" si="195"/>
        <v>6</v>
      </c>
      <c r="AF975">
        <f t="shared" si="196"/>
        <v>7</v>
      </c>
      <c r="AG975">
        <f t="shared" si="197"/>
        <v>7</v>
      </c>
      <c r="AH975" s="9" t="str">
        <f t="shared" si="198"/>
        <v/>
      </c>
      <c r="AI975" s="9" t="str">
        <f t="shared" si="199"/>
        <v/>
      </c>
      <c r="AJ975" s="9" t="str">
        <f t="shared" si="200"/>
        <v/>
      </c>
      <c r="AK975" s="9" t="str">
        <f t="shared" si="201"/>
        <v/>
      </c>
      <c r="AL975" s="9" t="str">
        <f t="shared" si="202"/>
        <v/>
      </c>
      <c r="AM975" s="9" t="str">
        <f t="shared" si="203"/>
        <v/>
      </c>
      <c r="AN975" s="9" t="str">
        <f t="shared" si="204"/>
        <v/>
      </c>
      <c r="AO975" s="9" t="str">
        <f t="shared" si="205"/>
        <v/>
      </c>
      <c r="AP975" s="9" t="str">
        <f t="shared" si="206"/>
        <v/>
      </c>
      <c r="AQ975" s="10" t="str">
        <f t="shared" si="207"/>
        <v/>
      </c>
    </row>
    <row r="976" spans="1:43">
      <c r="A976">
        <v>975</v>
      </c>
      <c r="B976" t="s">
        <v>21</v>
      </c>
      <c r="C976" t="s">
        <v>223</v>
      </c>
      <c r="D976" t="s">
        <v>224</v>
      </c>
      <c r="E976" t="s">
        <v>158</v>
      </c>
      <c r="G976" t="s">
        <v>18</v>
      </c>
      <c r="H976" s="4">
        <v>55347300</v>
      </c>
      <c r="I976" s="5">
        <v>256</v>
      </c>
      <c r="J976" s="5">
        <v>1024</v>
      </c>
      <c r="K976" s="5">
        <v>16</v>
      </c>
      <c r="L976">
        <v>9.6</v>
      </c>
      <c r="M976">
        <v>9.1999999999999993</v>
      </c>
      <c r="N976">
        <v>5.83</v>
      </c>
      <c r="O976" s="6">
        <v>17.3</v>
      </c>
      <c r="P976" s="7">
        <v>2.73</v>
      </c>
      <c r="U976" t="s">
        <v>84</v>
      </c>
      <c r="V976" t="s">
        <v>210</v>
      </c>
      <c r="W976">
        <v>2.8</v>
      </c>
      <c r="X976" t="s">
        <v>122</v>
      </c>
      <c r="Y976" t="s">
        <v>211</v>
      </c>
      <c r="Z976" t="s">
        <v>212</v>
      </c>
      <c r="AA976" t="s">
        <v>101</v>
      </c>
      <c r="AB976" t="s">
        <v>115</v>
      </c>
      <c r="AC976">
        <v>2049.9</v>
      </c>
      <c r="AD976" s="8" t="b">
        <f>AND(
 H976&gt;=Filters!$B$3,
 H976&lt;=Filters!$B$4,
 I976&gt;=Filters!$B$5,
 OR(Filters!$B$6="All",B976=Filters!$B$6),
 F976&gt;=Filters!$B$7,
 F976&lt;=Filters!$B$8,
 OR(Filters!$B$9="All",G976=Filters!$B$9)
)</f>
        <v>0</v>
      </c>
      <c r="AE976">
        <f t="shared" si="195"/>
        <v>6</v>
      </c>
      <c r="AF976">
        <f t="shared" si="196"/>
        <v>7</v>
      </c>
      <c r="AG976">
        <f t="shared" si="197"/>
        <v>7</v>
      </c>
      <c r="AH976" s="9" t="str">
        <f t="shared" si="198"/>
        <v/>
      </c>
      <c r="AI976" s="9" t="str">
        <f t="shared" si="199"/>
        <v/>
      </c>
      <c r="AJ976" s="9" t="str">
        <f t="shared" si="200"/>
        <v/>
      </c>
      <c r="AK976" s="9" t="str">
        <f t="shared" si="201"/>
        <v/>
      </c>
      <c r="AL976" s="9" t="str">
        <f t="shared" si="202"/>
        <v/>
      </c>
      <c r="AM976" s="9" t="str">
        <f t="shared" si="203"/>
        <v/>
      </c>
      <c r="AN976" s="9" t="str">
        <f t="shared" si="204"/>
        <v/>
      </c>
      <c r="AO976" s="9" t="str">
        <f t="shared" si="205"/>
        <v/>
      </c>
      <c r="AP976" s="9" t="str">
        <f t="shared" si="206"/>
        <v/>
      </c>
      <c r="AQ976" s="10" t="str">
        <f t="shared" si="207"/>
        <v/>
      </c>
    </row>
    <row r="977" spans="1:43">
      <c r="A977">
        <v>976</v>
      </c>
      <c r="B977" t="s">
        <v>26</v>
      </c>
      <c r="C977" t="s">
        <v>862</v>
      </c>
      <c r="D977" t="s">
        <v>863</v>
      </c>
      <c r="E977" t="s">
        <v>97</v>
      </c>
      <c r="G977" t="s">
        <v>18</v>
      </c>
      <c r="H977" s="4">
        <v>26433000</v>
      </c>
      <c r="I977" s="5">
        <v>128</v>
      </c>
      <c r="J977" s="5">
        <v>1024</v>
      </c>
      <c r="K977" s="5">
        <v>8</v>
      </c>
      <c r="L977">
        <v>7.4</v>
      </c>
      <c r="M977">
        <v>6.5</v>
      </c>
      <c r="N977">
        <v>6.32</v>
      </c>
      <c r="O977" s="6">
        <v>15.6</v>
      </c>
      <c r="P977" s="7">
        <v>2.04</v>
      </c>
      <c r="U977" t="s">
        <v>84</v>
      </c>
      <c r="V977" t="s">
        <v>98</v>
      </c>
      <c r="W977">
        <v>2.7</v>
      </c>
      <c r="X977" t="s">
        <v>122</v>
      </c>
      <c r="Y977" t="s">
        <v>183</v>
      </c>
      <c r="Z977" t="s">
        <v>161</v>
      </c>
      <c r="AA977" t="s">
        <v>128</v>
      </c>
      <c r="AB977" t="s">
        <v>115</v>
      </c>
      <c r="AC977">
        <v>979</v>
      </c>
      <c r="AD977" s="8" t="b">
        <f>AND(
 H977&gt;=Filters!$B$3,
 H977&lt;=Filters!$B$4,
 I977&gt;=Filters!$B$5,
 OR(Filters!$B$6="All",B977=Filters!$B$6),
 F977&gt;=Filters!$B$7,
 F977&lt;=Filters!$B$8,
 OR(Filters!$B$9="All",G977=Filters!$B$9)
)</f>
        <v>0</v>
      </c>
      <c r="AE977">
        <f t="shared" si="195"/>
        <v>6</v>
      </c>
      <c r="AF977">
        <f t="shared" si="196"/>
        <v>7</v>
      </c>
      <c r="AG977">
        <f t="shared" si="197"/>
        <v>7</v>
      </c>
      <c r="AH977" s="9" t="str">
        <f t="shared" si="198"/>
        <v/>
      </c>
      <c r="AI977" s="9" t="str">
        <f t="shared" si="199"/>
        <v/>
      </c>
      <c r="AJ977" s="9" t="str">
        <f t="shared" si="200"/>
        <v/>
      </c>
      <c r="AK977" s="9" t="str">
        <f t="shared" si="201"/>
        <v/>
      </c>
      <c r="AL977" s="9" t="str">
        <f t="shared" si="202"/>
        <v/>
      </c>
      <c r="AM977" s="9" t="str">
        <f t="shared" si="203"/>
        <v/>
      </c>
      <c r="AN977" s="9" t="str">
        <f t="shared" si="204"/>
        <v/>
      </c>
      <c r="AO977" s="9" t="str">
        <f t="shared" si="205"/>
        <v/>
      </c>
      <c r="AP977" s="9" t="str">
        <f t="shared" si="206"/>
        <v/>
      </c>
      <c r="AQ977" s="10" t="str">
        <f t="shared" si="207"/>
        <v/>
      </c>
    </row>
    <row r="978" spans="1:43">
      <c r="A978">
        <v>977</v>
      </c>
      <c r="B978" t="s">
        <v>29</v>
      </c>
      <c r="C978" t="s">
        <v>1357</v>
      </c>
      <c r="D978" t="s">
        <v>1358</v>
      </c>
      <c r="E978" t="s">
        <v>97</v>
      </c>
      <c r="G978" t="s">
        <v>18</v>
      </c>
      <c r="H978" s="4">
        <v>27054000</v>
      </c>
      <c r="I978" s="5">
        <v>0</v>
      </c>
      <c r="J978" s="5">
        <v>0</v>
      </c>
      <c r="K978" s="5">
        <v>4</v>
      </c>
      <c r="L978">
        <v>6.6</v>
      </c>
      <c r="M978">
        <v>3.5</v>
      </c>
      <c r="N978">
        <v>4</v>
      </c>
      <c r="O978" s="6">
        <v>14</v>
      </c>
      <c r="P978" s="7">
        <v>1.7</v>
      </c>
      <c r="U978" t="s">
        <v>84</v>
      </c>
      <c r="V978" t="s">
        <v>375</v>
      </c>
      <c r="W978">
        <v>2.2999999999999998</v>
      </c>
      <c r="X978" t="s">
        <v>84</v>
      </c>
      <c r="Y978" t="s">
        <v>130</v>
      </c>
      <c r="Z978" t="s">
        <v>1359</v>
      </c>
      <c r="AA978" t="s">
        <v>114</v>
      </c>
      <c r="AB978" t="s">
        <v>869</v>
      </c>
      <c r="AC978">
        <v>1002</v>
      </c>
      <c r="AD978" s="8" t="b">
        <f>AND(
 H978&gt;=Filters!$B$3,
 H978&lt;=Filters!$B$4,
 I978&gt;=Filters!$B$5,
 OR(Filters!$B$6="All",B978=Filters!$B$6),
 F978&gt;=Filters!$B$7,
 F978&lt;=Filters!$B$8,
 OR(Filters!$B$9="All",G978=Filters!$B$9)
)</f>
        <v>0</v>
      </c>
      <c r="AE978">
        <f t="shared" si="195"/>
        <v>6</v>
      </c>
      <c r="AF978">
        <f t="shared" si="196"/>
        <v>7</v>
      </c>
      <c r="AG978">
        <f t="shared" si="197"/>
        <v>7</v>
      </c>
      <c r="AH978" s="9" t="str">
        <f t="shared" si="198"/>
        <v/>
      </c>
      <c r="AI978" s="9" t="str">
        <f t="shared" si="199"/>
        <v/>
      </c>
      <c r="AJ978" s="9" t="str">
        <f t="shared" si="200"/>
        <v/>
      </c>
      <c r="AK978" s="9" t="str">
        <f t="shared" si="201"/>
        <v/>
      </c>
      <c r="AL978" s="9" t="str">
        <f t="shared" si="202"/>
        <v/>
      </c>
      <c r="AM978" s="9" t="str">
        <f t="shared" si="203"/>
        <v/>
      </c>
      <c r="AN978" s="9" t="str">
        <f t="shared" si="204"/>
        <v/>
      </c>
      <c r="AO978" s="9" t="str">
        <f t="shared" si="205"/>
        <v/>
      </c>
      <c r="AP978" s="9" t="str">
        <f t="shared" si="206"/>
        <v/>
      </c>
      <c r="AQ978" s="10" t="str">
        <f t="shared" si="207"/>
        <v/>
      </c>
    </row>
    <row r="979" spans="1:43">
      <c r="A979">
        <v>978</v>
      </c>
      <c r="B979" t="s">
        <v>21</v>
      </c>
      <c r="C979" t="s">
        <v>1360</v>
      </c>
      <c r="D979" t="s">
        <v>1361</v>
      </c>
      <c r="E979" t="s">
        <v>168</v>
      </c>
      <c r="G979" t="s">
        <v>18</v>
      </c>
      <c r="H979" s="4">
        <v>48573000</v>
      </c>
      <c r="I979" s="5">
        <v>512</v>
      </c>
      <c r="J979" s="5">
        <v>2048</v>
      </c>
      <c r="K979" s="5">
        <v>16</v>
      </c>
      <c r="L979">
        <v>9.4</v>
      </c>
      <c r="M979">
        <v>9.1999999999999993</v>
      </c>
      <c r="N979">
        <v>9.7200000000000006</v>
      </c>
      <c r="O979" s="6">
        <v>15.6</v>
      </c>
      <c r="P979" s="7">
        <v>2.2999999999999998</v>
      </c>
      <c r="U979" t="s">
        <v>84</v>
      </c>
      <c r="V979" t="s">
        <v>140</v>
      </c>
      <c r="W979">
        <v>2.7</v>
      </c>
      <c r="X979" t="s">
        <v>122</v>
      </c>
      <c r="Y979" t="s">
        <v>492</v>
      </c>
      <c r="Z979" t="s">
        <v>662</v>
      </c>
      <c r="AA979" t="s">
        <v>439</v>
      </c>
      <c r="AB979" t="s">
        <v>115</v>
      </c>
      <c r="AC979">
        <v>1799</v>
      </c>
      <c r="AD979" s="8" t="b">
        <f>AND(
 H979&gt;=Filters!$B$3,
 H979&lt;=Filters!$B$4,
 I979&gt;=Filters!$B$5,
 OR(Filters!$B$6="All",B979=Filters!$B$6),
 F979&gt;=Filters!$B$7,
 F979&lt;=Filters!$B$8,
 OR(Filters!$B$9="All",G979=Filters!$B$9)
)</f>
        <v>0</v>
      </c>
      <c r="AE979">
        <f t="shared" si="195"/>
        <v>6</v>
      </c>
      <c r="AF979">
        <f t="shared" si="196"/>
        <v>7</v>
      </c>
      <c r="AG979">
        <f t="shared" si="197"/>
        <v>7</v>
      </c>
      <c r="AH979" s="9" t="str">
        <f t="shared" si="198"/>
        <v/>
      </c>
      <c r="AI979" s="9" t="str">
        <f t="shared" si="199"/>
        <v/>
      </c>
      <c r="AJ979" s="9" t="str">
        <f t="shared" si="200"/>
        <v/>
      </c>
      <c r="AK979" s="9" t="str">
        <f t="shared" si="201"/>
        <v/>
      </c>
      <c r="AL979" s="9" t="str">
        <f t="shared" si="202"/>
        <v/>
      </c>
      <c r="AM979" s="9" t="str">
        <f t="shared" si="203"/>
        <v/>
      </c>
      <c r="AN979" s="9" t="str">
        <f t="shared" si="204"/>
        <v/>
      </c>
      <c r="AO979" s="9" t="str">
        <f t="shared" si="205"/>
        <v/>
      </c>
      <c r="AP979" s="9" t="str">
        <f t="shared" si="206"/>
        <v/>
      </c>
      <c r="AQ979" s="10" t="str">
        <f t="shared" si="207"/>
        <v/>
      </c>
    </row>
    <row r="980" spans="1:43">
      <c r="A980">
        <v>979</v>
      </c>
      <c r="B980" t="s">
        <v>26</v>
      </c>
      <c r="C980" t="s">
        <v>1362</v>
      </c>
      <c r="D980" t="s">
        <v>1363</v>
      </c>
      <c r="E980" t="s">
        <v>97</v>
      </c>
      <c r="G980" t="s">
        <v>18</v>
      </c>
      <c r="H980" s="4">
        <v>15633000</v>
      </c>
      <c r="I980" s="5">
        <v>0</v>
      </c>
      <c r="J980" s="5">
        <v>1024</v>
      </c>
      <c r="K980" s="5">
        <v>6</v>
      </c>
      <c r="L980">
        <v>9.4</v>
      </c>
      <c r="M980">
        <v>3.5</v>
      </c>
      <c r="N980">
        <v>3.92</v>
      </c>
      <c r="O980" s="6">
        <v>15.6</v>
      </c>
      <c r="P980" s="7">
        <v>2.04</v>
      </c>
      <c r="U980" t="s">
        <v>84</v>
      </c>
      <c r="V980" t="s">
        <v>140</v>
      </c>
      <c r="W980">
        <v>2.7</v>
      </c>
      <c r="X980" t="s">
        <v>84</v>
      </c>
      <c r="Y980" t="s">
        <v>99</v>
      </c>
      <c r="Z980" t="s">
        <v>146</v>
      </c>
      <c r="AA980" t="s">
        <v>114</v>
      </c>
      <c r="AB980" t="s">
        <v>115</v>
      </c>
      <c r="AC980">
        <v>579</v>
      </c>
      <c r="AD980" s="8" t="b">
        <f>AND(
 H980&gt;=Filters!$B$3,
 H980&lt;=Filters!$B$4,
 I980&gt;=Filters!$B$5,
 OR(Filters!$B$6="All",B980=Filters!$B$6),
 F980&gt;=Filters!$B$7,
 F980&lt;=Filters!$B$8,
 OR(Filters!$B$9="All",G980=Filters!$B$9)
)</f>
        <v>0</v>
      </c>
      <c r="AE980">
        <f t="shared" si="195"/>
        <v>6</v>
      </c>
      <c r="AF980">
        <f t="shared" si="196"/>
        <v>7</v>
      </c>
      <c r="AG980">
        <f t="shared" si="197"/>
        <v>7</v>
      </c>
      <c r="AH980" s="9" t="str">
        <f t="shared" si="198"/>
        <v/>
      </c>
      <c r="AI980" s="9" t="str">
        <f t="shared" si="199"/>
        <v/>
      </c>
      <c r="AJ980" s="9" t="str">
        <f t="shared" si="200"/>
        <v/>
      </c>
      <c r="AK980" s="9" t="str">
        <f t="shared" si="201"/>
        <v/>
      </c>
      <c r="AL980" s="9" t="str">
        <f t="shared" si="202"/>
        <v/>
      </c>
      <c r="AM980" s="9" t="str">
        <f t="shared" si="203"/>
        <v/>
      </c>
      <c r="AN980" s="9" t="str">
        <f t="shared" si="204"/>
        <v/>
      </c>
      <c r="AO980" s="9" t="str">
        <f t="shared" si="205"/>
        <v/>
      </c>
      <c r="AP980" s="9" t="str">
        <f t="shared" si="206"/>
        <v/>
      </c>
      <c r="AQ980" s="10" t="str">
        <f t="shared" si="207"/>
        <v/>
      </c>
    </row>
    <row r="981" spans="1:43">
      <c r="A981">
        <v>980</v>
      </c>
      <c r="B981" t="s">
        <v>21</v>
      </c>
      <c r="C981" t="s">
        <v>1364</v>
      </c>
      <c r="D981" t="s">
        <v>1365</v>
      </c>
      <c r="E981" t="s">
        <v>158</v>
      </c>
      <c r="G981" t="s">
        <v>18</v>
      </c>
      <c r="H981" s="4">
        <v>47223000</v>
      </c>
      <c r="I981" s="5">
        <v>256</v>
      </c>
      <c r="J981" s="5">
        <v>1024</v>
      </c>
      <c r="K981" s="5">
        <v>16</v>
      </c>
      <c r="L981">
        <v>9.6</v>
      </c>
      <c r="M981">
        <v>9.1999999999999993</v>
      </c>
      <c r="N981">
        <v>5.83</v>
      </c>
      <c r="O981" s="6">
        <v>17.3</v>
      </c>
      <c r="P981" s="7">
        <v>2.99</v>
      </c>
      <c r="U981" t="s">
        <v>84</v>
      </c>
      <c r="V981" t="s">
        <v>210</v>
      </c>
      <c r="W981">
        <v>2.8</v>
      </c>
      <c r="X981" t="s">
        <v>122</v>
      </c>
      <c r="Y981" t="s">
        <v>260</v>
      </c>
      <c r="Z981" t="s">
        <v>212</v>
      </c>
      <c r="AA981" t="s">
        <v>101</v>
      </c>
      <c r="AB981" t="s">
        <v>115</v>
      </c>
      <c r="AC981">
        <v>1749</v>
      </c>
      <c r="AD981" s="8" t="b">
        <f>AND(
 H981&gt;=Filters!$B$3,
 H981&lt;=Filters!$B$4,
 I981&gt;=Filters!$B$5,
 OR(Filters!$B$6="All",B981=Filters!$B$6),
 F981&gt;=Filters!$B$7,
 F981&lt;=Filters!$B$8,
 OR(Filters!$B$9="All",G981=Filters!$B$9)
)</f>
        <v>0</v>
      </c>
      <c r="AE981">
        <f t="shared" si="195"/>
        <v>6</v>
      </c>
      <c r="AF981">
        <f t="shared" si="196"/>
        <v>7</v>
      </c>
      <c r="AG981">
        <f t="shared" si="197"/>
        <v>7</v>
      </c>
      <c r="AH981" s="9" t="str">
        <f t="shared" si="198"/>
        <v/>
      </c>
      <c r="AI981" s="9" t="str">
        <f t="shared" si="199"/>
        <v/>
      </c>
      <c r="AJ981" s="9" t="str">
        <f t="shared" si="200"/>
        <v/>
      </c>
      <c r="AK981" s="9" t="str">
        <f t="shared" si="201"/>
        <v/>
      </c>
      <c r="AL981" s="9" t="str">
        <f t="shared" si="202"/>
        <v/>
      </c>
      <c r="AM981" s="9" t="str">
        <f t="shared" si="203"/>
        <v/>
      </c>
      <c r="AN981" s="9" t="str">
        <f t="shared" si="204"/>
        <v/>
      </c>
      <c r="AO981" s="9" t="str">
        <f t="shared" si="205"/>
        <v/>
      </c>
      <c r="AP981" s="9" t="str">
        <f t="shared" si="206"/>
        <v/>
      </c>
      <c r="AQ981" s="10" t="str">
        <f t="shared" si="207"/>
        <v/>
      </c>
    </row>
    <row r="982" spans="1:43">
      <c r="A982">
        <v>981</v>
      </c>
      <c r="B982" t="s">
        <v>23</v>
      </c>
      <c r="C982" t="s">
        <v>1366</v>
      </c>
      <c r="D982" t="s">
        <v>1367</v>
      </c>
      <c r="E982" t="s">
        <v>168</v>
      </c>
      <c r="G982" t="s">
        <v>18</v>
      </c>
      <c r="H982" s="4">
        <v>35073000</v>
      </c>
      <c r="I982" s="5">
        <v>512</v>
      </c>
      <c r="J982" s="5">
        <v>0</v>
      </c>
      <c r="K982" s="5">
        <v>12</v>
      </c>
      <c r="L982">
        <v>9.4</v>
      </c>
      <c r="M982">
        <v>3.5</v>
      </c>
      <c r="N982">
        <v>6.62</v>
      </c>
      <c r="O982" s="6">
        <v>15.6</v>
      </c>
      <c r="P982" s="7">
        <v>2.19</v>
      </c>
      <c r="U982" t="s">
        <v>84</v>
      </c>
      <c r="V982" t="s">
        <v>140</v>
      </c>
      <c r="W982">
        <v>2.7</v>
      </c>
      <c r="X982" t="s">
        <v>84</v>
      </c>
      <c r="Y982" t="s">
        <v>99</v>
      </c>
      <c r="Z982" t="s">
        <v>106</v>
      </c>
      <c r="AA982" t="s">
        <v>149</v>
      </c>
      <c r="AB982" t="s">
        <v>115</v>
      </c>
      <c r="AC982">
        <v>1299</v>
      </c>
      <c r="AD982" s="8" t="b">
        <f>AND(
 H982&gt;=Filters!$B$3,
 H982&lt;=Filters!$B$4,
 I982&gt;=Filters!$B$5,
 OR(Filters!$B$6="All",B982=Filters!$B$6),
 F982&gt;=Filters!$B$7,
 F982&lt;=Filters!$B$8,
 OR(Filters!$B$9="All",G982=Filters!$B$9)
)</f>
        <v>0</v>
      </c>
      <c r="AE982">
        <f t="shared" si="195"/>
        <v>6</v>
      </c>
      <c r="AF982">
        <f t="shared" si="196"/>
        <v>7</v>
      </c>
      <c r="AG982">
        <f t="shared" si="197"/>
        <v>7</v>
      </c>
      <c r="AH982" s="9" t="str">
        <f t="shared" si="198"/>
        <v/>
      </c>
      <c r="AI982" s="9" t="str">
        <f t="shared" si="199"/>
        <v/>
      </c>
      <c r="AJ982" s="9" t="str">
        <f t="shared" si="200"/>
        <v/>
      </c>
      <c r="AK982" s="9" t="str">
        <f t="shared" si="201"/>
        <v/>
      </c>
      <c r="AL982" s="9" t="str">
        <f t="shared" si="202"/>
        <v/>
      </c>
      <c r="AM982" s="9" t="str">
        <f t="shared" si="203"/>
        <v/>
      </c>
      <c r="AN982" s="9" t="str">
        <f t="shared" si="204"/>
        <v/>
      </c>
      <c r="AO982" s="9" t="str">
        <f t="shared" si="205"/>
        <v/>
      </c>
      <c r="AP982" s="9" t="str">
        <f t="shared" si="206"/>
        <v/>
      </c>
      <c r="AQ982" s="10" t="str">
        <f t="shared" si="207"/>
        <v/>
      </c>
    </row>
    <row r="983" spans="1:43">
      <c r="A983">
        <v>982</v>
      </c>
      <c r="B983" t="s">
        <v>35</v>
      </c>
      <c r="C983" t="s">
        <v>1368</v>
      </c>
      <c r="D983" t="s">
        <v>1369</v>
      </c>
      <c r="E983" t="s">
        <v>97</v>
      </c>
      <c r="G983" t="s">
        <v>18</v>
      </c>
      <c r="H983" s="4">
        <v>32265000</v>
      </c>
      <c r="I983" s="5">
        <v>128</v>
      </c>
      <c r="J983" s="5">
        <v>0</v>
      </c>
      <c r="K983" s="5">
        <v>4</v>
      </c>
      <c r="L983">
        <v>6.6</v>
      </c>
      <c r="M983">
        <v>3.5</v>
      </c>
      <c r="N983">
        <v>5.96</v>
      </c>
      <c r="O983" s="6">
        <v>13.3</v>
      </c>
      <c r="P983" s="7">
        <v>1.2</v>
      </c>
      <c r="U983" t="s">
        <v>84</v>
      </c>
      <c r="V983" t="s">
        <v>375</v>
      </c>
      <c r="W983">
        <v>2.2999999999999998</v>
      </c>
      <c r="X983" t="s">
        <v>84</v>
      </c>
      <c r="Y983" t="s">
        <v>130</v>
      </c>
      <c r="Z983" t="s">
        <v>87</v>
      </c>
      <c r="AA983" t="s">
        <v>101</v>
      </c>
      <c r="AB983" t="s">
        <v>869</v>
      </c>
      <c r="AC983">
        <v>1195</v>
      </c>
      <c r="AD983" s="8" t="b">
        <f>AND(
 H983&gt;=Filters!$B$3,
 H983&lt;=Filters!$B$4,
 I983&gt;=Filters!$B$5,
 OR(Filters!$B$6="All",B983=Filters!$B$6),
 F983&gt;=Filters!$B$7,
 F983&lt;=Filters!$B$8,
 OR(Filters!$B$9="All",G983=Filters!$B$9)
)</f>
        <v>0</v>
      </c>
      <c r="AE983">
        <f t="shared" si="195"/>
        <v>6</v>
      </c>
      <c r="AF983">
        <f t="shared" si="196"/>
        <v>7</v>
      </c>
      <c r="AG983">
        <f t="shared" si="197"/>
        <v>7</v>
      </c>
      <c r="AH983" s="9" t="str">
        <f t="shared" si="198"/>
        <v/>
      </c>
      <c r="AI983" s="9" t="str">
        <f t="shared" si="199"/>
        <v/>
      </c>
      <c r="AJ983" s="9" t="str">
        <f t="shared" si="200"/>
        <v/>
      </c>
      <c r="AK983" s="9" t="str">
        <f t="shared" si="201"/>
        <v/>
      </c>
      <c r="AL983" s="9" t="str">
        <f t="shared" si="202"/>
        <v/>
      </c>
      <c r="AM983" s="9" t="str">
        <f t="shared" si="203"/>
        <v/>
      </c>
      <c r="AN983" s="9" t="str">
        <f t="shared" si="204"/>
        <v/>
      </c>
      <c r="AO983" s="9" t="str">
        <f t="shared" si="205"/>
        <v/>
      </c>
      <c r="AP983" s="9" t="str">
        <f t="shared" si="206"/>
        <v/>
      </c>
      <c r="AQ983" s="10" t="str">
        <f t="shared" si="207"/>
        <v/>
      </c>
    </row>
    <row r="984" spans="1:43">
      <c r="A984">
        <v>983</v>
      </c>
      <c r="B984" t="s">
        <v>29</v>
      </c>
      <c r="C984" t="s">
        <v>641</v>
      </c>
      <c r="D984" t="s">
        <v>642</v>
      </c>
      <c r="E984" t="s">
        <v>97</v>
      </c>
      <c r="G984" t="s">
        <v>18</v>
      </c>
      <c r="H984" s="4">
        <v>14823000</v>
      </c>
      <c r="I984" s="5">
        <v>256</v>
      </c>
      <c r="J984" s="5">
        <v>0</v>
      </c>
      <c r="K984" s="5">
        <v>6</v>
      </c>
      <c r="L984">
        <v>8.1999999999999993</v>
      </c>
      <c r="M984">
        <v>6.5</v>
      </c>
      <c r="N984">
        <v>5.92</v>
      </c>
      <c r="O984" s="6">
        <v>15.6</v>
      </c>
      <c r="P984" s="7">
        <v>2.2000000000000002</v>
      </c>
      <c r="U984" t="s">
        <v>104</v>
      </c>
      <c r="V984" t="s">
        <v>618</v>
      </c>
      <c r="W984">
        <v>3.6</v>
      </c>
      <c r="X984" t="s">
        <v>104</v>
      </c>
      <c r="Y984" t="s">
        <v>176</v>
      </c>
      <c r="Z984" t="s">
        <v>100</v>
      </c>
      <c r="AA984" t="s">
        <v>101</v>
      </c>
      <c r="AB984" t="s">
        <v>115</v>
      </c>
      <c r="AC984">
        <v>549</v>
      </c>
      <c r="AD984" s="8" t="b">
        <f>AND(
 H984&gt;=Filters!$B$3,
 H984&lt;=Filters!$B$4,
 I984&gt;=Filters!$B$5,
 OR(Filters!$B$6="All",B984=Filters!$B$6),
 F984&gt;=Filters!$B$7,
 F984&lt;=Filters!$B$8,
 OR(Filters!$B$9="All",G984=Filters!$B$9)
)</f>
        <v>1</v>
      </c>
      <c r="AE984">
        <f t="shared" si="195"/>
        <v>6</v>
      </c>
      <c r="AF984">
        <f t="shared" si="196"/>
        <v>7</v>
      </c>
      <c r="AG984">
        <f t="shared" si="197"/>
        <v>7</v>
      </c>
      <c r="AH984" s="9">
        <f t="shared" si="198"/>
        <v>0.83333333333333315</v>
      </c>
      <c r="AI984" s="9">
        <f t="shared" si="199"/>
        <v>0.5714285714285714</v>
      </c>
      <c r="AJ984" s="9">
        <f t="shared" si="200"/>
        <v>0.63095238095238093</v>
      </c>
      <c r="AK984" s="9">
        <f t="shared" si="201"/>
        <v>0.56190476190476191</v>
      </c>
      <c r="AL984" s="9">
        <f t="shared" si="202"/>
        <v>0.88095238095238082</v>
      </c>
      <c r="AM984" s="9">
        <f t="shared" si="203"/>
        <v>0.5714285714285714</v>
      </c>
      <c r="AN984" s="9">
        <f t="shared" si="204"/>
        <v>0.69047619047619047</v>
      </c>
      <c r="AO984" s="9">
        <f t="shared" si="205"/>
        <v>0.69047619047619047</v>
      </c>
      <c r="AP984" s="9">
        <f t="shared" si="206"/>
        <v>0.67709270242379549</v>
      </c>
      <c r="AQ984" s="10">
        <f t="shared" si="207"/>
        <v>0.67709368642379553</v>
      </c>
    </row>
    <row r="985" spans="1:43">
      <c r="A985">
        <v>984</v>
      </c>
      <c r="B985" t="s">
        <v>24</v>
      </c>
      <c r="C985" t="s">
        <v>1370</v>
      </c>
      <c r="D985" t="s">
        <v>1371</v>
      </c>
      <c r="E985" t="s">
        <v>97</v>
      </c>
      <c r="G985" t="s">
        <v>18</v>
      </c>
      <c r="H985" s="4">
        <v>17523000</v>
      </c>
      <c r="I985" s="5">
        <v>256</v>
      </c>
      <c r="J985" s="5">
        <v>0</v>
      </c>
      <c r="K985" s="5">
        <v>4</v>
      </c>
      <c r="L985">
        <v>6.6</v>
      </c>
      <c r="M985">
        <v>3.5</v>
      </c>
      <c r="N985">
        <v>3.92</v>
      </c>
      <c r="O985" s="6">
        <v>15.6</v>
      </c>
      <c r="P985" s="7">
        <v>2.2999999999999998</v>
      </c>
      <c r="U985" t="s">
        <v>84</v>
      </c>
      <c r="V985" t="s">
        <v>375</v>
      </c>
      <c r="W985">
        <v>2.2999999999999998</v>
      </c>
      <c r="X985" t="s">
        <v>84</v>
      </c>
      <c r="Y985" t="s">
        <v>130</v>
      </c>
      <c r="Z985" t="s">
        <v>100</v>
      </c>
      <c r="AA985" t="s">
        <v>114</v>
      </c>
      <c r="AB985" t="s">
        <v>115</v>
      </c>
      <c r="AC985">
        <v>649</v>
      </c>
      <c r="AD985" s="8" t="b">
        <f>AND(
 H985&gt;=Filters!$B$3,
 H985&lt;=Filters!$B$4,
 I985&gt;=Filters!$B$5,
 OR(Filters!$B$6="All",B985=Filters!$B$6),
 F985&gt;=Filters!$B$7,
 F985&lt;=Filters!$B$8,
 OR(Filters!$B$9="All",G985=Filters!$B$9)
)</f>
        <v>1</v>
      </c>
      <c r="AE985">
        <f t="shared" si="195"/>
        <v>6</v>
      </c>
      <c r="AF985">
        <f t="shared" si="196"/>
        <v>7</v>
      </c>
      <c r="AG985">
        <f t="shared" si="197"/>
        <v>7</v>
      </c>
      <c r="AH985" s="9">
        <f t="shared" si="198"/>
        <v>0.64285714285714279</v>
      </c>
      <c r="AI985" s="9">
        <f t="shared" si="199"/>
        <v>0.33333333333333331</v>
      </c>
      <c r="AJ985" s="9">
        <f t="shared" si="200"/>
        <v>0.27380952380952378</v>
      </c>
      <c r="AK985" s="9">
        <f t="shared" si="201"/>
        <v>0.32380952380952377</v>
      </c>
      <c r="AL985" s="9">
        <f t="shared" si="202"/>
        <v>0.86904761904761896</v>
      </c>
      <c r="AM985" s="9">
        <f t="shared" si="203"/>
        <v>0.5714285714285714</v>
      </c>
      <c r="AN985" s="9">
        <f t="shared" si="204"/>
        <v>0.69047619047619047</v>
      </c>
      <c r="AO985" s="9">
        <f t="shared" si="205"/>
        <v>0.69047619047619047</v>
      </c>
      <c r="AP985" s="9">
        <f t="shared" si="206"/>
        <v>0.55027508581998952</v>
      </c>
      <c r="AQ985" s="10">
        <f t="shared" si="207"/>
        <v>0.55027607081998953</v>
      </c>
    </row>
    <row r="986" spans="1:43">
      <c r="A986">
        <v>985</v>
      </c>
      <c r="B986" t="s">
        <v>35</v>
      </c>
      <c r="C986" t="s">
        <v>1372</v>
      </c>
      <c r="D986" t="s">
        <v>1373</v>
      </c>
      <c r="E986" t="s">
        <v>97</v>
      </c>
      <c r="G986" t="s">
        <v>18</v>
      </c>
      <c r="H986" s="4">
        <v>24705000</v>
      </c>
      <c r="I986" s="5">
        <v>0</v>
      </c>
      <c r="J986" s="5">
        <v>500</v>
      </c>
      <c r="K986" s="5">
        <v>4</v>
      </c>
      <c r="L986">
        <v>6.6</v>
      </c>
      <c r="M986">
        <v>3.5</v>
      </c>
      <c r="N986">
        <v>4</v>
      </c>
      <c r="O986" s="6">
        <v>14</v>
      </c>
      <c r="P986" s="7">
        <v>1.75</v>
      </c>
      <c r="U986" t="s">
        <v>84</v>
      </c>
      <c r="V986" t="s">
        <v>375</v>
      </c>
      <c r="W986">
        <v>2.2999999999999998</v>
      </c>
      <c r="X986" t="s">
        <v>84</v>
      </c>
      <c r="Y986" t="s">
        <v>130</v>
      </c>
      <c r="Z986" t="s">
        <v>113</v>
      </c>
      <c r="AA986" t="s">
        <v>114</v>
      </c>
      <c r="AB986" t="s">
        <v>115</v>
      </c>
      <c r="AC986">
        <v>915</v>
      </c>
      <c r="AD986" s="8" t="b">
        <f>AND(
 H986&gt;=Filters!$B$3,
 H986&lt;=Filters!$B$4,
 I986&gt;=Filters!$B$5,
 OR(Filters!$B$6="All",B986=Filters!$B$6),
 F986&gt;=Filters!$B$7,
 F986&lt;=Filters!$B$8,
 OR(Filters!$B$9="All",G986=Filters!$B$9)
)</f>
        <v>0</v>
      </c>
      <c r="AE986">
        <f t="shared" si="195"/>
        <v>6</v>
      </c>
      <c r="AF986">
        <f t="shared" si="196"/>
        <v>7</v>
      </c>
      <c r="AG986">
        <f t="shared" si="197"/>
        <v>7</v>
      </c>
      <c r="AH986" s="9" t="str">
        <f t="shared" si="198"/>
        <v/>
      </c>
      <c r="AI986" s="9" t="str">
        <f t="shared" si="199"/>
        <v/>
      </c>
      <c r="AJ986" s="9" t="str">
        <f t="shared" si="200"/>
        <v/>
      </c>
      <c r="AK986" s="9" t="str">
        <f t="shared" si="201"/>
        <v/>
      </c>
      <c r="AL986" s="9" t="str">
        <f t="shared" si="202"/>
        <v/>
      </c>
      <c r="AM986" s="9" t="str">
        <f t="shared" si="203"/>
        <v/>
      </c>
      <c r="AN986" s="9" t="str">
        <f t="shared" si="204"/>
        <v/>
      </c>
      <c r="AO986" s="9" t="str">
        <f t="shared" si="205"/>
        <v/>
      </c>
      <c r="AP986" s="9" t="str">
        <f t="shared" si="206"/>
        <v/>
      </c>
      <c r="AQ986" s="10" t="str">
        <f t="shared" si="207"/>
        <v/>
      </c>
    </row>
    <row r="987" spans="1:43">
      <c r="A987">
        <v>986</v>
      </c>
      <c r="B987" t="s">
        <v>23</v>
      </c>
      <c r="C987" t="s">
        <v>132</v>
      </c>
      <c r="D987" t="s">
        <v>133</v>
      </c>
      <c r="E987" t="s">
        <v>97</v>
      </c>
      <c r="G987" t="s">
        <v>18</v>
      </c>
      <c r="H987" s="4">
        <v>16173000</v>
      </c>
      <c r="I987" s="5">
        <v>0</v>
      </c>
      <c r="J987" s="5">
        <v>500</v>
      </c>
      <c r="K987" s="5">
        <v>4</v>
      </c>
      <c r="L987">
        <v>7</v>
      </c>
      <c r="M987">
        <v>6.5</v>
      </c>
      <c r="N987">
        <v>3.92</v>
      </c>
      <c r="O987" s="6">
        <v>15.6</v>
      </c>
      <c r="P987" s="7">
        <v>2.25</v>
      </c>
      <c r="U987" t="s">
        <v>84</v>
      </c>
      <c r="V987" t="s">
        <v>98</v>
      </c>
      <c r="W987">
        <v>2.5</v>
      </c>
      <c r="X987" t="s">
        <v>104</v>
      </c>
      <c r="Y987" t="s">
        <v>134</v>
      </c>
      <c r="Z987" t="s">
        <v>113</v>
      </c>
      <c r="AA987" t="s">
        <v>114</v>
      </c>
      <c r="AB987" t="s">
        <v>115</v>
      </c>
      <c r="AC987">
        <v>599</v>
      </c>
      <c r="AD987" s="8" t="b">
        <f>AND(
 H987&gt;=Filters!$B$3,
 H987&lt;=Filters!$B$4,
 I987&gt;=Filters!$B$5,
 OR(Filters!$B$6="All",B987=Filters!$B$6),
 F987&gt;=Filters!$B$7,
 F987&lt;=Filters!$B$8,
 OR(Filters!$B$9="All",G987=Filters!$B$9)
)</f>
        <v>0</v>
      </c>
      <c r="AE987">
        <f t="shared" si="195"/>
        <v>6</v>
      </c>
      <c r="AF987">
        <f t="shared" si="196"/>
        <v>7</v>
      </c>
      <c r="AG987">
        <f t="shared" si="197"/>
        <v>7</v>
      </c>
      <c r="AH987" s="9" t="str">
        <f t="shared" si="198"/>
        <v/>
      </c>
      <c r="AI987" s="9" t="str">
        <f t="shared" si="199"/>
        <v/>
      </c>
      <c r="AJ987" s="9" t="str">
        <f t="shared" si="200"/>
        <v/>
      </c>
      <c r="AK987" s="9" t="str">
        <f t="shared" si="201"/>
        <v/>
      </c>
      <c r="AL987" s="9" t="str">
        <f t="shared" si="202"/>
        <v/>
      </c>
      <c r="AM987" s="9" t="str">
        <f t="shared" si="203"/>
        <v/>
      </c>
      <c r="AN987" s="9" t="str">
        <f t="shared" si="204"/>
        <v/>
      </c>
      <c r="AO987" s="9" t="str">
        <f t="shared" si="205"/>
        <v/>
      </c>
      <c r="AP987" s="9" t="str">
        <f t="shared" si="206"/>
        <v/>
      </c>
      <c r="AQ987" s="10" t="str">
        <f t="shared" si="207"/>
        <v/>
      </c>
    </row>
    <row r="988" spans="1:43">
      <c r="A988">
        <v>987</v>
      </c>
      <c r="B988" t="s">
        <v>26</v>
      </c>
      <c r="C988" t="s">
        <v>862</v>
      </c>
      <c r="D988" t="s">
        <v>863</v>
      </c>
      <c r="E988" t="s">
        <v>97</v>
      </c>
      <c r="G988" t="s">
        <v>18</v>
      </c>
      <c r="H988" s="4">
        <v>21762000</v>
      </c>
      <c r="I988" s="5">
        <v>0</v>
      </c>
      <c r="J988" s="5">
        <v>1024</v>
      </c>
      <c r="K988" s="5">
        <v>8</v>
      </c>
      <c r="L988">
        <v>7</v>
      </c>
      <c r="M988">
        <v>3.5</v>
      </c>
      <c r="N988">
        <v>5.92</v>
      </c>
      <c r="O988" s="6">
        <v>15.6</v>
      </c>
      <c r="P988" s="7">
        <v>2.04</v>
      </c>
      <c r="U988" t="s">
        <v>84</v>
      </c>
      <c r="V988" t="s">
        <v>98</v>
      </c>
      <c r="W988">
        <v>2.5</v>
      </c>
      <c r="X988" t="s">
        <v>84</v>
      </c>
      <c r="Y988" t="s">
        <v>99</v>
      </c>
      <c r="Z988" t="s">
        <v>146</v>
      </c>
      <c r="AA988" t="s">
        <v>101</v>
      </c>
      <c r="AB988" t="s">
        <v>115</v>
      </c>
      <c r="AC988">
        <v>806</v>
      </c>
      <c r="AD988" s="8" t="b">
        <f>AND(
 H988&gt;=Filters!$B$3,
 H988&lt;=Filters!$B$4,
 I988&gt;=Filters!$B$5,
 OR(Filters!$B$6="All",B988=Filters!$B$6),
 F988&gt;=Filters!$B$7,
 F988&lt;=Filters!$B$8,
 OR(Filters!$B$9="All",G988=Filters!$B$9)
)</f>
        <v>0</v>
      </c>
      <c r="AE988">
        <f t="shared" si="195"/>
        <v>6</v>
      </c>
      <c r="AF988">
        <f t="shared" si="196"/>
        <v>7</v>
      </c>
      <c r="AG988">
        <f t="shared" si="197"/>
        <v>7</v>
      </c>
      <c r="AH988" s="9" t="str">
        <f t="shared" si="198"/>
        <v/>
      </c>
      <c r="AI988" s="9" t="str">
        <f t="shared" si="199"/>
        <v/>
      </c>
      <c r="AJ988" s="9" t="str">
        <f t="shared" si="200"/>
        <v/>
      </c>
      <c r="AK988" s="9" t="str">
        <f t="shared" si="201"/>
        <v/>
      </c>
      <c r="AL988" s="9" t="str">
        <f t="shared" si="202"/>
        <v/>
      </c>
      <c r="AM988" s="9" t="str">
        <f t="shared" si="203"/>
        <v/>
      </c>
      <c r="AN988" s="9" t="str">
        <f t="shared" si="204"/>
        <v/>
      </c>
      <c r="AO988" s="9" t="str">
        <f t="shared" si="205"/>
        <v/>
      </c>
      <c r="AP988" s="9" t="str">
        <f t="shared" si="206"/>
        <v/>
      </c>
      <c r="AQ988" s="10" t="str">
        <f t="shared" si="207"/>
        <v/>
      </c>
    </row>
    <row r="989" spans="1:43">
      <c r="A989">
        <v>988</v>
      </c>
      <c r="B989" t="s">
        <v>29</v>
      </c>
      <c r="C989" t="s">
        <v>156</v>
      </c>
      <c r="D989" t="s">
        <v>157</v>
      </c>
      <c r="E989" t="s">
        <v>158</v>
      </c>
      <c r="G989" t="s">
        <v>18</v>
      </c>
      <c r="H989" s="4">
        <v>32103000</v>
      </c>
      <c r="I989" s="5">
        <v>128</v>
      </c>
      <c r="J989" s="5">
        <v>1024</v>
      </c>
      <c r="K989" s="5">
        <v>8</v>
      </c>
      <c r="L989">
        <v>9.6</v>
      </c>
      <c r="M989">
        <v>9.1999999999999993</v>
      </c>
      <c r="N989">
        <v>6.32</v>
      </c>
      <c r="O989" s="6">
        <v>15.6</v>
      </c>
      <c r="P989" s="7">
        <v>2.5</v>
      </c>
      <c r="U989" t="s">
        <v>84</v>
      </c>
      <c r="V989" t="s">
        <v>210</v>
      </c>
      <c r="W989">
        <v>2.8</v>
      </c>
      <c r="X989" t="s">
        <v>122</v>
      </c>
      <c r="Y989" t="s">
        <v>211</v>
      </c>
      <c r="Z989" t="s">
        <v>161</v>
      </c>
      <c r="AA989" t="s">
        <v>128</v>
      </c>
      <c r="AB989" t="s">
        <v>115</v>
      </c>
      <c r="AC989">
        <v>1189</v>
      </c>
      <c r="AD989" s="8" t="b">
        <f>AND(
 H989&gt;=Filters!$B$3,
 H989&lt;=Filters!$B$4,
 I989&gt;=Filters!$B$5,
 OR(Filters!$B$6="All",B989=Filters!$B$6),
 F989&gt;=Filters!$B$7,
 F989&lt;=Filters!$B$8,
 OR(Filters!$B$9="All",G989=Filters!$B$9)
)</f>
        <v>0</v>
      </c>
      <c r="AE989">
        <f t="shared" si="195"/>
        <v>6</v>
      </c>
      <c r="AF989">
        <f t="shared" si="196"/>
        <v>7</v>
      </c>
      <c r="AG989">
        <f t="shared" si="197"/>
        <v>7</v>
      </c>
      <c r="AH989" s="9" t="str">
        <f t="shared" si="198"/>
        <v/>
      </c>
      <c r="AI989" s="9" t="str">
        <f t="shared" si="199"/>
        <v/>
      </c>
      <c r="AJ989" s="9" t="str">
        <f t="shared" si="200"/>
        <v/>
      </c>
      <c r="AK989" s="9" t="str">
        <f t="shared" si="201"/>
        <v/>
      </c>
      <c r="AL989" s="9" t="str">
        <f t="shared" si="202"/>
        <v/>
      </c>
      <c r="AM989" s="9" t="str">
        <f t="shared" si="203"/>
        <v/>
      </c>
      <c r="AN989" s="9" t="str">
        <f t="shared" si="204"/>
        <v/>
      </c>
      <c r="AO989" s="9" t="str">
        <f t="shared" si="205"/>
        <v/>
      </c>
      <c r="AP989" s="9" t="str">
        <f t="shared" si="206"/>
        <v/>
      </c>
      <c r="AQ989" s="10" t="str">
        <f t="shared" si="207"/>
        <v/>
      </c>
    </row>
    <row r="990" spans="1:43">
      <c r="A990">
        <v>989</v>
      </c>
      <c r="B990" t="s">
        <v>23</v>
      </c>
      <c r="C990" t="s">
        <v>356</v>
      </c>
      <c r="D990" t="s">
        <v>357</v>
      </c>
      <c r="E990" t="s">
        <v>97</v>
      </c>
      <c r="G990" t="s">
        <v>18</v>
      </c>
      <c r="H990" s="4">
        <v>20223000</v>
      </c>
      <c r="I990" s="5">
        <v>0</v>
      </c>
      <c r="J990" s="5">
        <v>1024</v>
      </c>
      <c r="K990" s="5">
        <v>8</v>
      </c>
      <c r="L990">
        <v>9.4</v>
      </c>
      <c r="M990">
        <v>6.5</v>
      </c>
      <c r="N990">
        <v>3.92</v>
      </c>
      <c r="O990" s="6">
        <v>15.6</v>
      </c>
      <c r="P990" s="7">
        <v>2.36</v>
      </c>
      <c r="U990" t="s">
        <v>84</v>
      </c>
      <c r="V990" t="s">
        <v>140</v>
      </c>
      <c r="W990">
        <v>2.7</v>
      </c>
      <c r="X990" t="s">
        <v>104</v>
      </c>
      <c r="Y990" t="s">
        <v>358</v>
      </c>
      <c r="Z990" t="s">
        <v>146</v>
      </c>
      <c r="AA990" t="s">
        <v>114</v>
      </c>
      <c r="AB990" t="s">
        <v>115</v>
      </c>
      <c r="AC990">
        <v>749</v>
      </c>
      <c r="AD990" s="8" t="b">
        <f>AND(
 H990&gt;=Filters!$B$3,
 H990&lt;=Filters!$B$4,
 I990&gt;=Filters!$B$5,
 OR(Filters!$B$6="All",B990=Filters!$B$6),
 F990&gt;=Filters!$B$7,
 F990&lt;=Filters!$B$8,
 OR(Filters!$B$9="All",G990=Filters!$B$9)
)</f>
        <v>0</v>
      </c>
      <c r="AE990">
        <f t="shared" si="195"/>
        <v>6</v>
      </c>
      <c r="AF990">
        <f t="shared" si="196"/>
        <v>7</v>
      </c>
      <c r="AG990">
        <f t="shared" si="197"/>
        <v>7</v>
      </c>
      <c r="AH990" s="9" t="str">
        <f t="shared" si="198"/>
        <v/>
      </c>
      <c r="AI990" s="9" t="str">
        <f t="shared" si="199"/>
        <v/>
      </c>
      <c r="AJ990" s="9" t="str">
        <f t="shared" si="200"/>
        <v/>
      </c>
      <c r="AK990" s="9" t="str">
        <f t="shared" si="201"/>
        <v/>
      </c>
      <c r="AL990" s="9" t="str">
        <f t="shared" si="202"/>
        <v/>
      </c>
      <c r="AM990" s="9" t="str">
        <f t="shared" si="203"/>
        <v/>
      </c>
      <c r="AN990" s="9" t="str">
        <f t="shared" si="204"/>
        <v/>
      </c>
      <c r="AO990" s="9" t="str">
        <f t="shared" si="205"/>
        <v/>
      </c>
      <c r="AP990" s="9" t="str">
        <f t="shared" si="206"/>
        <v/>
      </c>
      <c r="AQ990" s="10" t="str">
        <f t="shared" si="207"/>
        <v/>
      </c>
    </row>
    <row r="991" spans="1:43">
      <c r="A991">
        <v>990</v>
      </c>
      <c r="B991" t="s">
        <v>23</v>
      </c>
      <c r="C991" t="s">
        <v>769</v>
      </c>
      <c r="D991" t="s">
        <v>739</v>
      </c>
      <c r="E991" t="s">
        <v>97</v>
      </c>
      <c r="G991" t="s">
        <v>18</v>
      </c>
      <c r="H991" s="4">
        <v>30213000</v>
      </c>
      <c r="I991" s="5">
        <v>128</v>
      </c>
      <c r="J991" s="5">
        <v>0</v>
      </c>
      <c r="K991" s="5">
        <v>8</v>
      </c>
      <c r="L991">
        <v>7</v>
      </c>
      <c r="M991">
        <v>3.5</v>
      </c>
      <c r="N991">
        <v>6</v>
      </c>
      <c r="O991" s="6">
        <v>14</v>
      </c>
      <c r="P991" s="7">
        <v>1.6</v>
      </c>
      <c r="U991" t="s">
        <v>84</v>
      </c>
      <c r="V991" t="s">
        <v>98</v>
      </c>
      <c r="W991">
        <v>2.5</v>
      </c>
      <c r="X991" t="s">
        <v>84</v>
      </c>
      <c r="Y991" t="s">
        <v>99</v>
      </c>
      <c r="Z991" t="s">
        <v>87</v>
      </c>
      <c r="AA991" t="s">
        <v>101</v>
      </c>
      <c r="AB991" t="s">
        <v>115</v>
      </c>
      <c r="AC991">
        <v>1119</v>
      </c>
      <c r="AD991" s="8" t="b">
        <f>AND(
 H991&gt;=Filters!$B$3,
 H991&lt;=Filters!$B$4,
 I991&gt;=Filters!$B$5,
 OR(Filters!$B$6="All",B991=Filters!$B$6),
 F991&gt;=Filters!$B$7,
 F991&lt;=Filters!$B$8,
 OR(Filters!$B$9="All",G991=Filters!$B$9)
)</f>
        <v>0</v>
      </c>
      <c r="AE991">
        <f t="shared" si="195"/>
        <v>6</v>
      </c>
      <c r="AF991">
        <f t="shared" si="196"/>
        <v>7</v>
      </c>
      <c r="AG991">
        <f t="shared" si="197"/>
        <v>7</v>
      </c>
      <c r="AH991" s="9" t="str">
        <f t="shared" si="198"/>
        <v/>
      </c>
      <c r="AI991" s="9" t="str">
        <f t="shared" si="199"/>
        <v/>
      </c>
      <c r="AJ991" s="9" t="str">
        <f t="shared" si="200"/>
        <v/>
      </c>
      <c r="AK991" s="9" t="str">
        <f t="shared" si="201"/>
        <v/>
      </c>
      <c r="AL991" s="9" t="str">
        <f t="shared" si="202"/>
        <v/>
      </c>
      <c r="AM991" s="9" t="str">
        <f t="shared" si="203"/>
        <v/>
      </c>
      <c r="AN991" s="9" t="str">
        <f t="shared" si="204"/>
        <v/>
      </c>
      <c r="AO991" s="9" t="str">
        <f t="shared" si="205"/>
        <v/>
      </c>
      <c r="AP991" s="9" t="str">
        <f t="shared" si="206"/>
        <v/>
      </c>
      <c r="AQ991" s="10" t="str">
        <f t="shared" si="207"/>
        <v/>
      </c>
    </row>
    <row r="992" spans="1:43">
      <c r="A992">
        <v>991</v>
      </c>
      <c r="B992" t="s">
        <v>26</v>
      </c>
      <c r="C992" t="s">
        <v>1374</v>
      </c>
      <c r="D992" t="s">
        <v>379</v>
      </c>
      <c r="E992" t="s">
        <v>152</v>
      </c>
      <c r="G992" t="s">
        <v>18</v>
      </c>
      <c r="H992" s="4">
        <v>51516000</v>
      </c>
      <c r="I992" s="5">
        <v>512</v>
      </c>
      <c r="J992" s="5">
        <v>0</v>
      </c>
      <c r="K992" s="5">
        <v>8</v>
      </c>
      <c r="L992">
        <v>3.4</v>
      </c>
      <c r="M992">
        <v>3.5</v>
      </c>
      <c r="N992">
        <v>5.92</v>
      </c>
      <c r="O992" s="6">
        <v>12.5</v>
      </c>
      <c r="P992" s="7">
        <v>0.97</v>
      </c>
      <c r="U992" t="s">
        <v>84</v>
      </c>
      <c r="V992" t="s">
        <v>380</v>
      </c>
      <c r="W992">
        <v>1.2</v>
      </c>
      <c r="X992" t="s">
        <v>84</v>
      </c>
      <c r="Y992" t="s">
        <v>381</v>
      </c>
      <c r="Z992" t="s">
        <v>106</v>
      </c>
      <c r="AA992" t="s">
        <v>101</v>
      </c>
      <c r="AB992" t="s">
        <v>115</v>
      </c>
      <c r="AC992">
        <v>1908</v>
      </c>
      <c r="AD992" s="8" t="b">
        <f>AND(
 H992&gt;=Filters!$B$3,
 H992&lt;=Filters!$B$4,
 I992&gt;=Filters!$B$5,
 OR(Filters!$B$6="All",B992=Filters!$B$6),
 F992&gt;=Filters!$B$7,
 F992&lt;=Filters!$B$8,
 OR(Filters!$B$9="All",G992=Filters!$B$9)
)</f>
        <v>0</v>
      </c>
      <c r="AE992">
        <f t="shared" si="195"/>
        <v>6</v>
      </c>
      <c r="AF992">
        <f t="shared" si="196"/>
        <v>7</v>
      </c>
      <c r="AG992">
        <f t="shared" si="197"/>
        <v>7</v>
      </c>
      <c r="AH992" s="9" t="str">
        <f t="shared" si="198"/>
        <v/>
      </c>
      <c r="AI992" s="9" t="str">
        <f t="shared" si="199"/>
        <v/>
      </c>
      <c r="AJ992" s="9" t="str">
        <f t="shared" si="200"/>
        <v/>
      </c>
      <c r="AK992" s="9" t="str">
        <f t="shared" si="201"/>
        <v/>
      </c>
      <c r="AL992" s="9" t="str">
        <f t="shared" si="202"/>
        <v/>
      </c>
      <c r="AM992" s="9" t="str">
        <f t="shared" si="203"/>
        <v/>
      </c>
      <c r="AN992" s="9" t="str">
        <f t="shared" si="204"/>
        <v/>
      </c>
      <c r="AO992" s="9" t="str">
        <f t="shared" si="205"/>
        <v/>
      </c>
      <c r="AP992" s="9" t="str">
        <f t="shared" si="206"/>
        <v/>
      </c>
      <c r="AQ992" s="10" t="str">
        <f t="shared" si="207"/>
        <v/>
      </c>
    </row>
    <row r="993" spans="1:43">
      <c r="A993">
        <v>992</v>
      </c>
      <c r="B993" t="s">
        <v>26</v>
      </c>
      <c r="C993" t="s">
        <v>1375</v>
      </c>
      <c r="D993" t="s">
        <v>1376</v>
      </c>
      <c r="E993" t="s">
        <v>97</v>
      </c>
      <c r="G993" t="s">
        <v>18</v>
      </c>
      <c r="H993" s="4">
        <v>13473000</v>
      </c>
      <c r="I993" s="5">
        <v>128</v>
      </c>
      <c r="J993" s="5">
        <v>1024</v>
      </c>
      <c r="K993" s="5">
        <v>4</v>
      </c>
      <c r="L993">
        <v>4</v>
      </c>
      <c r="M993">
        <v>6.5</v>
      </c>
      <c r="N993">
        <v>5.92</v>
      </c>
      <c r="O993" s="6">
        <v>15.6</v>
      </c>
      <c r="P993" s="7">
        <v>2.1</v>
      </c>
      <c r="U993" t="s">
        <v>84</v>
      </c>
      <c r="V993" t="s">
        <v>129</v>
      </c>
      <c r="W993">
        <v>2</v>
      </c>
      <c r="X993" t="s">
        <v>104</v>
      </c>
      <c r="Y993" t="s">
        <v>241</v>
      </c>
      <c r="Z993" t="s">
        <v>161</v>
      </c>
      <c r="AA993" t="s">
        <v>101</v>
      </c>
      <c r="AB993" t="s">
        <v>115</v>
      </c>
      <c r="AC993">
        <v>499</v>
      </c>
      <c r="AD993" s="8" t="b">
        <f>AND(
 H993&gt;=Filters!$B$3,
 H993&lt;=Filters!$B$4,
 I993&gt;=Filters!$B$5,
 OR(Filters!$B$6="All",B993=Filters!$B$6),
 F993&gt;=Filters!$B$7,
 F993&lt;=Filters!$B$8,
 OR(Filters!$B$9="All",G993=Filters!$B$9)
)</f>
        <v>0</v>
      </c>
      <c r="AE993">
        <f t="shared" si="195"/>
        <v>6</v>
      </c>
      <c r="AF993">
        <f t="shared" si="196"/>
        <v>7</v>
      </c>
      <c r="AG993">
        <f t="shared" si="197"/>
        <v>7</v>
      </c>
      <c r="AH993" s="9" t="str">
        <f t="shared" si="198"/>
        <v/>
      </c>
      <c r="AI993" s="9" t="str">
        <f t="shared" si="199"/>
        <v/>
      </c>
      <c r="AJ993" s="9" t="str">
        <f t="shared" si="200"/>
        <v/>
      </c>
      <c r="AK993" s="9" t="str">
        <f t="shared" si="201"/>
        <v/>
      </c>
      <c r="AL993" s="9" t="str">
        <f t="shared" si="202"/>
        <v/>
      </c>
      <c r="AM993" s="9" t="str">
        <f t="shared" si="203"/>
        <v/>
      </c>
      <c r="AN993" s="9" t="str">
        <f t="shared" si="204"/>
        <v/>
      </c>
      <c r="AO993" s="9" t="str">
        <f t="shared" si="205"/>
        <v/>
      </c>
      <c r="AP993" s="9" t="str">
        <f t="shared" si="206"/>
        <v/>
      </c>
      <c r="AQ993" s="10" t="str">
        <f t="shared" si="207"/>
        <v/>
      </c>
    </row>
    <row r="994" spans="1:43">
      <c r="A994">
        <v>993</v>
      </c>
      <c r="B994" t="s">
        <v>29</v>
      </c>
      <c r="C994" t="s">
        <v>1377</v>
      </c>
      <c r="D994" t="s">
        <v>1378</v>
      </c>
      <c r="E994" t="s">
        <v>97</v>
      </c>
      <c r="G994" t="s">
        <v>18</v>
      </c>
      <c r="H994" s="4">
        <v>7306740</v>
      </c>
      <c r="I994" s="5">
        <v>128</v>
      </c>
      <c r="J994" s="5">
        <v>0</v>
      </c>
      <c r="K994" s="5">
        <v>4</v>
      </c>
      <c r="L994">
        <v>1</v>
      </c>
      <c r="M994">
        <v>3.5</v>
      </c>
      <c r="N994">
        <v>3.92</v>
      </c>
      <c r="O994" s="6">
        <v>15.6</v>
      </c>
      <c r="P994" s="7">
        <v>1.9</v>
      </c>
      <c r="U994" t="s">
        <v>84</v>
      </c>
      <c r="V994" t="s">
        <v>198</v>
      </c>
      <c r="W994">
        <v>1.1000000000000001</v>
      </c>
      <c r="X994" t="s">
        <v>84</v>
      </c>
      <c r="Y994" t="s">
        <v>199</v>
      </c>
      <c r="Z994" t="s">
        <v>87</v>
      </c>
      <c r="AA994" t="s">
        <v>114</v>
      </c>
      <c r="AB994" t="s">
        <v>102</v>
      </c>
      <c r="AC994">
        <v>270.62</v>
      </c>
      <c r="AD994" s="8" t="b">
        <f>AND(
 H994&gt;=Filters!$B$3,
 H994&lt;=Filters!$B$4,
 I994&gt;=Filters!$B$5,
 OR(Filters!$B$6="All",B994=Filters!$B$6),
 F994&gt;=Filters!$B$7,
 F994&lt;=Filters!$B$8,
 OR(Filters!$B$9="All",G994=Filters!$B$9)
)</f>
        <v>0</v>
      </c>
      <c r="AE994">
        <f t="shared" si="195"/>
        <v>6</v>
      </c>
      <c r="AF994">
        <f t="shared" si="196"/>
        <v>7</v>
      </c>
      <c r="AG994">
        <f t="shared" si="197"/>
        <v>7</v>
      </c>
      <c r="AH994" s="9" t="str">
        <f t="shared" si="198"/>
        <v/>
      </c>
      <c r="AI994" s="9" t="str">
        <f t="shared" si="199"/>
        <v/>
      </c>
      <c r="AJ994" s="9" t="str">
        <f t="shared" si="200"/>
        <v/>
      </c>
      <c r="AK994" s="9" t="str">
        <f t="shared" si="201"/>
        <v/>
      </c>
      <c r="AL994" s="9" t="str">
        <f t="shared" si="202"/>
        <v/>
      </c>
      <c r="AM994" s="9" t="str">
        <f t="shared" si="203"/>
        <v/>
      </c>
      <c r="AN994" s="9" t="str">
        <f t="shared" si="204"/>
        <v/>
      </c>
      <c r="AO994" s="9" t="str">
        <f t="shared" si="205"/>
        <v/>
      </c>
      <c r="AP994" s="9" t="str">
        <f t="shared" si="206"/>
        <v/>
      </c>
      <c r="AQ994" s="10" t="str">
        <f t="shared" si="207"/>
        <v/>
      </c>
    </row>
    <row r="995" spans="1:43">
      <c r="A995">
        <v>994</v>
      </c>
      <c r="B995" t="s">
        <v>29</v>
      </c>
      <c r="C995" t="s">
        <v>1379</v>
      </c>
      <c r="D995" t="s">
        <v>1380</v>
      </c>
      <c r="E995" t="s">
        <v>97</v>
      </c>
      <c r="G995" t="s">
        <v>18</v>
      </c>
      <c r="H995" s="4">
        <v>36423000</v>
      </c>
      <c r="I995" s="5">
        <v>256</v>
      </c>
      <c r="J995" s="5">
        <v>0</v>
      </c>
      <c r="K995" s="5">
        <v>8</v>
      </c>
      <c r="L995">
        <v>6.6</v>
      </c>
      <c r="M995">
        <v>3.5</v>
      </c>
      <c r="N995">
        <v>5.92</v>
      </c>
      <c r="O995" s="6">
        <v>15.6</v>
      </c>
      <c r="P995" s="7">
        <v>2.2999999999999998</v>
      </c>
      <c r="U995" t="s">
        <v>84</v>
      </c>
      <c r="V995" t="s">
        <v>375</v>
      </c>
      <c r="W995">
        <v>2.2999999999999998</v>
      </c>
      <c r="X995" t="s">
        <v>84</v>
      </c>
      <c r="Y995" t="s">
        <v>130</v>
      </c>
      <c r="Z995" t="s">
        <v>100</v>
      </c>
      <c r="AA995" t="s">
        <v>101</v>
      </c>
      <c r="AB995" t="s">
        <v>115</v>
      </c>
      <c r="AC995">
        <v>1349</v>
      </c>
      <c r="AD995" s="8" t="b">
        <f>AND(
 H995&gt;=Filters!$B$3,
 H995&lt;=Filters!$B$4,
 I995&gt;=Filters!$B$5,
 OR(Filters!$B$6="All",B995=Filters!$B$6),
 F995&gt;=Filters!$B$7,
 F995&lt;=Filters!$B$8,
 OR(Filters!$B$9="All",G995=Filters!$B$9)
)</f>
        <v>0</v>
      </c>
      <c r="AE995">
        <f t="shared" si="195"/>
        <v>6</v>
      </c>
      <c r="AF995">
        <f t="shared" si="196"/>
        <v>7</v>
      </c>
      <c r="AG995">
        <f t="shared" si="197"/>
        <v>7</v>
      </c>
      <c r="AH995" s="9" t="str">
        <f t="shared" si="198"/>
        <v/>
      </c>
      <c r="AI995" s="9" t="str">
        <f t="shared" si="199"/>
        <v/>
      </c>
      <c r="AJ995" s="9" t="str">
        <f t="shared" si="200"/>
        <v/>
      </c>
      <c r="AK995" s="9" t="str">
        <f t="shared" si="201"/>
        <v/>
      </c>
      <c r="AL995" s="9" t="str">
        <f t="shared" si="202"/>
        <v/>
      </c>
      <c r="AM995" s="9" t="str">
        <f t="shared" si="203"/>
        <v/>
      </c>
      <c r="AN995" s="9" t="str">
        <f t="shared" si="204"/>
        <v/>
      </c>
      <c r="AO995" s="9" t="str">
        <f t="shared" si="205"/>
        <v/>
      </c>
      <c r="AP995" s="9" t="str">
        <f t="shared" si="206"/>
        <v/>
      </c>
      <c r="AQ995" s="10" t="str">
        <f t="shared" si="207"/>
        <v/>
      </c>
    </row>
    <row r="996" spans="1:43">
      <c r="A996">
        <v>995</v>
      </c>
      <c r="B996" t="s">
        <v>23</v>
      </c>
      <c r="C996" t="s">
        <v>1108</v>
      </c>
      <c r="D996" t="s">
        <v>1109</v>
      </c>
      <c r="E996" t="s">
        <v>168</v>
      </c>
      <c r="G996" t="s">
        <v>18</v>
      </c>
      <c r="H996" s="4">
        <v>24003000</v>
      </c>
      <c r="I996" s="5">
        <v>256</v>
      </c>
      <c r="J996" s="5">
        <v>0</v>
      </c>
      <c r="K996" s="5">
        <v>8</v>
      </c>
      <c r="L996">
        <v>7</v>
      </c>
      <c r="M996">
        <v>3.5</v>
      </c>
      <c r="N996">
        <v>6.26</v>
      </c>
      <c r="O996" s="6">
        <v>13.3</v>
      </c>
      <c r="P996" s="7">
        <v>1.68</v>
      </c>
      <c r="U996" t="s">
        <v>84</v>
      </c>
      <c r="V996" t="s">
        <v>98</v>
      </c>
      <c r="W996">
        <v>2.5</v>
      </c>
      <c r="X996" t="s">
        <v>84</v>
      </c>
      <c r="Y996" t="s">
        <v>99</v>
      </c>
      <c r="Z996" t="s">
        <v>100</v>
      </c>
      <c r="AA996" t="s">
        <v>169</v>
      </c>
      <c r="AB996" t="s">
        <v>115</v>
      </c>
      <c r="AC996">
        <v>889</v>
      </c>
      <c r="AD996" s="8" t="b">
        <f>AND(
 H996&gt;=Filters!$B$3,
 H996&lt;=Filters!$B$4,
 I996&gt;=Filters!$B$5,
 OR(Filters!$B$6="All",B996=Filters!$B$6),
 F996&gt;=Filters!$B$7,
 F996&lt;=Filters!$B$8,
 OR(Filters!$B$9="All",G996=Filters!$B$9)
)</f>
        <v>1</v>
      </c>
      <c r="AE996">
        <f t="shared" si="195"/>
        <v>6</v>
      </c>
      <c r="AF996">
        <f t="shared" si="196"/>
        <v>7</v>
      </c>
      <c r="AG996">
        <f t="shared" si="197"/>
        <v>7</v>
      </c>
      <c r="AH996" s="9">
        <f t="shared" si="198"/>
        <v>0.69047619047619047</v>
      </c>
      <c r="AI996" s="9">
        <f t="shared" si="199"/>
        <v>0.80952380952380942</v>
      </c>
      <c r="AJ996" s="9">
        <f t="shared" si="200"/>
        <v>0.27380952380952378</v>
      </c>
      <c r="AK996" s="9">
        <f t="shared" si="201"/>
        <v>0.60238095238095235</v>
      </c>
      <c r="AL996" s="9">
        <f t="shared" si="202"/>
        <v>0.94285714285714284</v>
      </c>
      <c r="AM996" s="9">
        <f t="shared" si="203"/>
        <v>0.5714285714285714</v>
      </c>
      <c r="AN996" s="9">
        <f t="shared" si="204"/>
        <v>0.69047619047619047</v>
      </c>
      <c r="AO996" s="9">
        <f t="shared" si="205"/>
        <v>0.69047619047619047</v>
      </c>
      <c r="AP996" s="9">
        <f t="shared" si="206"/>
        <v>0.67358868659936388</v>
      </c>
      <c r="AQ996" s="10">
        <f t="shared" si="207"/>
        <v>0.67358968259936391</v>
      </c>
    </row>
    <row r="997" spans="1:43">
      <c r="A997">
        <v>996</v>
      </c>
      <c r="B997" t="s">
        <v>21</v>
      </c>
      <c r="C997" t="s">
        <v>1381</v>
      </c>
      <c r="D997" t="s">
        <v>1382</v>
      </c>
      <c r="E997" t="s">
        <v>97</v>
      </c>
      <c r="G997" t="s">
        <v>18</v>
      </c>
      <c r="H997" s="4">
        <v>31050000</v>
      </c>
      <c r="I997" s="5">
        <v>256</v>
      </c>
      <c r="J997" s="5">
        <v>0</v>
      </c>
      <c r="K997" s="5">
        <v>8</v>
      </c>
      <c r="L997">
        <v>7</v>
      </c>
      <c r="M997">
        <v>3.5</v>
      </c>
      <c r="N997">
        <v>8.16</v>
      </c>
      <c r="O997" s="6">
        <v>13.3</v>
      </c>
      <c r="P997" s="7">
        <v>1.4</v>
      </c>
      <c r="U997" t="s">
        <v>84</v>
      </c>
      <c r="V997" t="s">
        <v>98</v>
      </c>
      <c r="W997">
        <v>2.5</v>
      </c>
      <c r="X997" t="s">
        <v>84</v>
      </c>
      <c r="Y997" t="s">
        <v>99</v>
      </c>
      <c r="Z997" t="s">
        <v>100</v>
      </c>
      <c r="AA997" t="s">
        <v>1345</v>
      </c>
      <c r="AB997" t="s">
        <v>115</v>
      </c>
      <c r="AC997">
        <v>1150</v>
      </c>
      <c r="AD997" s="8" t="b">
        <f>AND(
 H997&gt;=Filters!$B$3,
 H997&lt;=Filters!$B$4,
 I997&gt;=Filters!$B$5,
 OR(Filters!$B$6="All",B997=Filters!$B$6),
 F997&gt;=Filters!$B$7,
 F997&lt;=Filters!$B$8,
 OR(Filters!$B$9="All",G997=Filters!$B$9)
)</f>
        <v>0</v>
      </c>
      <c r="AE997">
        <f t="shared" si="195"/>
        <v>6</v>
      </c>
      <c r="AF997">
        <f t="shared" si="196"/>
        <v>7</v>
      </c>
      <c r="AG997">
        <f t="shared" si="197"/>
        <v>7</v>
      </c>
      <c r="AH997" s="9" t="str">
        <f t="shared" si="198"/>
        <v/>
      </c>
      <c r="AI997" s="9" t="str">
        <f t="shared" si="199"/>
        <v/>
      </c>
      <c r="AJ997" s="9" t="str">
        <f t="shared" si="200"/>
        <v/>
      </c>
      <c r="AK997" s="9" t="str">
        <f t="shared" si="201"/>
        <v/>
      </c>
      <c r="AL997" s="9" t="str">
        <f t="shared" si="202"/>
        <v/>
      </c>
      <c r="AM997" s="9" t="str">
        <f t="shared" si="203"/>
        <v/>
      </c>
      <c r="AN997" s="9" t="str">
        <f t="shared" si="204"/>
        <v/>
      </c>
      <c r="AO997" s="9" t="str">
        <f t="shared" si="205"/>
        <v/>
      </c>
      <c r="AP997" s="9" t="str">
        <f t="shared" si="206"/>
        <v/>
      </c>
      <c r="AQ997" s="10" t="str">
        <f t="shared" si="207"/>
        <v/>
      </c>
    </row>
    <row r="998" spans="1:43">
      <c r="A998">
        <v>997</v>
      </c>
      <c r="B998" t="s">
        <v>26</v>
      </c>
      <c r="C998" t="s">
        <v>1383</v>
      </c>
      <c r="D998" t="s">
        <v>1384</v>
      </c>
      <c r="E998" t="s">
        <v>83</v>
      </c>
      <c r="G998" t="s">
        <v>18</v>
      </c>
      <c r="H998" s="4">
        <v>36423000</v>
      </c>
      <c r="I998" s="5">
        <v>256</v>
      </c>
      <c r="J998" s="5">
        <v>0</v>
      </c>
      <c r="K998" s="5">
        <v>8</v>
      </c>
      <c r="L998">
        <v>9.4</v>
      </c>
      <c r="M998">
        <v>3.5</v>
      </c>
      <c r="N998">
        <v>6.67</v>
      </c>
      <c r="O998" s="6">
        <v>13.3</v>
      </c>
      <c r="P998" s="7">
        <v>1.1100000000000001</v>
      </c>
      <c r="U998" t="s">
        <v>84</v>
      </c>
      <c r="V998" t="s">
        <v>140</v>
      </c>
      <c r="W998">
        <v>2.7</v>
      </c>
      <c r="X998" t="s">
        <v>84</v>
      </c>
      <c r="Y998" t="s">
        <v>99</v>
      </c>
      <c r="Z998" t="s">
        <v>100</v>
      </c>
      <c r="AA998" t="s">
        <v>149</v>
      </c>
      <c r="AB998" t="s">
        <v>115</v>
      </c>
      <c r="AC998">
        <v>1349</v>
      </c>
      <c r="AD998" s="8" t="b">
        <f>AND(
 H998&gt;=Filters!$B$3,
 H998&lt;=Filters!$B$4,
 I998&gt;=Filters!$B$5,
 OR(Filters!$B$6="All",B998=Filters!$B$6),
 F998&gt;=Filters!$B$7,
 F998&lt;=Filters!$B$8,
 OR(Filters!$B$9="All",G998=Filters!$B$9)
)</f>
        <v>0</v>
      </c>
      <c r="AE998">
        <f t="shared" si="195"/>
        <v>6</v>
      </c>
      <c r="AF998">
        <f t="shared" si="196"/>
        <v>7</v>
      </c>
      <c r="AG998">
        <f t="shared" si="197"/>
        <v>7</v>
      </c>
      <c r="AH998" s="9" t="str">
        <f t="shared" si="198"/>
        <v/>
      </c>
      <c r="AI998" s="9" t="str">
        <f t="shared" si="199"/>
        <v/>
      </c>
      <c r="AJ998" s="9" t="str">
        <f t="shared" si="200"/>
        <v/>
      </c>
      <c r="AK998" s="9" t="str">
        <f t="shared" si="201"/>
        <v/>
      </c>
      <c r="AL998" s="9" t="str">
        <f t="shared" si="202"/>
        <v/>
      </c>
      <c r="AM998" s="9" t="str">
        <f t="shared" si="203"/>
        <v/>
      </c>
      <c r="AN998" s="9" t="str">
        <f t="shared" si="204"/>
        <v/>
      </c>
      <c r="AO998" s="9" t="str">
        <f t="shared" si="205"/>
        <v/>
      </c>
      <c r="AP998" s="9" t="str">
        <f t="shared" si="206"/>
        <v/>
      </c>
      <c r="AQ998" s="10" t="str">
        <f t="shared" si="207"/>
        <v/>
      </c>
    </row>
    <row r="999" spans="1:43">
      <c r="A999">
        <v>998</v>
      </c>
      <c r="B999" t="s">
        <v>17</v>
      </c>
      <c r="C999" t="s">
        <v>1385</v>
      </c>
      <c r="D999" t="s">
        <v>1386</v>
      </c>
      <c r="E999" t="s">
        <v>97</v>
      </c>
      <c r="G999" t="s">
        <v>18</v>
      </c>
      <c r="H999" s="4">
        <v>10260000</v>
      </c>
      <c r="I999" s="5">
        <v>0</v>
      </c>
      <c r="J999" s="5">
        <v>500</v>
      </c>
      <c r="K999" s="5">
        <v>4</v>
      </c>
      <c r="L999">
        <v>1.2</v>
      </c>
      <c r="M999">
        <v>3.5</v>
      </c>
      <c r="N999">
        <v>3.92</v>
      </c>
      <c r="O999" s="6">
        <v>15.6</v>
      </c>
      <c r="P999" s="7">
        <v>2.4</v>
      </c>
      <c r="U999" t="s">
        <v>84</v>
      </c>
      <c r="V999" t="s">
        <v>229</v>
      </c>
      <c r="W999">
        <v>1.1000000000000001</v>
      </c>
      <c r="X999" t="s">
        <v>84</v>
      </c>
      <c r="Y999" t="s">
        <v>418</v>
      </c>
      <c r="Z999" t="s">
        <v>113</v>
      </c>
      <c r="AA999" t="s">
        <v>114</v>
      </c>
      <c r="AB999" t="s">
        <v>115</v>
      </c>
      <c r="AC999">
        <v>380</v>
      </c>
      <c r="AD999" s="8" t="b">
        <f>AND(
 H999&gt;=Filters!$B$3,
 H999&lt;=Filters!$B$4,
 I999&gt;=Filters!$B$5,
 OR(Filters!$B$6="All",B999=Filters!$B$6),
 F999&gt;=Filters!$B$7,
 F999&lt;=Filters!$B$8,
 OR(Filters!$B$9="All",G999=Filters!$B$9)
)</f>
        <v>0</v>
      </c>
      <c r="AE999">
        <f t="shared" si="195"/>
        <v>6</v>
      </c>
      <c r="AF999">
        <f t="shared" si="196"/>
        <v>7</v>
      </c>
      <c r="AG999">
        <f t="shared" si="197"/>
        <v>7</v>
      </c>
      <c r="AH999" s="9" t="str">
        <f t="shared" si="198"/>
        <v/>
      </c>
      <c r="AI999" s="9" t="str">
        <f t="shared" si="199"/>
        <v/>
      </c>
      <c r="AJ999" s="9" t="str">
        <f t="shared" si="200"/>
        <v/>
      </c>
      <c r="AK999" s="9" t="str">
        <f t="shared" si="201"/>
        <v/>
      </c>
      <c r="AL999" s="9" t="str">
        <f t="shared" si="202"/>
        <v/>
      </c>
      <c r="AM999" s="9" t="str">
        <f t="shared" si="203"/>
        <v/>
      </c>
      <c r="AN999" s="9" t="str">
        <f t="shared" si="204"/>
        <v/>
      </c>
      <c r="AO999" s="9" t="str">
        <f t="shared" si="205"/>
        <v/>
      </c>
      <c r="AP999" s="9" t="str">
        <f t="shared" si="206"/>
        <v/>
      </c>
      <c r="AQ999" s="10" t="str">
        <f t="shared" si="207"/>
        <v/>
      </c>
    </row>
    <row r="1000" spans="1:43">
      <c r="A1000">
        <v>999</v>
      </c>
      <c r="B1000" t="s">
        <v>21</v>
      </c>
      <c r="C1000" t="s">
        <v>1387</v>
      </c>
      <c r="D1000" t="s">
        <v>1388</v>
      </c>
      <c r="E1000" t="s">
        <v>158</v>
      </c>
      <c r="G1000" t="s">
        <v>18</v>
      </c>
      <c r="H1000" s="4">
        <v>48573000</v>
      </c>
      <c r="I1000" s="5">
        <v>256</v>
      </c>
      <c r="J1000" s="5">
        <v>1024</v>
      </c>
      <c r="K1000" s="5">
        <v>16</v>
      </c>
      <c r="L1000">
        <v>9.6</v>
      </c>
      <c r="M1000">
        <v>9.1999999999999993</v>
      </c>
      <c r="N1000">
        <v>5.92</v>
      </c>
      <c r="O1000" s="6">
        <v>15.6</v>
      </c>
      <c r="P1000" s="7">
        <v>2.5</v>
      </c>
      <c r="U1000" t="s">
        <v>84</v>
      </c>
      <c r="V1000" t="s">
        <v>210</v>
      </c>
      <c r="W1000">
        <v>2.8</v>
      </c>
      <c r="X1000" t="s">
        <v>122</v>
      </c>
      <c r="Y1000" t="s">
        <v>260</v>
      </c>
      <c r="Z1000" t="s">
        <v>212</v>
      </c>
      <c r="AA1000" t="s">
        <v>101</v>
      </c>
      <c r="AB1000" t="s">
        <v>115</v>
      </c>
      <c r="AC1000">
        <v>1799</v>
      </c>
      <c r="AD1000" s="8" t="b">
        <f>AND(
 H1000&gt;=Filters!$B$3,
 H1000&lt;=Filters!$B$4,
 I1000&gt;=Filters!$B$5,
 OR(Filters!$B$6="All",B1000=Filters!$B$6),
 F1000&gt;=Filters!$B$7,
 F1000&lt;=Filters!$B$8,
 OR(Filters!$B$9="All",G1000=Filters!$B$9)
)</f>
        <v>0</v>
      </c>
      <c r="AE1000">
        <f t="shared" si="195"/>
        <v>6</v>
      </c>
      <c r="AF1000">
        <f t="shared" si="196"/>
        <v>7</v>
      </c>
      <c r="AG1000">
        <f t="shared" si="197"/>
        <v>7</v>
      </c>
      <c r="AH1000" s="9" t="str">
        <f t="shared" si="198"/>
        <v/>
      </c>
      <c r="AI1000" s="9" t="str">
        <f t="shared" si="199"/>
        <v/>
      </c>
      <c r="AJ1000" s="9" t="str">
        <f t="shared" si="200"/>
        <v/>
      </c>
      <c r="AK1000" s="9" t="str">
        <f t="shared" si="201"/>
        <v/>
      </c>
      <c r="AL1000" s="9" t="str">
        <f t="shared" si="202"/>
        <v/>
      </c>
      <c r="AM1000" s="9" t="str">
        <f t="shared" si="203"/>
        <v/>
      </c>
      <c r="AN1000" s="9" t="str">
        <f t="shared" si="204"/>
        <v/>
      </c>
      <c r="AO1000" s="9" t="str">
        <f t="shared" si="205"/>
        <v/>
      </c>
      <c r="AP1000" s="9" t="str">
        <f t="shared" si="206"/>
        <v/>
      </c>
      <c r="AQ1000" s="10" t="str">
        <f t="shared" si="207"/>
        <v/>
      </c>
    </row>
    <row r="1001" spans="1:43">
      <c r="A1001">
        <v>1000</v>
      </c>
      <c r="B1001" t="s">
        <v>26</v>
      </c>
      <c r="C1001" t="s">
        <v>398</v>
      </c>
      <c r="D1001" t="s">
        <v>399</v>
      </c>
      <c r="E1001" t="s">
        <v>83</v>
      </c>
      <c r="G1001" t="s">
        <v>18</v>
      </c>
      <c r="H1001" s="4">
        <v>56403000</v>
      </c>
      <c r="I1001" s="5">
        <v>512</v>
      </c>
      <c r="J1001" s="5">
        <v>0</v>
      </c>
      <c r="K1001" s="5">
        <v>8</v>
      </c>
      <c r="L1001">
        <v>9.4</v>
      </c>
      <c r="M1001">
        <v>3.5</v>
      </c>
      <c r="N1001">
        <v>6</v>
      </c>
      <c r="O1001" s="6">
        <v>14</v>
      </c>
      <c r="P1001" s="7">
        <v>1.48</v>
      </c>
      <c r="U1001" t="s">
        <v>84</v>
      </c>
      <c r="V1001" t="s">
        <v>140</v>
      </c>
      <c r="W1001">
        <v>2.7</v>
      </c>
      <c r="X1001" t="s">
        <v>84</v>
      </c>
      <c r="Y1001" t="s">
        <v>99</v>
      </c>
      <c r="Z1001" t="s">
        <v>106</v>
      </c>
      <c r="AA1001" t="s">
        <v>101</v>
      </c>
      <c r="AB1001" t="s">
        <v>115</v>
      </c>
      <c r="AC1001">
        <v>2089</v>
      </c>
      <c r="AD1001" s="8" t="b">
        <f>AND(
 H1001&gt;=Filters!$B$3,
 H1001&lt;=Filters!$B$4,
 I1001&gt;=Filters!$B$5,
 OR(Filters!$B$6="All",B1001=Filters!$B$6),
 F1001&gt;=Filters!$B$7,
 F1001&lt;=Filters!$B$8,
 OR(Filters!$B$9="All",G1001=Filters!$B$9)
)</f>
        <v>0</v>
      </c>
      <c r="AE1001">
        <f t="shared" si="195"/>
        <v>6</v>
      </c>
      <c r="AF1001">
        <f t="shared" si="196"/>
        <v>7</v>
      </c>
      <c r="AG1001">
        <f t="shared" si="197"/>
        <v>7</v>
      </c>
      <c r="AH1001" s="9" t="str">
        <f t="shared" si="198"/>
        <v/>
      </c>
      <c r="AI1001" s="9" t="str">
        <f t="shared" si="199"/>
        <v/>
      </c>
      <c r="AJ1001" s="9" t="str">
        <f t="shared" si="200"/>
        <v/>
      </c>
      <c r="AK1001" s="9" t="str">
        <f t="shared" si="201"/>
        <v/>
      </c>
      <c r="AL1001" s="9" t="str">
        <f t="shared" si="202"/>
        <v/>
      </c>
      <c r="AM1001" s="9" t="str">
        <f t="shared" si="203"/>
        <v/>
      </c>
      <c r="AN1001" s="9" t="str">
        <f t="shared" si="204"/>
        <v/>
      </c>
      <c r="AO1001" s="9" t="str">
        <f t="shared" si="205"/>
        <v/>
      </c>
      <c r="AP1001" s="9" t="str">
        <f t="shared" si="206"/>
        <v/>
      </c>
      <c r="AQ1001" s="10" t="str">
        <f t="shared" si="207"/>
        <v/>
      </c>
    </row>
    <row r="1002" spans="1:43">
      <c r="A1002">
        <v>1001</v>
      </c>
      <c r="B1002" t="s">
        <v>17</v>
      </c>
      <c r="C1002" t="s">
        <v>1389</v>
      </c>
      <c r="D1002" t="s">
        <v>1390</v>
      </c>
      <c r="E1002" t="s">
        <v>158</v>
      </c>
      <c r="G1002" t="s">
        <v>18</v>
      </c>
      <c r="H1002" s="4">
        <v>34020000</v>
      </c>
      <c r="I1002" s="5">
        <v>128</v>
      </c>
      <c r="J1002" s="5">
        <v>1024</v>
      </c>
      <c r="K1002" s="5">
        <v>8</v>
      </c>
      <c r="L1002">
        <v>9.6</v>
      </c>
      <c r="M1002">
        <v>9.1999999999999993</v>
      </c>
      <c r="N1002">
        <v>6.32</v>
      </c>
      <c r="O1002" s="6">
        <v>15.6</v>
      </c>
      <c r="P1002" s="7">
        <v>2.7</v>
      </c>
      <c r="U1002" t="s">
        <v>84</v>
      </c>
      <c r="V1002" t="s">
        <v>210</v>
      </c>
      <c r="W1002">
        <v>2.8</v>
      </c>
      <c r="X1002" t="s">
        <v>122</v>
      </c>
      <c r="Y1002" t="s">
        <v>160</v>
      </c>
      <c r="Z1002" t="s">
        <v>161</v>
      </c>
      <c r="AA1002" t="s">
        <v>128</v>
      </c>
      <c r="AB1002" t="s">
        <v>115</v>
      </c>
      <c r="AC1002">
        <v>1260</v>
      </c>
      <c r="AD1002" s="8" t="b">
        <f>AND(
 H1002&gt;=Filters!$B$3,
 H1002&lt;=Filters!$B$4,
 I1002&gt;=Filters!$B$5,
 OR(Filters!$B$6="All",B1002=Filters!$B$6),
 F1002&gt;=Filters!$B$7,
 F1002&lt;=Filters!$B$8,
 OR(Filters!$B$9="All",G1002=Filters!$B$9)
)</f>
        <v>0</v>
      </c>
      <c r="AE1002">
        <f t="shared" si="195"/>
        <v>6</v>
      </c>
      <c r="AF1002">
        <f t="shared" si="196"/>
        <v>7</v>
      </c>
      <c r="AG1002">
        <f t="shared" si="197"/>
        <v>7</v>
      </c>
      <c r="AH1002" s="9" t="str">
        <f t="shared" si="198"/>
        <v/>
      </c>
      <c r="AI1002" s="9" t="str">
        <f t="shared" si="199"/>
        <v/>
      </c>
      <c r="AJ1002" s="9" t="str">
        <f t="shared" si="200"/>
        <v/>
      </c>
      <c r="AK1002" s="9" t="str">
        <f t="shared" si="201"/>
        <v/>
      </c>
      <c r="AL1002" s="9" t="str">
        <f t="shared" si="202"/>
        <v/>
      </c>
      <c r="AM1002" s="9" t="str">
        <f t="shared" si="203"/>
        <v/>
      </c>
      <c r="AN1002" s="9" t="str">
        <f t="shared" si="204"/>
        <v/>
      </c>
      <c r="AO1002" s="9" t="str">
        <f t="shared" si="205"/>
        <v/>
      </c>
      <c r="AP1002" s="9" t="str">
        <f t="shared" si="206"/>
        <v/>
      </c>
      <c r="AQ1002" s="10" t="str">
        <f t="shared" si="207"/>
        <v/>
      </c>
    </row>
    <row r="1003" spans="1:43">
      <c r="A1003">
        <v>1002</v>
      </c>
      <c r="B1003" t="s">
        <v>26</v>
      </c>
      <c r="C1003" t="s">
        <v>1391</v>
      </c>
      <c r="D1003" t="s">
        <v>1392</v>
      </c>
      <c r="E1003" t="s">
        <v>97</v>
      </c>
      <c r="G1003" t="s">
        <v>18</v>
      </c>
      <c r="H1003" s="4">
        <v>32103000</v>
      </c>
      <c r="I1003" s="5">
        <v>256</v>
      </c>
      <c r="J1003" s="5">
        <v>0</v>
      </c>
      <c r="K1003" s="5">
        <v>8</v>
      </c>
      <c r="L1003">
        <v>7</v>
      </c>
      <c r="M1003">
        <v>3.5</v>
      </c>
      <c r="N1003">
        <v>6.37</v>
      </c>
      <c r="O1003" s="6">
        <v>13.3</v>
      </c>
      <c r="P1003" s="7">
        <v>1.34</v>
      </c>
      <c r="U1003" t="s">
        <v>84</v>
      </c>
      <c r="V1003" t="s">
        <v>98</v>
      </c>
      <c r="W1003">
        <v>2.5</v>
      </c>
      <c r="X1003" t="s">
        <v>84</v>
      </c>
      <c r="Y1003" t="s">
        <v>99</v>
      </c>
      <c r="Z1003" t="s">
        <v>100</v>
      </c>
      <c r="AA1003" t="s">
        <v>128</v>
      </c>
      <c r="AB1003" t="s">
        <v>115</v>
      </c>
      <c r="AC1003">
        <v>1189</v>
      </c>
      <c r="AD1003" s="8" t="b">
        <f>AND(
 H1003&gt;=Filters!$B$3,
 H1003&lt;=Filters!$B$4,
 I1003&gt;=Filters!$B$5,
 OR(Filters!$B$6="All",B1003=Filters!$B$6),
 F1003&gt;=Filters!$B$7,
 F1003&lt;=Filters!$B$8,
 OR(Filters!$B$9="All",G1003=Filters!$B$9)
)</f>
        <v>0</v>
      </c>
      <c r="AE1003">
        <f t="shared" si="195"/>
        <v>6</v>
      </c>
      <c r="AF1003">
        <f t="shared" si="196"/>
        <v>7</v>
      </c>
      <c r="AG1003">
        <f t="shared" si="197"/>
        <v>7</v>
      </c>
      <c r="AH1003" s="9" t="str">
        <f t="shared" si="198"/>
        <v/>
      </c>
      <c r="AI1003" s="9" t="str">
        <f t="shared" si="199"/>
        <v/>
      </c>
      <c r="AJ1003" s="9" t="str">
        <f t="shared" si="200"/>
        <v/>
      </c>
      <c r="AK1003" s="9" t="str">
        <f t="shared" si="201"/>
        <v/>
      </c>
      <c r="AL1003" s="9" t="str">
        <f t="shared" si="202"/>
        <v/>
      </c>
      <c r="AM1003" s="9" t="str">
        <f t="shared" si="203"/>
        <v/>
      </c>
      <c r="AN1003" s="9" t="str">
        <f t="shared" si="204"/>
        <v/>
      </c>
      <c r="AO1003" s="9" t="str">
        <f t="shared" si="205"/>
        <v/>
      </c>
      <c r="AP1003" s="9" t="str">
        <f t="shared" si="206"/>
        <v/>
      </c>
      <c r="AQ1003" s="10" t="str">
        <f t="shared" si="207"/>
        <v/>
      </c>
    </row>
    <row r="1004" spans="1:43">
      <c r="A1004">
        <v>1003</v>
      </c>
      <c r="B1004" t="s">
        <v>23</v>
      </c>
      <c r="C1004" t="s">
        <v>540</v>
      </c>
      <c r="D1004" t="s">
        <v>541</v>
      </c>
      <c r="E1004" t="s">
        <v>97</v>
      </c>
      <c r="G1004" t="s">
        <v>18</v>
      </c>
      <c r="H1004" s="4">
        <v>14769000</v>
      </c>
      <c r="I1004" s="5">
        <v>128</v>
      </c>
      <c r="J1004" s="5">
        <v>0</v>
      </c>
      <c r="K1004" s="5">
        <v>4</v>
      </c>
      <c r="L1004">
        <v>4.8</v>
      </c>
      <c r="M1004">
        <v>3.5</v>
      </c>
      <c r="N1004">
        <v>3.92</v>
      </c>
      <c r="O1004" s="6">
        <v>15.6</v>
      </c>
      <c r="P1004" s="7">
        <v>2.1800000000000002</v>
      </c>
      <c r="U1004" t="s">
        <v>84</v>
      </c>
      <c r="V1004" t="s">
        <v>144</v>
      </c>
      <c r="W1004">
        <v>2.4</v>
      </c>
      <c r="X1004" t="s">
        <v>84</v>
      </c>
      <c r="Y1004" t="s">
        <v>99</v>
      </c>
      <c r="Z1004" t="s">
        <v>87</v>
      </c>
      <c r="AA1004" t="s">
        <v>114</v>
      </c>
      <c r="AB1004" t="s">
        <v>115</v>
      </c>
      <c r="AC1004">
        <v>547</v>
      </c>
      <c r="AD1004" s="8" t="b">
        <f>AND(
 H1004&gt;=Filters!$B$3,
 H1004&lt;=Filters!$B$4,
 I1004&gt;=Filters!$B$5,
 OR(Filters!$B$6="All",B1004=Filters!$B$6),
 F1004&gt;=Filters!$B$7,
 F1004&lt;=Filters!$B$8,
 OR(Filters!$B$9="All",G1004=Filters!$B$9)
)</f>
        <v>0</v>
      </c>
      <c r="AE1004">
        <f t="shared" si="195"/>
        <v>6</v>
      </c>
      <c r="AF1004">
        <f t="shared" si="196"/>
        <v>7</v>
      </c>
      <c r="AG1004">
        <f t="shared" si="197"/>
        <v>7</v>
      </c>
      <c r="AH1004" s="9" t="str">
        <f t="shared" si="198"/>
        <v/>
      </c>
      <c r="AI1004" s="9" t="str">
        <f t="shared" si="199"/>
        <v/>
      </c>
      <c r="AJ1004" s="9" t="str">
        <f t="shared" si="200"/>
        <v/>
      </c>
      <c r="AK1004" s="9" t="str">
        <f t="shared" si="201"/>
        <v/>
      </c>
      <c r="AL1004" s="9" t="str">
        <f t="shared" si="202"/>
        <v/>
      </c>
      <c r="AM1004" s="9" t="str">
        <f t="shared" si="203"/>
        <v/>
      </c>
      <c r="AN1004" s="9" t="str">
        <f t="shared" si="204"/>
        <v/>
      </c>
      <c r="AO1004" s="9" t="str">
        <f t="shared" si="205"/>
        <v/>
      </c>
      <c r="AP1004" s="9" t="str">
        <f t="shared" si="206"/>
        <v/>
      </c>
      <c r="AQ1004" s="10" t="str">
        <f t="shared" si="207"/>
        <v/>
      </c>
    </row>
    <row r="1005" spans="1:43">
      <c r="A1005">
        <v>1004</v>
      </c>
      <c r="B1005" t="s">
        <v>26</v>
      </c>
      <c r="C1005" t="s">
        <v>336</v>
      </c>
      <c r="D1005" t="s">
        <v>337</v>
      </c>
      <c r="E1005" t="s">
        <v>97</v>
      </c>
      <c r="G1005" t="s">
        <v>18</v>
      </c>
      <c r="H1005" s="4">
        <v>21033000</v>
      </c>
      <c r="I1005" s="5">
        <v>0</v>
      </c>
      <c r="J1005" s="5">
        <v>500</v>
      </c>
      <c r="K1005" s="5">
        <v>4</v>
      </c>
      <c r="L1005">
        <v>7</v>
      </c>
      <c r="M1005">
        <v>3.5</v>
      </c>
      <c r="N1005">
        <v>4</v>
      </c>
      <c r="O1005" s="6">
        <v>14</v>
      </c>
      <c r="P1005" s="7">
        <v>1.64</v>
      </c>
      <c r="U1005" t="s">
        <v>84</v>
      </c>
      <c r="V1005" t="s">
        <v>98</v>
      </c>
      <c r="W1005">
        <v>2.5</v>
      </c>
      <c r="X1005" t="s">
        <v>84</v>
      </c>
      <c r="Y1005" t="s">
        <v>99</v>
      </c>
      <c r="Z1005" t="s">
        <v>113</v>
      </c>
      <c r="AA1005" t="s">
        <v>114</v>
      </c>
      <c r="AB1005" t="s">
        <v>115</v>
      </c>
      <c r="AC1005">
        <v>779</v>
      </c>
      <c r="AD1005" s="8" t="b">
        <f>AND(
 H1005&gt;=Filters!$B$3,
 H1005&lt;=Filters!$B$4,
 I1005&gt;=Filters!$B$5,
 OR(Filters!$B$6="All",B1005=Filters!$B$6),
 F1005&gt;=Filters!$B$7,
 F1005&lt;=Filters!$B$8,
 OR(Filters!$B$9="All",G1005=Filters!$B$9)
)</f>
        <v>0</v>
      </c>
      <c r="AE1005">
        <f t="shared" si="195"/>
        <v>6</v>
      </c>
      <c r="AF1005">
        <f t="shared" si="196"/>
        <v>7</v>
      </c>
      <c r="AG1005">
        <f t="shared" si="197"/>
        <v>7</v>
      </c>
      <c r="AH1005" s="9" t="str">
        <f t="shared" si="198"/>
        <v/>
      </c>
      <c r="AI1005" s="9" t="str">
        <f t="shared" si="199"/>
        <v/>
      </c>
      <c r="AJ1005" s="9" t="str">
        <f t="shared" si="200"/>
        <v/>
      </c>
      <c r="AK1005" s="9" t="str">
        <f t="shared" si="201"/>
        <v/>
      </c>
      <c r="AL1005" s="9" t="str">
        <f t="shared" si="202"/>
        <v/>
      </c>
      <c r="AM1005" s="9" t="str">
        <f t="shared" si="203"/>
        <v/>
      </c>
      <c r="AN1005" s="9" t="str">
        <f t="shared" si="204"/>
        <v/>
      </c>
      <c r="AO1005" s="9" t="str">
        <f t="shared" si="205"/>
        <v/>
      </c>
      <c r="AP1005" s="9" t="str">
        <f t="shared" si="206"/>
        <v/>
      </c>
      <c r="AQ1005" s="10" t="str">
        <f t="shared" si="207"/>
        <v/>
      </c>
    </row>
    <row r="1006" spans="1:43">
      <c r="A1006">
        <v>1005</v>
      </c>
      <c r="B1006" t="s">
        <v>35</v>
      </c>
      <c r="C1006" t="s">
        <v>1393</v>
      </c>
      <c r="D1006" t="s">
        <v>1394</v>
      </c>
      <c r="E1006" t="s">
        <v>97</v>
      </c>
      <c r="G1006" t="s">
        <v>18</v>
      </c>
      <c r="H1006" s="4">
        <v>32265000</v>
      </c>
      <c r="I1006" s="5">
        <v>128</v>
      </c>
      <c r="J1006" s="5">
        <v>0</v>
      </c>
      <c r="K1006" s="5">
        <v>4</v>
      </c>
      <c r="L1006">
        <v>6.6</v>
      </c>
      <c r="M1006">
        <v>3.5</v>
      </c>
      <c r="N1006">
        <v>5.96</v>
      </c>
      <c r="O1006" s="6">
        <v>13.3</v>
      </c>
      <c r="P1006" s="7">
        <v>1.2</v>
      </c>
      <c r="U1006" t="s">
        <v>84</v>
      </c>
      <c r="V1006" t="s">
        <v>375</v>
      </c>
      <c r="W1006">
        <v>2.2999999999999998</v>
      </c>
      <c r="X1006" t="s">
        <v>84</v>
      </c>
      <c r="Y1006" t="s">
        <v>130</v>
      </c>
      <c r="Z1006" t="s">
        <v>87</v>
      </c>
      <c r="AA1006" t="s">
        <v>101</v>
      </c>
      <c r="AB1006" t="s">
        <v>115</v>
      </c>
      <c r="AC1006">
        <v>1195</v>
      </c>
      <c r="AD1006" s="8" t="b">
        <f>AND(
 H1006&gt;=Filters!$B$3,
 H1006&lt;=Filters!$B$4,
 I1006&gt;=Filters!$B$5,
 OR(Filters!$B$6="All",B1006=Filters!$B$6),
 F1006&gt;=Filters!$B$7,
 F1006&lt;=Filters!$B$8,
 OR(Filters!$B$9="All",G1006=Filters!$B$9)
)</f>
        <v>0</v>
      </c>
      <c r="AE1006">
        <f t="shared" si="195"/>
        <v>6</v>
      </c>
      <c r="AF1006">
        <f t="shared" si="196"/>
        <v>7</v>
      </c>
      <c r="AG1006">
        <f t="shared" si="197"/>
        <v>7</v>
      </c>
      <c r="AH1006" s="9" t="str">
        <f t="shared" si="198"/>
        <v/>
      </c>
      <c r="AI1006" s="9" t="str">
        <f t="shared" si="199"/>
        <v/>
      </c>
      <c r="AJ1006" s="9" t="str">
        <f t="shared" si="200"/>
        <v/>
      </c>
      <c r="AK1006" s="9" t="str">
        <f t="shared" si="201"/>
        <v/>
      </c>
      <c r="AL1006" s="9" t="str">
        <f t="shared" si="202"/>
        <v/>
      </c>
      <c r="AM1006" s="9" t="str">
        <f t="shared" si="203"/>
        <v/>
      </c>
      <c r="AN1006" s="9" t="str">
        <f t="shared" si="204"/>
        <v/>
      </c>
      <c r="AO1006" s="9" t="str">
        <f t="shared" si="205"/>
        <v/>
      </c>
      <c r="AP1006" s="9" t="str">
        <f t="shared" si="206"/>
        <v/>
      </c>
      <c r="AQ1006" s="10" t="str">
        <f t="shared" si="207"/>
        <v/>
      </c>
    </row>
    <row r="1007" spans="1:43">
      <c r="A1007">
        <v>1006</v>
      </c>
      <c r="B1007" t="s">
        <v>26</v>
      </c>
      <c r="C1007" t="s">
        <v>632</v>
      </c>
      <c r="D1007" t="s">
        <v>399</v>
      </c>
      <c r="E1007" t="s">
        <v>97</v>
      </c>
      <c r="G1007" t="s">
        <v>18</v>
      </c>
      <c r="H1007" s="4">
        <v>29699730</v>
      </c>
      <c r="I1007" s="5">
        <v>256</v>
      </c>
      <c r="J1007" s="5">
        <v>0</v>
      </c>
      <c r="K1007" s="5">
        <v>4</v>
      </c>
      <c r="L1007">
        <v>6.8</v>
      </c>
      <c r="M1007">
        <v>3.5</v>
      </c>
      <c r="N1007">
        <v>4</v>
      </c>
      <c r="O1007" s="6">
        <v>14</v>
      </c>
      <c r="P1007" s="7">
        <v>1.48</v>
      </c>
      <c r="U1007" t="s">
        <v>84</v>
      </c>
      <c r="V1007" t="s">
        <v>1024</v>
      </c>
      <c r="W1007">
        <v>2.4</v>
      </c>
      <c r="X1007" t="s">
        <v>84</v>
      </c>
      <c r="Y1007" t="s">
        <v>130</v>
      </c>
      <c r="Z1007" t="s">
        <v>100</v>
      </c>
      <c r="AA1007" t="s">
        <v>114</v>
      </c>
      <c r="AB1007" t="s">
        <v>115</v>
      </c>
      <c r="AC1007">
        <v>1099.99</v>
      </c>
      <c r="AD1007" s="8" t="b">
        <f>AND(
 H1007&gt;=Filters!$B$3,
 H1007&lt;=Filters!$B$4,
 I1007&gt;=Filters!$B$5,
 OR(Filters!$B$6="All",B1007=Filters!$B$6),
 F1007&gt;=Filters!$B$7,
 F1007&lt;=Filters!$B$8,
 OR(Filters!$B$9="All",G1007=Filters!$B$9)
)</f>
        <v>0</v>
      </c>
      <c r="AE1007">
        <f t="shared" si="195"/>
        <v>6</v>
      </c>
      <c r="AF1007">
        <f t="shared" si="196"/>
        <v>7</v>
      </c>
      <c r="AG1007">
        <f t="shared" si="197"/>
        <v>7</v>
      </c>
      <c r="AH1007" s="9" t="str">
        <f t="shared" si="198"/>
        <v/>
      </c>
      <c r="AI1007" s="9" t="str">
        <f t="shared" si="199"/>
        <v/>
      </c>
      <c r="AJ1007" s="9" t="str">
        <f t="shared" si="200"/>
        <v/>
      </c>
      <c r="AK1007" s="9" t="str">
        <f t="shared" si="201"/>
        <v/>
      </c>
      <c r="AL1007" s="9" t="str">
        <f t="shared" si="202"/>
        <v/>
      </c>
      <c r="AM1007" s="9" t="str">
        <f t="shared" si="203"/>
        <v/>
      </c>
      <c r="AN1007" s="9" t="str">
        <f t="shared" si="204"/>
        <v/>
      </c>
      <c r="AO1007" s="9" t="str">
        <f t="shared" si="205"/>
        <v/>
      </c>
      <c r="AP1007" s="9" t="str">
        <f t="shared" si="206"/>
        <v/>
      </c>
      <c r="AQ1007" s="10" t="str">
        <f t="shared" si="207"/>
        <v/>
      </c>
    </row>
    <row r="1008" spans="1:43">
      <c r="A1008">
        <v>1007</v>
      </c>
      <c r="B1008" t="s">
        <v>26</v>
      </c>
      <c r="C1008" t="s">
        <v>607</v>
      </c>
      <c r="D1008" t="s">
        <v>608</v>
      </c>
      <c r="E1008" t="s">
        <v>97</v>
      </c>
      <c r="G1008" t="s">
        <v>18</v>
      </c>
      <c r="H1008" s="4">
        <v>32535000</v>
      </c>
      <c r="I1008" s="5">
        <v>256</v>
      </c>
      <c r="J1008" s="5">
        <v>0</v>
      </c>
      <c r="K1008" s="5">
        <v>4</v>
      </c>
      <c r="L1008">
        <v>7</v>
      </c>
      <c r="M1008">
        <v>3.5</v>
      </c>
      <c r="N1008">
        <v>6</v>
      </c>
      <c r="O1008" s="6">
        <v>14</v>
      </c>
      <c r="P1008" s="7">
        <v>1.95</v>
      </c>
      <c r="U1008" t="s">
        <v>84</v>
      </c>
      <c r="V1008" t="s">
        <v>98</v>
      </c>
      <c r="W1008">
        <v>2.5</v>
      </c>
      <c r="X1008" t="s">
        <v>84</v>
      </c>
      <c r="Y1008" t="s">
        <v>99</v>
      </c>
      <c r="Z1008" t="s">
        <v>100</v>
      </c>
      <c r="AA1008" t="s">
        <v>101</v>
      </c>
      <c r="AB1008" t="s">
        <v>115</v>
      </c>
      <c r="AC1008">
        <v>1205</v>
      </c>
      <c r="AD1008" s="8" t="b">
        <f>AND(
 H1008&gt;=Filters!$B$3,
 H1008&lt;=Filters!$B$4,
 I1008&gt;=Filters!$B$5,
 OR(Filters!$B$6="All",B1008=Filters!$B$6),
 F1008&gt;=Filters!$B$7,
 F1008&lt;=Filters!$B$8,
 OR(Filters!$B$9="All",G1008=Filters!$B$9)
)</f>
        <v>0</v>
      </c>
      <c r="AE1008">
        <f t="shared" si="195"/>
        <v>6</v>
      </c>
      <c r="AF1008">
        <f t="shared" si="196"/>
        <v>7</v>
      </c>
      <c r="AG1008">
        <f t="shared" si="197"/>
        <v>7</v>
      </c>
      <c r="AH1008" s="9" t="str">
        <f t="shared" si="198"/>
        <v/>
      </c>
      <c r="AI1008" s="9" t="str">
        <f t="shared" si="199"/>
        <v/>
      </c>
      <c r="AJ1008" s="9" t="str">
        <f t="shared" si="200"/>
        <v/>
      </c>
      <c r="AK1008" s="9" t="str">
        <f t="shared" si="201"/>
        <v/>
      </c>
      <c r="AL1008" s="9" t="str">
        <f t="shared" si="202"/>
        <v/>
      </c>
      <c r="AM1008" s="9" t="str">
        <f t="shared" si="203"/>
        <v/>
      </c>
      <c r="AN1008" s="9" t="str">
        <f t="shared" si="204"/>
        <v/>
      </c>
      <c r="AO1008" s="9" t="str">
        <f t="shared" si="205"/>
        <v/>
      </c>
      <c r="AP1008" s="9" t="str">
        <f t="shared" si="206"/>
        <v/>
      </c>
      <c r="AQ1008" s="10" t="str">
        <f t="shared" si="207"/>
        <v/>
      </c>
    </row>
    <row r="1009" spans="1:43">
      <c r="A1009">
        <v>1008</v>
      </c>
      <c r="B1009" t="s">
        <v>26</v>
      </c>
      <c r="C1009" t="s">
        <v>728</v>
      </c>
      <c r="D1009" t="s">
        <v>729</v>
      </c>
      <c r="E1009" t="s">
        <v>83</v>
      </c>
      <c r="G1009" t="s">
        <v>18</v>
      </c>
      <c r="H1009" s="4">
        <v>39123000</v>
      </c>
      <c r="I1009" s="5">
        <v>256</v>
      </c>
      <c r="J1009" s="5">
        <v>0</v>
      </c>
      <c r="K1009" s="5">
        <v>8</v>
      </c>
      <c r="L1009">
        <v>9.1999999999999993</v>
      </c>
      <c r="M1009">
        <v>3.5</v>
      </c>
      <c r="N1009">
        <v>6</v>
      </c>
      <c r="O1009" s="6">
        <v>14</v>
      </c>
      <c r="P1009" s="7">
        <v>1.43</v>
      </c>
      <c r="U1009" t="s">
        <v>84</v>
      </c>
      <c r="V1009" t="s">
        <v>548</v>
      </c>
      <c r="W1009">
        <v>2.6</v>
      </c>
      <c r="X1009" t="s">
        <v>84</v>
      </c>
      <c r="Y1009" t="s">
        <v>130</v>
      </c>
      <c r="Z1009" t="s">
        <v>100</v>
      </c>
      <c r="AA1009" t="s">
        <v>101</v>
      </c>
      <c r="AB1009" t="s">
        <v>869</v>
      </c>
      <c r="AC1009">
        <v>1449</v>
      </c>
      <c r="AD1009" s="8" t="b">
        <f>AND(
 H1009&gt;=Filters!$B$3,
 H1009&lt;=Filters!$B$4,
 I1009&gt;=Filters!$B$5,
 OR(Filters!$B$6="All",B1009=Filters!$B$6),
 F1009&gt;=Filters!$B$7,
 F1009&lt;=Filters!$B$8,
 OR(Filters!$B$9="All",G1009=Filters!$B$9)
)</f>
        <v>0</v>
      </c>
      <c r="AE1009">
        <f t="shared" si="195"/>
        <v>6</v>
      </c>
      <c r="AF1009">
        <f t="shared" si="196"/>
        <v>7</v>
      </c>
      <c r="AG1009">
        <f t="shared" si="197"/>
        <v>7</v>
      </c>
      <c r="AH1009" s="9" t="str">
        <f t="shared" si="198"/>
        <v/>
      </c>
      <c r="AI1009" s="9" t="str">
        <f t="shared" si="199"/>
        <v/>
      </c>
      <c r="AJ1009" s="9" t="str">
        <f t="shared" si="200"/>
        <v/>
      </c>
      <c r="AK1009" s="9" t="str">
        <f t="shared" si="201"/>
        <v/>
      </c>
      <c r="AL1009" s="9" t="str">
        <f t="shared" si="202"/>
        <v/>
      </c>
      <c r="AM1009" s="9" t="str">
        <f t="shared" si="203"/>
        <v/>
      </c>
      <c r="AN1009" s="9" t="str">
        <f t="shared" si="204"/>
        <v/>
      </c>
      <c r="AO1009" s="9" t="str">
        <f t="shared" si="205"/>
        <v/>
      </c>
      <c r="AP1009" s="9" t="str">
        <f t="shared" si="206"/>
        <v/>
      </c>
      <c r="AQ1009" s="10" t="str">
        <f t="shared" si="207"/>
        <v/>
      </c>
    </row>
    <row r="1010" spans="1:43">
      <c r="A1010">
        <v>1009</v>
      </c>
      <c r="B1010" t="s">
        <v>26</v>
      </c>
      <c r="C1010" t="s">
        <v>287</v>
      </c>
      <c r="D1010" t="s">
        <v>288</v>
      </c>
      <c r="E1010" t="s">
        <v>97</v>
      </c>
      <c r="G1010" t="s">
        <v>18</v>
      </c>
      <c r="H1010" s="4">
        <v>28330020</v>
      </c>
      <c r="I1010" s="5">
        <v>256</v>
      </c>
      <c r="J1010" s="5">
        <v>0</v>
      </c>
      <c r="K1010" s="5">
        <v>8</v>
      </c>
      <c r="L1010">
        <v>7</v>
      </c>
      <c r="M1010">
        <v>6.5</v>
      </c>
      <c r="N1010">
        <v>6</v>
      </c>
      <c r="O1010" s="6">
        <v>14</v>
      </c>
      <c r="P1010" s="7">
        <v>1.64</v>
      </c>
      <c r="U1010" t="s">
        <v>84</v>
      </c>
      <c r="V1010" t="s">
        <v>98</v>
      </c>
      <c r="W1010">
        <v>2.5</v>
      </c>
      <c r="X1010" t="s">
        <v>122</v>
      </c>
      <c r="Y1010" t="s">
        <v>183</v>
      </c>
      <c r="Z1010" t="s">
        <v>100</v>
      </c>
      <c r="AA1010" t="s">
        <v>101</v>
      </c>
      <c r="AB1010" t="s">
        <v>115</v>
      </c>
      <c r="AC1010">
        <v>1049.26</v>
      </c>
      <c r="AD1010" s="8" t="b">
        <f>AND(
 H1010&gt;=Filters!$B$3,
 H1010&lt;=Filters!$B$4,
 I1010&gt;=Filters!$B$5,
 OR(Filters!$B$6="All",B1010=Filters!$B$6),
 F1010&gt;=Filters!$B$7,
 F1010&lt;=Filters!$B$8,
 OR(Filters!$B$9="All",G1010=Filters!$B$9)
)</f>
        <v>0</v>
      </c>
      <c r="AE1010">
        <f t="shared" si="195"/>
        <v>6</v>
      </c>
      <c r="AF1010">
        <f t="shared" si="196"/>
        <v>7</v>
      </c>
      <c r="AG1010">
        <f t="shared" si="197"/>
        <v>7</v>
      </c>
      <c r="AH1010" s="9" t="str">
        <f t="shared" si="198"/>
        <v/>
      </c>
      <c r="AI1010" s="9" t="str">
        <f t="shared" si="199"/>
        <v/>
      </c>
      <c r="AJ1010" s="9" t="str">
        <f t="shared" si="200"/>
        <v/>
      </c>
      <c r="AK1010" s="9" t="str">
        <f t="shared" si="201"/>
        <v/>
      </c>
      <c r="AL1010" s="9" t="str">
        <f t="shared" si="202"/>
        <v/>
      </c>
      <c r="AM1010" s="9" t="str">
        <f t="shared" si="203"/>
        <v/>
      </c>
      <c r="AN1010" s="9" t="str">
        <f t="shared" si="204"/>
        <v/>
      </c>
      <c r="AO1010" s="9" t="str">
        <f t="shared" si="205"/>
        <v/>
      </c>
      <c r="AP1010" s="9" t="str">
        <f t="shared" si="206"/>
        <v/>
      </c>
      <c r="AQ1010" s="10" t="str">
        <f t="shared" si="207"/>
        <v/>
      </c>
    </row>
    <row r="1011" spans="1:43">
      <c r="A1011">
        <v>1010</v>
      </c>
      <c r="B1011" t="s">
        <v>26</v>
      </c>
      <c r="C1011" t="s">
        <v>336</v>
      </c>
      <c r="D1011" t="s">
        <v>337</v>
      </c>
      <c r="E1011" t="s">
        <v>97</v>
      </c>
      <c r="G1011" t="s">
        <v>18</v>
      </c>
      <c r="H1011" s="4">
        <v>18468000</v>
      </c>
      <c r="I1011" s="5">
        <v>0</v>
      </c>
      <c r="J1011" s="5">
        <v>500</v>
      </c>
      <c r="K1011" s="5">
        <v>4</v>
      </c>
      <c r="L1011">
        <v>4.8</v>
      </c>
      <c r="M1011">
        <v>3.5</v>
      </c>
      <c r="N1011">
        <v>4</v>
      </c>
      <c r="O1011" s="6">
        <v>14</v>
      </c>
      <c r="P1011" s="7">
        <v>1.64</v>
      </c>
      <c r="U1011" t="s">
        <v>84</v>
      </c>
      <c r="V1011" t="s">
        <v>144</v>
      </c>
      <c r="W1011">
        <v>2.4</v>
      </c>
      <c r="X1011" t="s">
        <v>84</v>
      </c>
      <c r="Y1011" t="s">
        <v>99</v>
      </c>
      <c r="Z1011" t="s">
        <v>113</v>
      </c>
      <c r="AA1011" t="s">
        <v>114</v>
      </c>
      <c r="AB1011" t="s">
        <v>115</v>
      </c>
      <c r="AC1011">
        <v>684</v>
      </c>
      <c r="AD1011" s="8" t="b">
        <f>AND(
 H1011&gt;=Filters!$B$3,
 H1011&lt;=Filters!$B$4,
 I1011&gt;=Filters!$B$5,
 OR(Filters!$B$6="All",B1011=Filters!$B$6),
 F1011&gt;=Filters!$B$7,
 F1011&lt;=Filters!$B$8,
 OR(Filters!$B$9="All",G1011=Filters!$B$9)
)</f>
        <v>0</v>
      </c>
      <c r="AE1011">
        <f t="shared" si="195"/>
        <v>6</v>
      </c>
      <c r="AF1011">
        <f t="shared" si="196"/>
        <v>7</v>
      </c>
      <c r="AG1011">
        <f t="shared" si="197"/>
        <v>7</v>
      </c>
      <c r="AH1011" s="9" t="str">
        <f t="shared" si="198"/>
        <v/>
      </c>
      <c r="AI1011" s="9" t="str">
        <f t="shared" si="199"/>
        <v/>
      </c>
      <c r="AJ1011" s="9" t="str">
        <f t="shared" si="200"/>
        <v/>
      </c>
      <c r="AK1011" s="9" t="str">
        <f t="shared" si="201"/>
        <v/>
      </c>
      <c r="AL1011" s="9" t="str">
        <f t="shared" si="202"/>
        <v/>
      </c>
      <c r="AM1011" s="9" t="str">
        <f t="shared" si="203"/>
        <v/>
      </c>
      <c r="AN1011" s="9" t="str">
        <f t="shared" si="204"/>
        <v/>
      </c>
      <c r="AO1011" s="9" t="str">
        <f t="shared" si="205"/>
        <v/>
      </c>
      <c r="AP1011" s="9" t="str">
        <f t="shared" si="206"/>
        <v/>
      </c>
      <c r="AQ1011" s="10" t="str">
        <f t="shared" si="207"/>
        <v/>
      </c>
    </row>
    <row r="1012" spans="1:43">
      <c r="A1012">
        <v>1011</v>
      </c>
      <c r="B1012" t="s">
        <v>23</v>
      </c>
      <c r="C1012" t="s">
        <v>391</v>
      </c>
      <c r="D1012" t="s">
        <v>392</v>
      </c>
      <c r="E1012" t="s">
        <v>158</v>
      </c>
      <c r="G1012" t="s">
        <v>18</v>
      </c>
      <c r="H1012" s="4">
        <v>25623000</v>
      </c>
      <c r="I1012" s="5">
        <v>0</v>
      </c>
      <c r="J1012" s="5">
        <v>0</v>
      </c>
      <c r="K1012" s="5">
        <v>8</v>
      </c>
      <c r="L1012">
        <v>7</v>
      </c>
      <c r="M1012">
        <v>9.1999999999999993</v>
      </c>
      <c r="N1012">
        <v>5.92</v>
      </c>
      <c r="O1012" s="6">
        <v>15.6</v>
      </c>
      <c r="P1012" s="7">
        <v>2.65</v>
      </c>
      <c r="U1012" t="s">
        <v>84</v>
      </c>
      <c r="V1012" t="s">
        <v>159</v>
      </c>
      <c r="W1012">
        <v>2.5</v>
      </c>
      <c r="X1012" t="s">
        <v>122</v>
      </c>
      <c r="Y1012" t="s">
        <v>160</v>
      </c>
      <c r="Z1012" t="s">
        <v>393</v>
      </c>
      <c r="AA1012" t="s">
        <v>101</v>
      </c>
      <c r="AB1012" t="s">
        <v>115</v>
      </c>
      <c r="AC1012">
        <v>949</v>
      </c>
      <c r="AD1012" s="8" t="b">
        <f>AND(
 H1012&gt;=Filters!$B$3,
 H1012&lt;=Filters!$B$4,
 I1012&gt;=Filters!$B$5,
 OR(Filters!$B$6="All",B1012=Filters!$B$6),
 F1012&gt;=Filters!$B$7,
 F1012&lt;=Filters!$B$8,
 OR(Filters!$B$9="All",G1012=Filters!$B$9)
)</f>
        <v>0</v>
      </c>
      <c r="AE1012">
        <f t="shared" si="195"/>
        <v>6</v>
      </c>
      <c r="AF1012">
        <f t="shared" si="196"/>
        <v>7</v>
      </c>
      <c r="AG1012">
        <f t="shared" si="197"/>
        <v>7</v>
      </c>
      <c r="AH1012" s="9" t="str">
        <f t="shared" si="198"/>
        <v/>
      </c>
      <c r="AI1012" s="9" t="str">
        <f t="shared" si="199"/>
        <v/>
      </c>
      <c r="AJ1012" s="9" t="str">
        <f t="shared" si="200"/>
        <v/>
      </c>
      <c r="AK1012" s="9" t="str">
        <f t="shared" si="201"/>
        <v/>
      </c>
      <c r="AL1012" s="9" t="str">
        <f t="shared" si="202"/>
        <v/>
      </c>
      <c r="AM1012" s="9" t="str">
        <f t="shared" si="203"/>
        <v/>
      </c>
      <c r="AN1012" s="9" t="str">
        <f t="shared" si="204"/>
        <v/>
      </c>
      <c r="AO1012" s="9" t="str">
        <f t="shared" si="205"/>
        <v/>
      </c>
      <c r="AP1012" s="9" t="str">
        <f t="shared" si="206"/>
        <v/>
      </c>
      <c r="AQ1012" s="10" t="str">
        <f t="shared" si="207"/>
        <v/>
      </c>
    </row>
    <row r="1013" spans="1:43">
      <c r="A1013">
        <v>1012</v>
      </c>
      <c r="B1013" t="s">
        <v>26</v>
      </c>
      <c r="C1013" t="s">
        <v>1165</v>
      </c>
      <c r="D1013" t="s">
        <v>1166</v>
      </c>
      <c r="E1013" t="s">
        <v>83</v>
      </c>
      <c r="G1013" t="s">
        <v>18</v>
      </c>
      <c r="H1013" s="4">
        <v>41553000</v>
      </c>
      <c r="I1013" s="5">
        <v>0</v>
      </c>
      <c r="J1013" s="5">
        <v>500</v>
      </c>
      <c r="K1013" s="5">
        <v>4</v>
      </c>
      <c r="L1013">
        <v>7</v>
      </c>
      <c r="M1013">
        <v>3.5</v>
      </c>
      <c r="N1013">
        <v>5.92</v>
      </c>
      <c r="O1013" s="6">
        <v>12.5</v>
      </c>
      <c r="P1013" s="7">
        <v>1.26</v>
      </c>
      <c r="U1013" t="s">
        <v>84</v>
      </c>
      <c r="V1013" t="s">
        <v>98</v>
      </c>
      <c r="W1013">
        <v>2.5</v>
      </c>
      <c r="X1013" t="s">
        <v>84</v>
      </c>
      <c r="Y1013" t="s">
        <v>99</v>
      </c>
      <c r="Z1013" t="s">
        <v>113</v>
      </c>
      <c r="AA1013" t="s">
        <v>101</v>
      </c>
      <c r="AB1013" t="s">
        <v>115</v>
      </c>
      <c r="AC1013">
        <v>1539</v>
      </c>
      <c r="AD1013" s="8" t="b">
        <f>AND(
 H1013&gt;=Filters!$B$3,
 H1013&lt;=Filters!$B$4,
 I1013&gt;=Filters!$B$5,
 OR(Filters!$B$6="All",B1013=Filters!$B$6),
 F1013&gt;=Filters!$B$7,
 F1013&lt;=Filters!$B$8,
 OR(Filters!$B$9="All",G1013=Filters!$B$9)
)</f>
        <v>0</v>
      </c>
      <c r="AE1013">
        <f t="shared" si="195"/>
        <v>6</v>
      </c>
      <c r="AF1013">
        <f t="shared" si="196"/>
        <v>7</v>
      </c>
      <c r="AG1013">
        <f t="shared" si="197"/>
        <v>7</v>
      </c>
      <c r="AH1013" s="9" t="str">
        <f t="shared" si="198"/>
        <v/>
      </c>
      <c r="AI1013" s="9" t="str">
        <f t="shared" si="199"/>
        <v/>
      </c>
      <c r="AJ1013" s="9" t="str">
        <f t="shared" si="200"/>
        <v/>
      </c>
      <c r="AK1013" s="9" t="str">
        <f t="shared" si="201"/>
        <v/>
      </c>
      <c r="AL1013" s="9" t="str">
        <f t="shared" si="202"/>
        <v/>
      </c>
      <c r="AM1013" s="9" t="str">
        <f t="shared" si="203"/>
        <v/>
      </c>
      <c r="AN1013" s="9" t="str">
        <f t="shared" si="204"/>
        <v/>
      </c>
      <c r="AO1013" s="9" t="str">
        <f t="shared" si="205"/>
        <v/>
      </c>
      <c r="AP1013" s="9" t="str">
        <f t="shared" si="206"/>
        <v/>
      </c>
      <c r="AQ1013" s="10" t="str">
        <f t="shared" si="207"/>
        <v/>
      </c>
    </row>
    <row r="1014" spans="1:43">
      <c r="A1014">
        <v>1013</v>
      </c>
      <c r="B1014" t="s">
        <v>26</v>
      </c>
      <c r="C1014" t="s">
        <v>613</v>
      </c>
      <c r="D1014" t="s">
        <v>614</v>
      </c>
      <c r="E1014" t="s">
        <v>97</v>
      </c>
      <c r="G1014" t="s">
        <v>18</v>
      </c>
      <c r="H1014" s="4">
        <v>42930000</v>
      </c>
      <c r="I1014" s="5">
        <v>256</v>
      </c>
      <c r="J1014" s="5">
        <v>0</v>
      </c>
      <c r="K1014" s="5">
        <v>4</v>
      </c>
      <c r="L1014">
        <v>7</v>
      </c>
      <c r="M1014">
        <v>3.5</v>
      </c>
      <c r="N1014">
        <v>6</v>
      </c>
      <c r="O1014" s="6">
        <v>14</v>
      </c>
      <c r="P1014" s="7">
        <v>1.48</v>
      </c>
      <c r="U1014" t="s">
        <v>84</v>
      </c>
      <c r="V1014" t="s">
        <v>98</v>
      </c>
      <c r="W1014">
        <v>2.5</v>
      </c>
      <c r="X1014" t="s">
        <v>84</v>
      </c>
      <c r="Y1014" t="s">
        <v>99</v>
      </c>
      <c r="Z1014" t="s">
        <v>100</v>
      </c>
      <c r="AA1014" t="s">
        <v>101</v>
      </c>
      <c r="AB1014" t="s">
        <v>115</v>
      </c>
      <c r="AC1014">
        <v>1590</v>
      </c>
      <c r="AD1014" s="8" t="b">
        <f>AND(
 H1014&gt;=Filters!$B$3,
 H1014&lt;=Filters!$B$4,
 I1014&gt;=Filters!$B$5,
 OR(Filters!$B$6="All",B1014=Filters!$B$6),
 F1014&gt;=Filters!$B$7,
 F1014&lt;=Filters!$B$8,
 OR(Filters!$B$9="All",G1014=Filters!$B$9)
)</f>
        <v>0</v>
      </c>
      <c r="AE1014">
        <f t="shared" si="195"/>
        <v>6</v>
      </c>
      <c r="AF1014">
        <f t="shared" si="196"/>
        <v>7</v>
      </c>
      <c r="AG1014">
        <f t="shared" si="197"/>
        <v>7</v>
      </c>
      <c r="AH1014" s="9" t="str">
        <f t="shared" si="198"/>
        <v/>
      </c>
      <c r="AI1014" s="9" t="str">
        <f t="shared" si="199"/>
        <v/>
      </c>
      <c r="AJ1014" s="9" t="str">
        <f t="shared" si="200"/>
        <v/>
      </c>
      <c r="AK1014" s="9" t="str">
        <f t="shared" si="201"/>
        <v/>
      </c>
      <c r="AL1014" s="9" t="str">
        <f t="shared" si="202"/>
        <v/>
      </c>
      <c r="AM1014" s="9" t="str">
        <f t="shared" si="203"/>
        <v/>
      </c>
      <c r="AN1014" s="9" t="str">
        <f t="shared" si="204"/>
        <v/>
      </c>
      <c r="AO1014" s="9" t="str">
        <f t="shared" si="205"/>
        <v/>
      </c>
      <c r="AP1014" s="9" t="str">
        <f t="shared" si="206"/>
        <v/>
      </c>
      <c r="AQ1014" s="10" t="str">
        <f t="shared" si="207"/>
        <v/>
      </c>
    </row>
    <row r="1015" spans="1:43">
      <c r="A1015">
        <v>1014</v>
      </c>
      <c r="B1015" t="s">
        <v>26</v>
      </c>
      <c r="C1015" t="s">
        <v>398</v>
      </c>
      <c r="D1015" t="s">
        <v>399</v>
      </c>
      <c r="E1015" t="s">
        <v>83</v>
      </c>
      <c r="G1015" t="s">
        <v>18</v>
      </c>
      <c r="H1015" s="4">
        <v>50954670</v>
      </c>
      <c r="I1015" s="5">
        <v>256</v>
      </c>
      <c r="J1015" s="5">
        <v>0</v>
      </c>
      <c r="K1015" s="5">
        <v>8</v>
      </c>
      <c r="L1015">
        <v>9</v>
      </c>
      <c r="M1015">
        <v>3.5</v>
      </c>
      <c r="N1015">
        <v>6</v>
      </c>
      <c r="O1015" s="6">
        <v>14</v>
      </c>
      <c r="P1015" s="7">
        <v>1.54</v>
      </c>
      <c r="U1015" t="s">
        <v>84</v>
      </c>
      <c r="V1015" t="s">
        <v>485</v>
      </c>
      <c r="W1015">
        <v>2.5</v>
      </c>
      <c r="X1015" t="s">
        <v>84</v>
      </c>
      <c r="Y1015" t="s">
        <v>130</v>
      </c>
      <c r="Z1015" t="s">
        <v>100</v>
      </c>
      <c r="AA1015" t="s">
        <v>101</v>
      </c>
      <c r="AB1015" t="s">
        <v>115</v>
      </c>
      <c r="AC1015">
        <v>1887.21</v>
      </c>
      <c r="AD1015" s="8" t="b">
        <f>AND(
 H1015&gt;=Filters!$B$3,
 H1015&lt;=Filters!$B$4,
 I1015&gt;=Filters!$B$5,
 OR(Filters!$B$6="All",B1015=Filters!$B$6),
 F1015&gt;=Filters!$B$7,
 F1015&lt;=Filters!$B$8,
 OR(Filters!$B$9="All",G1015=Filters!$B$9)
)</f>
        <v>0</v>
      </c>
      <c r="AE1015">
        <f t="shared" si="195"/>
        <v>6</v>
      </c>
      <c r="AF1015">
        <f t="shared" si="196"/>
        <v>7</v>
      </c>
      <c r="AG1015">
        <f t="shared" si="197"/>
        <v>7</v>
      </c>
      <c r="AH1015" s="9" t="str">
        <f t="shared" si="198"/>
        <v/>
      </c>
      <c r="AI1015" s="9" t="str">
        <f t="shared" si="199"/>
        <v/>
      </c>
      <c r="AJ1015" s="9" t="str">
        <f t="shared" si="200"/>
        <v/>
      </c>
      <c r="AK1015" s="9" t="str">
        <f t="shared" si="201"/>
        <v/>
      </c>
      <c r="AL1015" s="9" t="str">
        <f t="shared" si="202"/>
        <v/>
      </c>
      <c r="AM1015" s="9" t="str">
        <f t="shared" si="203"/>
        <v/>
      </c>
      <c r="AN1015" s="9" t="str">
        <f t="shared" si="204"/>
        <v/>
      </c>
      <c r="AO1015" s="9" t="str">
        <f t="shared" si="205"/>
        <v/>
      </c>
      <c r="AP1015" s="9" t="str">
        <f t="shared" si="206"/>
        <v/>
      </c>
      <c r="AQ1015" s="10" t="str">
        <f t="shared" si="207"/>
        <v/>
      </c>
    </row>
    <row r="1016" spans="1:43">
      <c r="A1016">
        <v>1015</v>
      </c>
      <c r="B1016" t="s">
        <v>26</v>
      </c>
      <c r="C1016" t="s">
        <v>303</v>
      </c>
      <c r="D1016" t="s">
        <v>304</v>
      </c>
      <c r="E1016" t="s">
        <v>97</v>
      </c>
      <c r="G1016" t="s">
        <v>18</v>
      </c>
      <c r="H1016" s="4">
        <v>21600000</v>
      </c>
      <c r="I1016" s="5">
        <v>0</v>
      </c>
      <c r="J1016" s="5">
        <v>500</v>
      </c>
      <c r="K1016" s="5">
        <v>4</v>
      </c>
      <c r="L1016">
        <v>4.8</v>
      </c>
      <c r="M1016">
        <v>3.5</v>
      </c>
      <c r="N1016">
        <v>3.96</v>
      </c>
      <c r="O1016" s="6">
        <v>13.3</v>
      </c>
      <c r="P1016" s="7">
        <v>1.49</v>
      </c>
      <c r="U1016" t="s">
        <v>84</v>
      </c>
      <c r="V1016" t="s">
        <v>144</v>
      </c>
      <c r="W1016">
        <v>2.4</v>
      </c>
      <c r="X1016" t="s">
        <v>84</v>
      </c>
      <c r="Y1016" t="s">
        <v>99</v>
      </c>
      <c r="Z1016" t="s">
        <v>113</v>
      </c>
      <c r="AA1016" t="s">
        <v>114</v>
      </c>
      <c r="AB1016" t="s">
        <v>115</v>
      </c>
      <c r="AC1016">
        <v>800</v>
      </c>
      <c r="AD1016" s="8" t="b">
        <f>AND(
 H1016&gt;=Filters!$B$3,
 H1016&lt;=Filters!$B$4,
 I1016&gt;=Filters!$B$5,
 OR(Filters!$B$6="All",B1016=Filters!$B$6),
 F1016&gt;=Filters!$B$7,
 F1016&lt;=Filters!$B$8,
 OR(Filters!$B$9="All",G1016=Filters!$B$9)
)</f>
        <v>0</v>
      </c>
      <c r="AE1016">
        <f t="shared" si="195"/>
        <v>6</v>
      </c>
      <c r="AF1016">
        <f t="shared" si="196"/>
        <v>7</v>
      </c>
      <c r="AG1016">
        <f t="shared" si="197"/>
        <v>7</v>
      </c>
      <c r="AH1016" s="9" t="str">
        <f t="shared" si="198"/>
        <v/>
      </c>
      <c r="AI1016" s="9" t="str">
        <f t="shared" si="199"/>
        <v/>
      </c>
      <c r="AJ1016" s="9" t="str">
        <f t="shared" si="200"/>
        <v/>
      </c>
      <c r="AK1016" s="9" t="str">
        <f t="shared" si="201"/>
        <v/>
      </c>
      <c r="AL1016" s="9" t="str">
        <f t="shared" si="202"/>
        <v/>
      </c>
      <c r="AM1016" s="9" t="str">
        <f t="shared" si="203"/>
        <v/>
      </c>
      <c r="AN1016" s="9" t="str">
        <f t="shared" si="204"/>
        <v/>
      </c>
      <c r="AO1016" s="9" t="str">
        <f t="shared" si="205"/>
        <v/>
      </c>
      <c r="AP1016" s="9" t="str">
        <f t="shared" si="206"/>
        <v/>
      </c>
      <c r="AQ1016" s="10" t="str">
        <f t="shared" si="207"/>
        <v/>
      </c>
    </row>
    <row r="1017" spans="1:43">
      <c r="A1017">
        <v>1016</v>
      </c>
      <c r="B1017" t="s">
        <v>35</v>
      </c>
      <c r="C1017" t="s">
        <v>1395</v>
      </c>
      <c r="D1017" t="s">
        <v>1396</v>
      </c>
      <c r="E1017" t="s">
        <v>97</v>
      </c>
      <c r="G1017" t="s">
        <v>18</v>
      </c>
      <c r="H1017" s="4">
        <v>32670000</v>
      </c>
      <c r="I1017" s="5">
        <v>256</v>
      </c>
      <c r="J1017" s="5">
        <v>0</v>
      </c>
      <c r="K1017" s="5">
        <v>8</v>
      </c>
      <c r="L1017">
        <v>6.6</v>
      </c>
      <c r="M1017">
        <v>3.5</v>
      </c>
      <c r="N1017">
        <v>3.96</v>
      </c>
      <c r="O1017" s="6">
        <v>13.3</v>
      </c>
      <c r="P1017" s="7">
        <v>1.5</v>
      </c>
      <c r="U1017" t="s">
        <v>84</v>
      </c>
      <c r="V1017" t="s">
        <v>375</v>
      </c>
      <c r="W1017">
        <v>2.2999999999999998</v>
      </c>
      <c r="X1017" t="s">
        <v>84</v>
      </c>
      <c r="Y1017" t="s">
        <v>130</v>
      </c>
      <c r="Z1017" t="s">
        <v>100</v>
      </c>
      <c r="AA1017" t="s">
        <v>114</v>
      </c>
      <c r="AB1017" t="s">
        <v>115</v>
      </c>
      <c r="AC1017">
        <v>1210</v>
      </c>
      <c r="AD1017" s="8" t="b">
        <f>AND(
 H1017&gt;=Filters!$B$3,
 H1017&lt;=Filters!$B$4,
 I1017&gt;=Filters!$B$5,
 OR(Filters!$B$6="All",B1017=Filters!$B$6),
 F1017&gt;=Filters!$B$7,
 F1017&lt;=Filters!$B$8,
 OR(Filters!$B$9="All",G1017=Filters!$B$9)
)</f>
        <v>0</v>
      </c>
      <c r="AE1017">
        <f t="shared" si="195"/>
        <v>6</v>
      </c>
      <c r="AF1017">
        <f t="shared" si="196"/>
        <v>7</v>
      </c>
      <c r="AG1017">
        <f t="shared" si="197"/>
        <v>7</v>
      </c>
      <c r="AH1017" s="9" t="str">
        <f t="shared" si="198"/>
        <v/>
      </c>
      <c r="AI1017" s="9" t="str">
        <f t="shared" si="199"/>
        <v/>
      </c>
      <c r="AJ1017" s="9" t="str">
        <f t="shared" si="200"/>
        <v/>
      </c>
      <c r="AK1017" s="9" t="str">
        <f t="shared" si="201"/>
        <v/>
      </c>
      <c r="AL1017" s="9" t="str">
        <f t="shared" si="202"/>
        <v/>
      </c>
      <c r="AM1017" s="9" t="str">
        <f t="shared" si="203"/>
        <v/>
      </c>
      <c r="AN1017" s="9" t="str">
        <f t="shared" si="204"/>
        <v/>
      </c>
      <c r="AO1017" s="9" t="str">
        <f t="shared" si="205"/>
        <v/>
      </c>
      <c r="AP1017" s="9" t="str">
        <f t="shared" si="206"/>
        <v/>
      </c>
      <c r="AQ1017" s="10" t="str">
        <f t="shared" si="207"/>
        <v/>
      </c>
    </row>
    <row r="1018" spans="1:43">
      <c r="A1018">
        <v>1017</v>
      </c>
      <c r="B1018" t="s">
        <v>26</v>
      </c>
      <c r="C1018" t="s">
        <v>204</v>
      </c>
      <c r="D1018" t="s">
        <v>205</v>
      </c>
      <c r="E1018" t="s">
        <v>97</v>
      </c>
      <c r="G1018" t="s">
        <v>18</v>
      </c>
      <c r="H1018" s="4">
        <v>20789730</v>
      </c>
      <c r="I1018" s="5">
        <v>256</v>
      </c>
      <c r="J1018" s="5">
        <v>0</v>
      </c>
      <c r="K1018" s="5">
        <v>4</v>
      </c>
      <c r="L1018">
        <v>4.8</v>
      </c>
      <c r="M1018">
        <v>3.5</v>
      </c>
      <c r="N1018">
        <v>3.92</v>
      </c>
      <c r="O1018" s="6">
        <v>15.6</v>
      </c>
      <c r="P1018" s="7">
        <v>2.04</v>
      </c>
      <c r="U1018" t="s">
        <v>84</v>
      </c>
      <c r="V1018" t="s">
        <v>144</v>
      </c>
      <c r="W1018">
        <v>2.4</v>
      </c>
      <c r="X1018" t="s">
        <v>84</v>
      </c>
      <c r="Y1018" t="s">
        <v>99</v>
      </c>
      <c r="Z1018" t="s">
        <v>100</v>
      </c>
      <c r="AA1018" t="s">
        <v>114</v>
      </c>
      <c r="AB1018" t="s">
        <v>115</v>
      </c>
      <c r="AC1018">
        <v>769.99</v>
      </c>
      <c r="AD1018" s="8" t="b">
        <f>AND(
 H1018&gt;=Filters!$B$3,
 H1018&lt;=Filters!$B$4,
 I1018&gt;=Filters!$B$5,
 OR(Filters!$B$6="All",B1018=Filters!$B$6),
 F1018&gt;=Filters!$B$7,
 F1018&lt;=Filters!$B$8,
 OR(Filters!$B$9="All",G1018=Filters!$B$9)
)</f>
        <v>1</v>
      </c>
      <c r="AE1018">
        <f t="shared" si="195"/>
        <v>6</v>
      </c>
      <c r="AF1018">
        <f t="shared" si="196"/>
        <v>7</v>
      </c>
      <c r="AG1018">
        <f t="shared" si="197"/>
        <v>7</v>
      </c>
      <c r="AH1018" s="9">
        <f t="shared" si="198"/>
        <v>0.42857142857142849</v>
      </c>
      <c r="AI1018" s="9">
        <f t="shared" si="199"/>
        <v>0.33333333333333331</v>
      </c>
      <c r="AJ1018" s="9">
        <f t="shared" si="200"/>
        <v>0.27380952380952378</v>
      </c>
      <c r="AK1018" s="9">
        <f t="shared" si="201"/>
        <v>0.32380952380952377</v>
      </c>
      <c r="AL1018" s="9">
        <f t="shared" si="202"/>
        <v>0.89999999999999991</v>
      </c>
      <c r="AM1018" s="9">
        <f t="shared" si="203"/>
        <v>0.5714285714285714</v>
      </c>
      <c r="AN1018" s="9">
        <f t="shared" si="204"/>
        <v>0.69047619047619047</v>
      </c>
      <c r="AO1018" s="9">
        <f t="shared" si="205"/>
        <v>0.69047619047619047</v>
      </c>
      <c r="AP1018" s="9">
        <f t="shared" si="206"/>
        <v>0.50708287352046355</v>
      </c>
      <c r="AQ1018" s="10">
        <f t="shared" si="207"/>
        <v>0.50708389152046351</v>
      </c>
    </row>
    <row r="1019" spans="1:43">
      <c r="A1019">
        <v>1018</v>
      </c>
      <c r="B1019" t="s">
        <v>29</v>
      </c>
      <c r="C1019" t="s">
        <v>1397</v>
      </c>
      <c r="D1019" t="s">
        <v>1398</v>
      </c>
      <c r="E1019" t="s">
        <v>97</v>
      </c>
      <c r="G1019" t="s">
        <v>18</v>
      </c>
      <c r="H1019" s="4">
        <v>80136000</v>
      </c>
      <c r="I1019" s="5">
        <v>512</v>
      </c>
      <c r="J1019" s="5">
        <v>0</v>
      </c>
      <c r="K1019" s="5">
        <v>16</v>
      </c>
      <c r="L1019">
        <v>9.4</v>
      </c>
      <c r="M1019">
        <v>8</v>
      </c>
      <c r="N1019">
        <v>9.73</v>
      </c>
      <c r="O1019" s="6">
        <v>17.3</v>
      </c>
      <c r="P1019" s="7">
        <v>2.4</v>
      </c>
      <c r="U1019" t="s">
        <v>84</v>
      </c>
      <c r="V1019" t="s">
        <v>693</v>
      </c>
      <c r="W1019">
        <v>2.7</v>
      </c>
      <c r="X1019" t="s">
        <v>122</v>
      </c>
      <c r="Y1019" t="s">
        <v>1399</v>
      </c>
      <c r="Z1019" t="s">
        <v>106</v>
      </c>
      <c r="AA1019" t="s">
        <v>459</v>
      </c>
      <c r="AB1019" t="s">
        <v>869</v>
      </c>
      <c r="AC1019">
        <v>2968</v>
      </c>
      <c r="AD1019" s="8" t="b">
        <f>AND(
 H1019&gt;=Filters!$B$3,
 H1019&lt;=Filters!$B$4,
 I1019&gt;=Filters!$B$5,
 OR(Filters!$B$6="All",B1019=Filters!$B$6),
 F1019&gt;=Filters!$B$7,
 F1019&lt;=Filters!$B$8,
 OR(Filters!$B$9="All",G1019=Filters!$B$9)
)</f>
        <v>0</v>
      </c>
      <c r="AE1019">
        <f t="shared" si="195"/>
        <v>6</v>
      </c>
      <c r="AF1019">
        <f t="shared" si="196"/>
        <v>7</v>
      </c>
      <c r="AG1019">
        <f t="shared" si="197"/>
        <v>7</v>
      </c>
      <c r="AH1019" s="9" t="str">
        <f t="shared" si="198"/>
        <v/>
      </c>
      <c r="AI1019" s="9" t="str">
        <f t="shared" si="199"/>
        <v/>
      </c>
      <c r="AJ1019" s="9" t="str">
        <f t="shared" si="200"/>
        <v/>
      </c>
      <c r="AK1019" s="9" t="str">
        <f t="shared" si="201"/>
        <v/>
      </c>
      <c r="AL1019" s="9" t="str">
        <f t="shared" si="202"/>
        <v/>
      </c>
      <c r="AM1019" s="9" t="str">
        <f t="shared" si="203"/>
        <v/>
      </c>
      <c r="AN1019" s="9" t="str">
        <f t="shared" si="204"/>
        <v/>
      </c>
      <c r="AO1019" s="9" t="str">
        <f t="shared" si="205"/>
        <v/>
      </c>
      <c r="AP1019" s="9" t="str">
        <f t="shared" si="206"/>
        <v/>
      </c>
      <c r="AQ1019" s="10" t="str">
        <f t="shared" si="207"/>
        <v/>
      </c>
    </row>
    <row r="1020" spans="1:43">
      <c r="A1020">
        <v>1019</v>
      </c>
      <c r="B1020" t="s">
        <v>35</v>
      </c>
      <c r="C1020" t="s">
        <v>1400</v>
      </c>
      <c r="D1020" t="s">
        <v>1401</v>
      </c>
      <c r="E1020" t="s">
        <v>97</v>
      </c>
      <c r="G1020" t="s">
        <v>18</v>
      </c>
      <c r="H1020" s="4">
        <v>40230000</v>
      </c>
      <c r="I1020" s="5">
        <v>256</v>
      </c>
      <c r="J1020" s="5">
        <v>0</v>
      </c>
      <c r="K1020" s="5">
        <v>8</v>
      </c>
      <c r="L1020">
        <v>6.6</v>
      </c>
      <c r="M1020">
        <v>3.5</v>
      </c>
      <c r="N1020">
        <v>6.4</v>
      </c>
      <c r="O1020" s="6">
        <v>14</v>
      </c>
      <c r="P1020" s="7">
        <v>1.47</v>
      </c>
      <c r="U1020" t="s">
        <v>84</v>
      </c>
      <c r="V1020" t="s">
        <v>375</v>
      </c>
      <c r="W1020">
        <v>2.2999999999999998</v>
      </c>
      <c r="X1020" t="s">
        <v>84</v>
      </c>
      <c r="Y1020" t="s">
        <v>130</v>
      </c>
      <c r="Z1020" t="s">
        <v>100</v>
      </c>
      <c r="AA1020" t="s">
        <v>128</v>
      </c>
      <c r="AB1020" t="s">
        <v>115</v>
      </c>
      <c r="AC1020">
        <v>1490</v>
      </c>
      <c r="AD1020" s="8" t="b">
        <f>AND(
 H1020&gt;=Filters!$B$3,
 H1020&lt;=Filters!$B$4,
 I1020&gt;=Filters!$B$5,
 OR(Filters!$B$6="All",B1020=Filters!$B$6),
 F1020&gt;=Filters!$B$7,
 F1020&lt;=Filters!$B$8,
 OR(Filters!$B$9="All",G1020=Filters!$B$9)
)</f>
        <v>0</v>
      </c>
      <c r="AE1020">
        <f t="shared" si="195"/>
        <v>6</v>
      </c>
      <c r="AF1020">
        <f t="shared" si="196"/>
        <v>7</v>
      </c>
      <c r="AG1020">
        <f t="shared" si="197"/>
        <v>7</v>
      </c>
      <c r="AH1020" s="9" t="str">
        <f t="shared" si="198"/>
        <v/>
      </c>
      <c r="AI1020" s="9" t="str">
        <f t="shared" si="199"/>
        <v/>
      </c>
      <c r="AJ1020" s="9" t="str">
        <f t="shared" si="200"/>
        <v/>
      </c>
      <c r="AK1020" s="9" t="str">
        <f t="shared" si="201"/>
        <v/>
      </c>
      <c r="AL1020" s="9" t="str">
        <f t="shared" si="202"/>
        <v/>
      </c>
      <c r="AM1020" s="9" t="str">
        <f t="shared" si="203"/>
        <v/>
      </c>
      <c r="AN1020" s="9" t="str">
        <f t="shared" si="204"/>
        <v/>
      </c>
      <c r="AO1020" s="9" t="str">
        <f t="shared" si="205"/>
        <v/>
      </c>
      <c r="AP1020" s="9" t="str">
        <f t="shared" si="206"/>
        <v/>
      </c>
      <c r="AQ1020" s="10" t="str">
        <f t="shared" si="207"/>
        <v/>
      </c>
    </row>
    <row r="1021" spans="1:43">
      <c r="A1021">
        <v>1020</v>
      </c>
      <c r="B1021" t="s">
        <v>26</v>
      </c>
      <c r="C1021" t="s">
        <v>1402</v>
      </c>
      <c r="D1021" t="s">
        <v>729</v>
      </c>
      <c r="E1021" t="s">
        <v>97</v>
      </c>
      <c r="G1021" t="s">
        <v>18</v>
      </c>
      <c r="H1021" s="4">
        <v>60183000</v>
      </c>
      <c r="I1021" s="5">
        <v>256</v>
      </c>
      <c r="J1021" s="5">
        <v>0</v>
      </c>
      <c r="K1021" s="5">
        <v>8</v>
      </c>
      <c r="L1021">
        <v>9</v>
      </c>
      <c r="M1021">
        <v>3.5</v>
      </c>
      <c r="N1021">
        <v>6</v>
      </c>
      <c r="O1021" s="6">
        <v>14</v>
      </c>
      <c r="P1021" s="7">
        <v>1.43</v>
      </c>
      <c r="U1021" t="s">
        <v>84</v>
      </c>
      <c r="V1021" t="s">
        <v>485</v>
      </c>
      <c r="W1021">
        <v>2.5</v>
      </c>
      <c r="X1021" t="s">
        <v>84</v>
      </c>
      <c r="Y1021" t="s">
        <v>130</v>
      </c>
      <c r="Z1021" t="s">
        <v>100</v>
      </c>
      <c r="AA1021" t="s">
        <v>101</v>
      </c>
      <c r="AB1021" t="s">
        <v>115</v>
      </c>
      <c r="AC1021">
        <v>2229</v>
      </c>
      <c r="AD1021" s="8" t="b">
        <f>AND(
 H1021&gt;=Filters!$B$3,
 H1021&lt;=Filters!$B$4,
 I1021&gt;=Filters!$B$5,
 OR(Filters!$B$6="All",B1021=Filters!$B$6),
 F1021&gt;=Filters!$B$7,
 F1021&lt;=Filters!$B$8,
 OR(Filters!$B$9="All",G1021=Filters!$B$9)
)</f>
        <v>0</v>
      </c>
      <c r="AE1021">
        <f t="shared" si="195"/>
        <v>6</v>
      </c>
      <c r="AF1021">
        <f t="shared" si="196"/>
        <v>7</v>
      </c>
      <c r="AG1021">
        <f t="shared" si="197"/>
        <v>7</v>
      </c>
      <c r="AH1021" s="9" t="str">
        <f t="shared" si="198"/>
        <v/>
      </c>
      <c r="AI1021" s="9" t="str">
        <f t="shared" si="199"/>
        <v/>
      </c>
      <c r="AJ1021" s="9" t="str">
        <f t="shared" si="200"/>
        <v/>
      </c>
      <c r="AK1021" s="9" t="str">
        <f t="shared" si="201"/>
        <v/>
      </c>
      <c r="AL1021" s="9" t="str">
        <f t="shared" si="202"/>
        <v/>
      </c>
      <c r="AM1021" s="9" t="str">
        <f t="shared" si="203"/>
        <v/>
      </c>
      <c r="AN1021" s="9" t="str">
        <f t="shared" si="204"/>
        <v/>
      </c>
      <c r="AO1021" s="9" t="str">
        <f t="shared" si="205"/>
        <v/>
      </c>
      <c r="AP1021" s="9" t="str">
        <f t="shared" si="206"/>
        <v/>
      </c>
      <c r="AQ1021" s="10" t="str">
        <f t="shared" si="207"/>
        <v/>
      </c>
    </row>
    <row r="1022" spans="1:43">
      <c r="A1022">
        <v>1021</v>
      </c>
      <c r="B1022" t="s">
        <v>23</v>
      </c>
      <c r="C1022" t="s">
        <v>1403</v>
      </c>
      <c r="D1022" t="s">
        <v>1404</v>
      </c>
      <c r="E1022" t="s">
        <v>168</v>
      </c>
      <c r="G1022" t="s">
        <v>18</v>
      </c>
      <c r="H1022" s="4">
        <v>21491730</v>
      </c>
      <c r="I1022" s="5">
        <v>0</v>
      </c>
      <c r="J1022" s="5">
        <v>1024</v>
      </c>
      <c r="K1022" s="5">
        <v>4</v>
      </c>
      <c r="L1022">
        <v>4.5999999999999996</v>
      </c>
      <c r="M1022">
        <v>3.5</v>
      </c>
      <c r="N1022">
        <v>6.62</v>
      </c>
      <c r="O1022" s="6">
        <v>15.6</v>
      </c>
      <c r="P1022" s="7">
        <v>2.08</v>
      </c>
      <c r="U1022" t="s">
        <v>84</v>
      </c>
      <c r="V1022" t="s">
        <v>812</v>
      </c>
      <c r="W1022">
        <v>2.2999999999999998</v>
      </c>
      <c r="X1022" t="s">
        <v>84</v>
      </c>
      <c r="Y1022" t="s">
        <v>130</v>
      </c>
      <c r="Z1022" t="s">
        <v>146</v>
      </c>
      <c r="AA1022" t="s">
        <v>149</v>
      </c>
      <c r="AB1022" t="s">
        <v>115</v>
      </c>
      <c r="AC1022">
        <v>795.99</v>
      </c>
      <c r="AD1022" s="8" t="b">
        <f>AND(
 H1022&gt;=Filters!$B$3,
 H1022&lt;=Filters!$B$4,
 I1022&gt;=Filters!$B$5,
 OR(Filters!$B$6="All",B1022=Filters!$B$6),
 F1022&gt;=Filters!$B$7,
 F1022&lt;=Filters!$B$8,
 OR(Filters!$B$9="All",G1022=Filters!$B$9)
)</f>
        <v>0</v>
      </c>
      <c r="AE1022">
        <f t="shared" si="195"/>
        <v>6</v>
      </c>
      <c r="AF1022">
        <f t="shared" si="196"/>
        <v>7</v>
      </c>
      <c r="AG1022">
        <f t="shared" si="197"/>
        <v>7</v>
      </c>
      <c r="AH1022" s="9" t="str">
        <f t="shared" si="198"/>
        <v/>
      </c>
      <c r="AI1022" s="9" t="str">
        <f t="shared" si="199"/>
        <v/>
      </c>
      <c r="AJ1022" s="9" t="str">
        <f t="shared" si="200"/>
        <v/>
      </c>
      <c r="AK1022" s="9" t="str">
        <f t="shared" si="201"/>
        <v/>
      </c>
      <c r="AL1022" s="9" t="str">
        <f t="shared" si="202"/>
        <v/>
      </c>
      <c r="AM1022" s="9" t="str">
        <f t="shared" si="203"/>
        <v/>
      </c>
      <c r="AN1022" s="9" t="str">
        <f t="shared" si="204"/>
        <v/>
      </c>
      <c r="AO1022" s="9" t="str">
        <f t="shared" si="205"/>
        <v/>
      </c>
      <c r="AP1022" s="9" t="str">
        <f t="shared" si="206"/>
        <v/>
      </c>
      <c r="AQ1022" s="10" t="str">
        <f t="shared" si="207"/>
        <v/>
      </c>
    </row>
    <row r="1023" spans="1:43">
      <c r="A1023">
        <v>1022</v>
      </c>
      <c r="B1023" t="s">
        <v>35</v>
      </c>
      <c r="C1023" t="s">
        <v>1405</v>
      </c>
      <c r="D1023" t="s">
        <v>1406</v>
      </c>
      <c r="E1023" t="s">
        <v>83</v>
      </c>
      <c r="G1023" t="s">
        <v>18</v>
      </c>
      <c r="H1023" s="4">
        <v>42930000</v>
      </c>
      <c r="I1023" s="5">
        <v>256</v>
      </c>
      <c r="J1023" s="5">
        <v>0</v>
      </c>
      <c r="K1023" s="5">
        <v>8</v>
      </c>
      <c r="L1023">
        <v>6.6</v>
      </c>
      <c r="M1023">
        <v>3.5</v>
      </c>
      <c r="N1023">
        <v>5.96</v>
      </c>
      <c r="O1023" s="6">
        <v>13.3</v>
      </c>
      <c r="P1023" s="7">
        <v>1.2</v>
      </c>
      <c r="U1023" t="s">
        <v>84</v>
      </c>
      <c r="V1023" t="s">
        <v>375</v>
      </c>
      <c r="W1023">
        <v>2.2999999999999998</v>
      </c>
      <c r="X1023" t="s">
        <v>84</v>
      </c>
      <c r="Y1023" t="s">
        <v>130</v>
      </c>
      <c r="Z1023" t="s">
        <v>100</v>
      </c>
      <c r="AA1023" t="s">
        <v>101</v>
      </c>
      <c r="AB1023" t="s">
        <v>115</v>
      </c>
      <c r="AC1023">
        <v>1590</v>
      </c>
      <c r="AD1023" s="8" t="b">
        <f>AND(
 H1023&gt;=Filters!$B$3,
 H1023&lt;=Filters!$B$4,
 I1023&gt;=Filters!$B$5,
 OR(Filters!$B$6="All",B1023=Filters!$B$6),
 F1023&gt;=Filters!$B$7,
 F1023&lt;=Filters!$B$8,
 OR(Filters!$B$9="All",G1023=Filters!$B$9)
)</f>
        <v>0</v>
      </c>
      <c r="AE1023">
        <f t="shared" si="195"/>
        <v>6</v>
      </c>
      <c r="AF1023">
        <f t="shared" si="196"/>
        <v>7</v>
      </c>
      <c r="AG1023">
        <f t="shared" si="197"/>
        <v>7</v>
      </c>
      <c r="AH1023" s="9" t="str">
        <f t="shared" si="198"/>
        <v/>
      </c>
      <c r="AI1023" s="9" t="str">
        <f t="shared" si="199"/>
        <v/>
      </c>
      <c r="AJ1023" s="9" t="str">
        <f t="shared" si="200"/>
        <v/>
      </c>
      <c r="AK1023" s="9" t="str">
        <f t="shared" si="201"/>
        <v/>
      </c>
      <c r="AL1023" s="9" t="str">
        <f t="shared" si="202"/>
        <v/>
      </c>
      <c r="AM1023" s="9" t="str">
        <f t="shared" si="203"/>
        <v/>
      </c>
      <c r="AN1023" s="9" t="str">
        <f t="shared" si="204"/>
        <v/>
      </c>
      <c r="AO1023" s="9" t="str">
        <f t="shared" si="205"/>
        <v/>
      </c>
      <c r="AP1023" s="9" t="str">
        <f t="shared" si="206"/>
        <v/>
      </c>
      <c r="AQ1023" s="10" t="str">
        <f t="shared" si="207"/>
        <v/>
      </c>
    </row>
    <row r="1024" spans="1:43">
      <c r="A1024">
        <v>1023</v>
      </c>
      <c r="B1024" t="s">
        <v>26</v>
      </c>
      <c r="C1024" t="s">
        <v>1407</v>
      </c>
      <c r="D1024" t="s">
        <v>1408</v>
      </c>
      <c r="E1024" t="s">
        <v>97</v>
      </c>
      <c r="G1024" t="s">
        <v>18</v>
      </c>
      <c r="H1024" s="4">
        <v>31023000</v>
      </c>
      <c r="I1024" s="5">
        <v>256</v>
      </c>
      <c r="J1024" s="5">
        <v>0</v>
      </c>
      <c r="K1024" s="5">
        <v>8</v>
      </c>
      <c r="L1024">
        <v>7</v>
      </c>
      <c r="M1024">
        <v>3.5</v>
      </c>
      <c r="N1024">
        <v>6.37</v>
      </c>
      <c r="O1024" s="6">
        <v>13.3</v>
      </c>
      <c r="P1024" s="7">
        <v>1.1100000000000001</v>
      </c>
      <c r="U1024" t="s">
        <v>84</v>
      </c>
      <c r="V1024" t="s">
        <v>98</v>
      </c>
      <c r="W1024">
        <v>2.5</v>
      </c>
      <c r="X1024" t="s">
        <v>84</v>
      </c>
      <c r="Y1024" t="s">
        <v>99</v>
      </c>
      <c r="Z1024" t="s">
        <v>100</v>
      </c>
      <c r="AA1024" t="s">
        <v>128</v>
      </c>
      <c r="AB1024" t="s">
        <v>115</v>
      </c>
      <c r="AC1024">
        <v>1149</v>
      </c>
      <c r="AD1024" s="8" t="b">
        <f>AND(
 H1024&gt;=Filters!$B$3,
 H1024&lt;=Filters!$B$4,
 I1024&gt;=Filters!$B$5,
 OR(Filters!$B$6="All",B1024=Filters!$B$6),
 F1024&gt;=Filters!$B$7,
 F1024&lt;=Filters!$B$8,
 OR(Filters!$B$9="All",G1024=Filters!$B$9)
)</f>
        <v>0</v>
      </c>
      <c r="AE1024">
        <f t="shared" si="195"/>
        <v>6</v>
      </c>
      <c r="AF1024">
        <f t="shared" si="196"/>
        <v>7</v>
      </c>
      <c r="AG1024">
        <f t="shared" si="197"/>
        <v>7</v>
      </c>
      <c r="AH1024" s="9" t="str">
        <f t="shared" si="198"/>
        <v/>
      </c>
      <c r="AI1024" s="9" t="str">
        <f t="shared" si="199"/>
        <v/>
      </c>
      <c r="AJ1024" s="9" t="str">
        <f t="shared" si="200"/>
        <v/>
      </c>
      <c r="AK1024" s="9" t="str">
        <f t="shared" si="201"/>
        <v/>
      </c>
      <c r="AL1024" s="9" t="str">
        <f t="shared" si="202"/>
        <v/>
      </c>
      <c r="AM1024" s="9" t="str">
        <f t="shared" si="203"/>
        <v/>
      </c>
      <c r="AN1024" s="9" t="str">
        <f t="shared" si="204"/>
        <v/>
      </c>
      <c r="AO1024" s="9" t="str">
        <f t="shared" si="205"/>
        <v/>
      </c>
      <c r="AP1024" s="9" t="str">
        <f t="shared" si="206"/>
        <v/>
      </c>
      <c r="AQ1024" s="10" t="str">
        <f t="shared" si="207"/>
        <v/>
      </c>
    </row>
    <row r="1025" spans="1:43">
      <c r="A1025">
        <v>1024</v>
      </c>
      <c r="B1025" t="s">
        <v>26</v>
      </c>
      <c r="C1025" t="s">
        <v>287</v>
      </c>
      <c r="D1025" t="s">
        <v>288</v>
      </c>
      <c r="E1025" t="s">
        <v>97</v>
      </c>
      <c r="G1025" t="s">
        <v>18</v>
      </c>
      <c r="H1025" s="4">
        <v>32006610</v>
      </c>
      <c r="I1025" s="5">
        <v>256</v>
      </c>
      <c r="J1025" s="5">
        <v>0</v>
      </c>
      <c r="K1025" s="5">
        <v>8</v>
      </c>
      <c r="L1025">
        <v>9.4</v>
      </c>
      <c r="M1025">
        <v>6.5</v>
      </c>
      <c r="N1025">
        <v>6</v>
      </c>
      <c r="O1025" s="6">
        <v>14</v>
      </c>
      <c r="P1025" s="7">
        <v>1.64</v>
      </c>
      <c r="U1025" t="s">
        <v>84</v>
      </c>
      <c r="V1025" t="s">
        <v>140</v>
      </c>
      <c r="W1025">
        <v>2.7</v>
      </c>
      <c r="X1025" t="s">
        <v>122</v>
      </c>
      <c r="Y1025" t="s">
        <v>183</v>
      </c>
      <c r="Z1025" t="s">
        <v>100</v>
      </c>
      <c r="AA1025" t="s">
        <v>101</v>
      </c>
      <c r="AB1025" t="s">
        <v>115</v>
      </c>
      <c r="AC1025">
        <v>1185.43</v>
      </c>
      <c r="AD1025" s="8" t="b">
        <f>AND(
 H1025&gt;=Filters!$B$3,
 H1025&lt;=Filters!$B$4,
 I1025&gt;=Filters!$B$5,
 OR(Filters!$B$6="All",B1025=Filters!$B$6),
 F1025&gt;=Filters!$B$7,
 F1025&lt;=Filters!$B$8,
 OR(Filters!$B$9="All",G1025=Filters!$B$9)
)</f>
        <v>0</v>
      </c>
      <c r="AE1025">
        <f t="shared" si="195"/>
        <v>6</v>
      </c>
      <c r="AF1025">
        <f t="shared" si="196"/>
        <v>7</v>
      </c>
      <c r="AG1025">
        <f t="shared" si="197"/>
        <v>7</v>
      </c>
      <c r="AH1025" s="9" t="str">
        <f t="shared" si="198"/>
        <v/>
      </c>
      <c r="AI1025" s="9" t="str">
        <f t="shared" si="199"/>
        <v/>
      </c>
      <c r="AJ1025" s="9" t="str">
        <f t="shared" si="200"/>
        <v/>
      </c>
      <c r="AK1025" s="9" t="str">
        <f t="shared" si="201"/>
        <v/>
      </c>
      <c r="AL1025" s="9" t="str">
        <f t="shared" si="202"/>
        <v/>
      </c>
      <c r="AM1025" s="9" t="str">
        <f t="shared" si="203"/>
        <v/>
      </c>
      <c r="AN1025" s="9" t="str">
        <f t="shared" si="204"/>
        <v/>
      </c>
      <c r="AO1025" s="9" t="str">
        <f t="shared" si="205"/>
        <v/>
      </c>
      <c r="AP1025" s="9" t="str">
        <f t="shared" si="206"/>
        <v/>
      </c>
      <c r="AQ1025" s="10" t="str">
        <f t="shared" si="207"/>
        <v/>
      </c>
    </row>
    <row r="1026" spans="1:43">
      <c r="A1026">
        <v>1025</v>
      </c>
      <c r="B1026" t="s">
        <v>23</v>
      </c>
      <c r="C1026" t="s">
        <v>1409</v>
      </c>
      <c r="D1026" t="s">
        <v>1410</v>
      </c>
      <c r="E1026" t="s">
        <v>97</v>
      </c>
      <c r="G1026" t="s">
        <v>18</v>
      </c>
      <c r="H1026" s="4">
        <v>28253880</v>
      </c>
      <c r="I1026" s="5">
        <v>0</v>
      </c>
      <c r="J1026" s="5">
        <v>500</v>
      </c>
      <c r="K1026" s="5">
        <v>8</v>
      </c>
      <c r="L1026">
        <v>6.8</v>
      </c>
      <c r="M1026">
        <v>3.5</v>
      </c>
      <c r="N1026">
        <v>5.92</v>
      </c>
      <c r="O1026" s="6">
        <v>15.6</v>
      </c>
      <c r="P1026" s="7">
        <v>2.09</v>
      </c>
      <c r="U1026" t="s">
        <v>84</v>
      </c>
      <c r="V1026" t="s">
        <v>1024</v>
      </c>
      <c r="W1026">
        <v>2.4</v>
      </c>
      <c r="X1026" t="s">
        <v>84</v>
      </c>
      <c r="Y1026" t="s">
        <v>130</v>
      </c>
      <c r="Z1026" t="s">
        <v>113</v>
      </c>
      <c r="AA1026" t="s">
        <v>101</v>
      </c>
      <c r="AB1026" t="s">
        <v>115</v>
      </c>
      <c r="AC1026">
        <v>1046.44</v>
      </c>
      <c r="AD1026" s="8" t="b">
        <f>AND(
 H1026&gt;=Filters!$B$3,
 H1026&lt;=Filters!$B$4,
 I1026&gt;=Filters!$B$5,
 OR(Filters!$B$6="All",B1026=Filters!$B$6),
 F1026&gt;=Filters!$B$7,
 F1026&lt;=Filters!$B$8,
 OR(Filters!$B$9="All",G1026=Filters!$B$9)
)</f>
        <v>0</v>
      </c>
      <c r="AE1026">
        <f t="shared" ref="AE1026:AE1089" si="208">IF(Q1026="",6,Q1026)</f>
        <v>6</v>
      </c>
      <c r="AF1026">
        <f t="shared" ref="AF1026:AF1089" si="209">IF(R1026="",7,R1026)</f>
        <v>7</v>
      </c>
      <c r="AG1026">
        <f t="shared" ref="AG1026:AG1089" si="210">IF(S1026="",7,S1026)</f>
        <v>7</v>
      </c>
      <c r="AH1026" s="9" t="str">
        <f t="shared" ref="AH1026:AH1089" si="211">IF(AD1026,IF(CPU_MAX=CPU_MIN,1,(L1026-CPU_MIN)/(CPU_MAX-CPU_MIN)),"")</f>
        <v/>
      </c>
      <c r="AI1026" s="9" t="str">
        <f t="shared" ref="AI1026:AI1089" si="212">IF(AD1026,IF(RAM_MAX=RAM_MIN,1,(K1026-RAM_MIN)/(RAM_MAX-RAM_MIN)),"")</f>
        <v/>
      </c>
      <c r="AJ1026" s="9" t="str">
        <f t="shared" ref="AJ1026:AJ1089" si="213">IF(AD1026,IF(GPU_MAX=GPU_MIN,1,(M1026-GPU_MIN)/(GPU_MAX-GPU_MIN)),"")</f>
        <v/>
      </c>
      <c r="AK1026" s="9" t="str">
        <f t="shared" ref="AK1026:AK1089" si="214">IF(AD1026,IF(SCREEN_MAX=SCREEN_MIN,1,(N1026-SCREEN_MIN)/(SCREEN_MAX-SCREEN_MIN)),"")</f>
        <v/>
      </c>
      <c r="AL1026" s="9" t="str">
        <f t="shared" ref="AL1026:AL1089" si="215">IF(AD1026,IF(WEIGHT_MAX=WEIGHT_MIN,1,(WEIGHT_MAX-P1026)/(WEIGHT_MAX-WEIGHT_MIN)),"")</f>
        <v/>
      </c>
      <c r="AM1026" s="9" t="str">
        <f t="shared" ref="AM1026:AM1089" si="216">IF(AD1026,IF(BATTERY_MAX=BATTERY_MIN,1,(AE1026-BATTERY_MIN)/(BATTERY_MAX-BATTERY_MIN)),"")</f>
        <v/>
      </c>
      <c r="AN1026" s="9" t="str">
        <f t="shared" ref="AN1026:AN1089" si="217">IF(AD1026,IF(DURABILITY_MAX=DURABILITY_MIN,1,(AF1026-DURABILITY_MIN)/(DURABILITY_MAX-DURABILITY_MIN)),"")</f>
        <v/>
      </c>
      <c r="AO1026" s="9" t="str">
        <f t="shared" ref="AO1026:AO1089" si="218">IF(AD1026,IF(UPGRADE_MAX=UPGRADE_MIN,1,(AG1026-UPGRADE_MIN)/(UPGRADE_MAX-UPGRADE_MIN)),"")</f>
        <v/>
      </c>
      <c r="AP1026" s="9" t="str">
        <f t="shared" ref="AP1026:AP1089" si="219">IF(AD1026,W_CPU*AH1026+W_RAM*AI1026+W_GPU*AJ1026+W_SCREEN*AK1026+W_WEIGHT*AL1026+W_BATTERY*AM1026+W_DURABILITY*AN1026+W_UPGRADE*AO1026,"" )</f>
        <v/>
      </c>
      <c r="AQ1026" s="10" t="str">
        <f t="shared" ref="AQ1026:AQ1089" si="220">IF(AP1026="","",AP1026+ROW()*0.000000001)</f>
        <v/>
      </c>
    </row>
    <row r="1027" spans="1:43">
      <c r="A1027">
        <v>1026</v>
      </c>
      <c r="B1027" t="s">
        <v>26</v>
      </c>
      <c r="C1027" t="s">
        <v>622</v>
      </c>
      <c r="D1027" t="s">
        <v>623</v>
      </c>
      <c r="E1027" t="s">
        <v>83</v>
      </c>
      <c r="G1027" t="s">
        <v>18</v>
      </c>
      <c r="H1027" s="4">
        <v>42093000</v>
      </c>
      <c r="I1027" s="5">
        <v>256</v>
      </c>
      <c r="J1027" s="5">
        <v>0</v>
      </c>
      <c r="K1027" s="5">
        <v>4</v>
      </c>
      <c r="L1027">
        <v>7</v>
      </c>
      <c r="M1027">
        <v>3.5</v>
      </c>
      <c r="N1027">
        <v>3.92</v>
      </c>
      <c r="O1027" s="6">
        <v>12.5</v>
      </c>
      <c r="P1027" s="7">
        <v>1.26</v>
      </c>
      <c r="U1027" t="s">
        <v>84</v>
      </c>
      <c r="V1027" t="s">
        <v>98</v>
      </c>
      <c r="W1027">
        <v>2.5</v>
      </c>
      <c r="X1027" t="s">
        <v>84</v>
      </c>
      <c r="Y1027" t="s">
        <v>99</v>
      </c>
      <c r="Z1027" t="s">
        <v>100</v>
      </c>
      <c r="AA1027" t="s">
        <v>114</v>
      </c>
      <c r="AB1027" t="s">
        <v>115</v>
      </c>
      <c r="AC1027">
        <v>1559</v>
      </c>
      <c r="AD1027" s="8" t="b">
        <f>AND(
 H1027&gt;=Filters!$B$3,
 H1027&lt;=Filters!$B$4,
 I1027&gt;=Filters!$B$5,
 OR(Filters!$B$6="All",B1027=Filters!$B$6),
 F1027&gt;=Filters!$B$7,
 F1027&lt;=Filters!$B$8,
 OR(Filters!$B$9="All",G1027=Filters!$B$9)
)</f>
        <v>0</v>
      </c>
      <c r="AE1027">
        <f t="shared" si="208"/>
        <v>6</v>
      </c>
      <c r="AF1027">
        <f t="shared" si="209"/>
        <v>7</v>
      </c>
      <c r="AG1027">
        <f t="shared" si="210"/>
        <v>7</v>
      </c>
      <c r="AH1027" s="9" t="str">
        <f t="shared" si="211"/>
        <v/>
      </c>
      <c r="AI1027" s="9" t="str">
        <f t="shared" si="212"/>
        <v/>
      </c>
      <c r="AJ1027" s="9" t="str">
        <f t="shared" si="213"/>
        <v/>
      </c>
      <c r="AK1027" s="9" t="str">
        <f t="shared" si="214"/>
        <v/>
      </c>
      <c r="AL1027" s="9" t="str">
        <f t="shared" si="215"/>
        <v/>
      </c>
      <c r="AM1027" s="9" t="str">
        <f t="shared" si="216"/>
        <v/>
      </c>
      <c r="AN1027" s="9" t="str">
        <f t="shared" si="217"/>
        <v/>
      </c>
      <c r="AO1027" s="9" t="str">
        <f t="shared" si="218"/>
        <v/>
      </c>
      <c r="AP1027" s="9" t="str">
        <f t="shared" si="219"/>
        <v/>
      </c>
      <c r="AQ1027" s="10" t="str">
        <f t="shared" si="220"/>
        <v/>
      </c>
    </row>
    <row r="1028" spans="1:43">
      <c r="A1028">
        <v>1027</v>
      </c>
      <c r="B1028" t="s">
        <v>26</v>
      </c>
      <c r="C1028" t="s">
        <v>734</v>
      </c>
      <c r="D1028" t="s">
        <v>735</v>
      </c>
      <c r="E1028" t="s">
        <v>97</v>
      </c>
      <c r="G1028" t="s">
        <v>18</v>
      </c>
      <c r="H1028" s="4">
        <v>32103000</v>
      </c>
      <c r="I1028" s="5">
        <v>0</v>
      </c>
      <c r="J1028" s="5">
        <v>500</v>
      </c>
      <c r="K1028" s="5">
        <v>4</v>
      </c>
      <c r="L1028">
        <v>7</v>
      </c>
      <c r="M1028">
        <v>3.5</v>
      </c>
      <c r="N1028">
        <v>4</v>
      </c>
      <c r="O1028" s="6">
        <v>14</v>
      </c>
      <c r="P1028" s="7">
        <v>2.31</v>
      </c>
      <c r="U1028" t="s">
        <v>84</v>
      </c>
      <c r="V1028" t="s">
        <v>98</v>
      </c>
      <c r="W1028">
        <v>2.5</v>
      </c>
      <c r="X1028" t="s">
        <v>84</v>
      </c>
      <c r="Y1028" t="s">
        <v>99</v>
      </c>
      <c r="Z1028" t="s">
        <v>113</v>
      </c>
      <c r="AA1028" t="s">
        <v>114</v>
      </c>
      <c r="AB1028" t="s">
        <v>115</v>
      </c>
      <c r="AC1028">
        <v>1189</v>
      </c>
      <c r="AD1028" s="8" t="b">
        <f>AND(
 H1028&gt;=Filters!$B$3,
 H1028&lt;=Filters!$B$4,
 I1028&gt;=Filters!$B$5,
 OR(Filters!$B$6="All",B1028=Filters!$B$6),
 F1028&gt;=Filters!$B$7,
 F1028&lt;=Filters!$B$8,
 OR(Filters!$B$9="All",G1028=Filters!$B$9)
)</f>
        <v>0</v>
      </c>
      <c r="AE1028">
        <f t="shared" si="208"/>
        <v>6</v>
      </c>
      <c r="AF1028">
        <f t="shared" si="209"/>
        <v>7</v>
      </c>
      <c r="AG1028">
        <f t="shared" si="210"/>
        <v>7</v>
      </c>
      <c r="AH1028" s="9" t="str">
        <f t="shared" si="211"/>
        <v/>
      </c>
      <c r="AI1028" s="9" t="str">
        <f t="shared" si="212"/>
        <v/>
      </c>
      <c r="AJ1028" s="9" t="str">
        <f t="shared" si="213"/>
        <v/>
      </c>
      <c r="AK1028" s="9" t="str">
        <f t="shared" si="214"/>
        <v/>
      </c>
      <c r="AL1028" s="9" t="str">
        <f t="shared" si="215"/>
        <v/>
      </c>
      <c r="AM1028" s="9" t="str">
        <f t="shared" si="216"/>
        <v/>
      </c>
      <c r="AN1028" s="9" t="str">
        <f t="shared" si="217"/>
        <v/>
      </c>
      <c r="AO1028" s="9" t="str">
        <f t="shared" si="218"/>
        <v/>
      </c>
      <c r="AP1028" s="9" t="str">
        <f t="shared" si="219"/>
        <v/>
      </c>
      <c r="AQ1028" s="10" t="str">
        <f t="shared" si="220"/>
        <v/>
      </c>
    </row>
    <row r="1029" spans="1:43">
      <c r="A1029">
        <v>1028</v>
      </c>
      <c r="B1029" t="s">
        <v>26</v>
      </c>
      <c r="C1029" t="s">
        <v>607</v>
      </c>
      <c r="D1029" t="s">
        <v>608</v>
      </c>
      <c r="E1029" t="s">
        <v>97</v>
      </c>
      <c r="G1029" t="s">
        <v>18</v>
      </c>
      <c r="H1029" s="4">
        <v>28620000</v>
      </c>
      <c r="I1029" s="5">
        <v>0</v>
      </c>
      <c r="J1029" s="5">
        <v>500</v>
      </c>
      <c r="K1029" s="5">
        <v>4</v>
      </c>
      <c r="L1029">
        <v>7</v>
      </c>
      <c r="M1029">
        <v>3.5</v>
      </c>
      <c r="N1029">
        <v>4</v>
      </c>
      <c r="O1029" s="6">
        <v>14</v>
      </c>
      <c r="P1029" s="7">
        <v>1.95</v>
      </c>
      <c r="U1029" t="s">
        <v>84</v>
      </c>
      <c r="V1029" t="s">
        <v>98</v>
      </c>
      <c r="W1029">
        <v>2.5</v>
      </c>
      <c r="X1029" t="s">
        <v>84</v>
      </c>
      <c r="Y1029" t="s">
        <v>99</v>
      </c>
      <c r="Z1029" t="s">
        <v>113</v>
      </c>
      <c r="AA1029" t="s">
        <v>114</v>
      </c>
      <c r="AB1029" t="s">
        <v>115</v>
      </c>
      <c r="AC1029">
        <v>1060</v>
      </c>
      <c r="AD1029" s="8" t="b">
        <f>AND(
 H1029&gt;=Filters!$B$3,
 H1029&lt;=Filters!$B$4,
 I1029&gt;=Filters!$B$5,
 OR(Filters!$B$6="All",B1029=Filters!$B$6),
 F1029&gt;=Filters!$B$7,
 F1029&lt;=Filters!$B$8,
 OR(Filters!$B$9="All",G1029=Filters!$B$9)
)</f>
        <v>0</v>
      </c>
      <c r="AE1029">
        <f t="shared" si="208"/>
        <v>6</v>
      </c>
      <c r="AF1029">
        <f t="shared" si="209"/>
        <v>7</v>
      </c>
      <c r="AG1029">
        <f t="shared" si="210"/>
        <v>7</v>
      </c>
      <c r="AH1029" s="9" t="str">
        <f t="shared" si="211"/>
        <v/>
      </c>
      <c r="AI1029" s="9" t="str">
        <f t="shared" si="212"/>
        <v/>
      </c>
      <c r="AJ1029" s="9" t="str">
        <f t="shared" si="213"/>
        <v/>
      </c>
      <c r="AK1029" s="9" t="str">
        <f t="shared" si="214"/>
        <v/>
      </c>
      <c r="AL1029" s="9" t="str">
        <f t="shared" si="215"/>
        <v/>
      </c>
      <c r="AM1029" s="9" t="str">
        <f t="shared" si="216"/>
        <v/>
      </c>
      <c r="AN1029" s="9" t="str">
        <f t="shared" si="217"/>
        <v/>
      </c>
      <c r="AO1029" s="9" t="str">
        <f t="shared" si="218"/>
        <v/>
      </c>
      <c r="AP1029" s="9" t="str">
        <f t="shared" si="219"/>
        <v/>
      </c>
      <c r="AQ1029" s="10" t="str">
        <f t="shared" si="220"/>
        <v/>
      </c>
    </row>
    <row r="1030" spans="1:43">
      <c r="A1030">
        <v>1029</v>
      </c>
      <c r="B1030" t="s">
        <v>23</v>
      </c>
      <c r="C1030" t="s">
        <v>147</v>
      </c>
      <c r="D1030" t="s">
        <v>148</v>
      </c>
      <c r="E1030" t="s">
        <v>83</v>
      </c>
      <c r="G1030" t="s">
        <v>18</v>
      </c>
      <c r="H1030" s="4">
        <v>43848000</v>
      </c>
      <c r="I1030" s="5">
        <v>256</v>
      </c>
      <c r="J1030" s="5">
        <v>0</v>
      </c>
      <c r="K1030" s="5">
        <v>8</v>
      </c>
      <c r="L1030">
        <v>7</v>
      </c>
      <c r="M1030">
        <v>3.5</v>
      </c>
      <c r="N1030">
        <v>8.4600000000000009</v>
      </c>
      <c r="O1030" s="6">
        <v>13.3</v>
      </c>
      <c r="P1030" s="7">
        <v>1.29</v>
      </c>
      <c r="U1030" t="s">
        <v>84</v>
      </c>
      <c r="V1030" t="s">
        <v>98</v>
      </c>
      <c r="W1030">
        <v>2.5</v>
      </c>
      <c r="X1030" t="s">
        <v>84</v>
      </c>
      <c r="Y1030" t="s">
        <v>99</v>
      </c>
      <c r="Z1030" t="s">
        <v>100</v>
      </c>
      <c r="AA1030" t="s">
        <v>333</v>
      </c>
      <c r="AB1030" t="s">
        <v>115</v>
      </c>
      <c r="AC1030">
        <v>1624</v>
      </c>
      <c r="AD1030" s="8" t="b">
        <f>AND(
 H1030&gt;=Filters!$B$3,
 H1030&lt;=Filters!$B$4,
 I1030&gt;=Filters!$B$5,
 OR(Filters!$B$6="All",B1030=Filters!$B$6),
 F1030&gt;=Filters!$B$7,
 F1030&lt;=Filters!$B$8,
 OR(Filters!$B$9="All",G1030=Filters!$B$9)
)</f>
        <v>0</v>
      </c>
      <c r="AE1030">
        <f t="shared" si="208"/>
        <v>6</v>
      </c>
      <c r="AF1030">
        <f t="shared" si="209"/>
        <v>7</v>
      </c>
      <c r="AG1030">
        <f t="shared" si="210"/>
        <v>7</v>
      </c>
      <c r="AH1030" s="9" t="str">
        <f t="shared" si="211"/>
        <v/>
      </c>
      <c r="AI1030" s="9" t="str">
        <f t="shared" si="212"/>
        <v/>
      </c>
      <c r="AJ1030" s="9" t="str">
        <f t="shared" si="213"/>
        <v/>
      </c>
      <c r="AK1030" s="9" t="str">
        <f t="shared" si="214"/>
        <v/>
      </c>
      <c r="AL1030" s="9" t="str">
        <f t="shared" si="215"/>
        <v/>
      </c>
      <c r="AM1030" s="9" t="str">
        <f t="shared" si="216"/>
        <v/>
      </c>
      <c r="AN1030" s="9" t="str">
        <f t="shared" si="217"/>
        <v/>
      </c>
      <c r="AO1030" s="9" t="str">
        <f t="shared" si="218"/>
        <v/>
      </c>
      <c r="AP1030" s="9" t="str">
        <f t="shared" si="219"/>
        <v/>
      </c>
      <c r="AQ1030" s="10" t="str">
        <f t="shared" si="220"/>
        <v/>
      </c>
    </row>
    <row r="1031" spans="1:43">
      <c r="A1031">
        <v>1030</v>
      </c>
      <c r="B1031" t="s">
        <v>26</v>
      </c>
      <c r="C1031" t="s">
        <v>350</v>
      </c>
      <c r="D1031" t="s">
        <v>351</v>
      </c>
      <c r="E1031" t="s">
        <v>97</v>
      </c>
      <c r="G1031" t="s">
        <v>18</v>
      </c>
      <c r="H1031" s="4">
        <v>29160000</v>
      </c>
      <c r="I1031" s="5">
        <v>256</v>
      </c>
      <c r="J1031" s="5">
        <v>0</v>
      </c>
      <c r="K1031" s="5">
        <v>8</v>
      </c>
      <c r="L1031">
        <v>7</v>
      </c>
      <c r="M1031">
        <v>6.5</v>
      </c>
      <c r="N1031">
        <v>5.83</v>
      </c>
      <c r="O1031" s="6">
        <v>17.3</v>
      </c>
      <c r="P1031" s="7">
        <v>2.63</v>
      </c>
      <c r="U1031" t="s">
        <v>84</v>
      </c>
      <c r="V1031" t="s">
        <v>98</v>
      </c>
      <c r="W1031">
        <v>2.5</v>
      </c>
      <c r="X1031" t="s">
        <v>122</v>
      </c>
      <c r="Y1031" t="s">
        <v>183</v>
      </c>
      <c r="Z1031" t="s">
        <v>100</v>
      </c>
      <c r="AA1031" t="s">
        <v>101</v>
      </c>
      <c r="AB1031" t="s">
        <v>115</v>
      </c>
      <c r="AC1031">
        <v>1080</v>
      </c>
      <c r="AD1031" s="8" t="b">
        <f>AND(
 H1031&gt;=Filters!$B$3,
 H1031&lt;=Filters!$B$4,
 I1031&gt;=Filters!$B$5,
 OR(Filters!$B$6="All",B1031=Filters!$B$6),
 F1031&gt;=Filters!$B$7,
 F1031&lt;=Filters!$B$8,
 OR(Filters!$B$9="All",G1031=Filters!$B$9)
)</f>
        <v>0</v>
      </c>
      <c r="AE1031">
        <f t="shared" si="208"/>
        <v>6</v>
      </c>
      <c r="AF1031">
        <f t="shared" si="209"/>
        <v>7</v>
      </c>
      <c r="AG1031">
        <f t="shared" si="210"/>
        <v>7</v>
      </c>
      <c r="AH1031" s="9" t="str">
        <f t="shared" si="211"/>
        <v/>
      </c>
      <c r="AI1031" s="9" t="str">
        <f t="shared" si="212"/>
        <v/>
      </c>
      <c r="AJ1031" s="9" t="str">
        <f t="shared" si="213"/>
        <v/>
      </c>
      <c r="AK1031" s="9" t="str">
        <f t="shared" si="214"/>
        <v/>
      </c>
      <c r="AL1031" s="9" t="str">
        <f t="shared" si="215"/>
        <v/>
      </c>
      <c r="AM1031" s="9" t="str">
        <f t="shared" si="216"/>
        <v/>
      </c>
      <c r="AN1031" s="9" t="str">
        <f t="shared" si="217"/>
        <v/>
      </c>
      <c r="AO1031" s="9" t="str">
        <f t="shared" si="218"/>
        <v/>
      </c>
      <c r="AP1031" s="9" t="str">
        <f t="shared" si="219"/>
        <v/>
      </c>
      <c r="AQ1031" s="10" t="str">
        <f t="shared" si="220"/>
        <v/>
      </c>
    </row>
    <row r="1032" spans="1:43">
      <c r="A1032">
        <v>1031</v>
      </c>
      <c r="B1032" t="s">
        <v>26</v>
      </c>
      <c r="C1032" t="s">
        <v>287</v>
      </c>
      <c r="D1032" t="s">
        <v>288</v>
      </c>
      <c r="E1032" t="s">
        <v>97</v>
      </c>
      <c r="G1032" t="s">
        <v>18</v>
      </c>
      <c r="H1032" s="4">
        <v>26271000</v>
      </c>
      <c r="I1032" s="5">
        <v>256</v>
      </c>
      <c r="J1032" s="5">
        <v>0</v>
      </c>
      <c r="K1032" s="5">
        <v>4</v>
      </c>
      <c r="L1032">
        <v>7</v>
      </c>
      <c r="M1032">
        <v>3.5</v>
      </c>
      <c r="N1032">
        <v>4</v>
      </c>
      <c r="O1032" s="6">
        <v>14</v>
      </c>
      <c r="P1032" s="7">
        <v>1.64</v>
      </c>
      <c r="U1032" t="s">
        <v>84</v>
      </c>
      <c r="V1032" t="s">
        <v>98</v>
      </c>
      <c r="W1032">
        <v>2.5</v>
      </c>
      <c r="X1032" t="s">
        <v>84</v>
      </c>
      <c r="Y1032" t="s">
        <v>99</v>
      </c>
      <c r="Z1032" t="s">
        <v>100</v>
      </c>
      <c r="AA1032" t="s">
        <v>114</v>
      </c>
      <c r="AB1032" t="s">
        <v>115</v>
      </c>
      <c r="AC1032">
        <v>973</v>
      </c>
      <c r="AD1032" s="8" t="b">
        <f>AND(
 H1032&gt;=Filters!$B$3,
 H1032&lt;=Filters!$B$4,
 I1032&gt;=Filters!$B$5,
 OR(Filters!$B$6="All",B1032=Filters!$B$6),
 F1032&gt;=Filters!$B$7,
 F1032&lt;=Filters!$B$8,
 OR(Filters!$B$9="All",G1032=Filters!$B$9)
)</f>
        <v>0</v>
      </c>
      <c r="AE1032">
        <f t="shared" si="208"/>
        <v>6</v>
      </c>
      <c r="AF1032">
        <f t="shared" si="209"/>
        <v>7</v>
      </c>
      <c r="AG1032">
        <f t="shared" si="210"/>
        <v>7</v>
      </c>
      <c r="AH1032" s="9" t="str">
        <f t="shared" si="211"/>
        <v/>
      </c>
      <c r="AI1032" s="9" t="str">
        <f t="shared" si="212"/>
        <v/>
      </c>
      <c r="AJ1032" s="9" t="str">
        <f t="shared" si="213"/>
        <v/>
      </c>
      <c r="AK1032" s="9" t="str">
        <f t="shared" si="214"/>
        <v/>
      </c>
      <c r="AL1032" s="9" t="str">
        <f t="shared" si="215"/>
        <v/>
      </c>
      <c r="AM1032" s="9" t="str">
        <f t="shared" si="216"/>
        <v/>
      </c>
      <c r="AN1032" s="9" t="str">
        <f t="shared" si="217"/>
        <v/>
      </c>
      <c r="AO1032" s="9" t="str">
        <f t="shared" si="218"/>
        <v/>
      </c>
      <c r="AP1032" s="9" t="str">
        <f t="shared" si="219"/>
        <v/>
      </c>
      <c r="AQ1032" s="10" t="str">
        <f t="shared" si="220"/>
        <v/>
      </c>
    </row>
    <row r="1033" spans="1:43">
      <c r="A1033">
        <v>1032</v>
      </c>
      <c r="B1033" t="s">
        <v>17</v>
      </c>
      <c r="C1033" t="s">
        <v>109</v>
      </c>
      <c r="D1033" t="s">
        <v>110</v>
      </c>
      <c r="E1033" t="s">
        <v>97</v>
      </c>
      <c r="G1033" t="s">
        <v>18</v>
      </c>
      <c r="H1033" s="4">
        <v>11043000</v>
      </c>
      <c r="I1033" s="5">
        <v>0</v>
      </c>
      <c r="J1033" s="5">
        <v>1024</v>
      </c>
      <c r="K1033" s="5">
        <v>6</v>
      </c>
      <c r="L1033">
        <v>7</v>
      </c>
      <c r="M1033">
        <v>6.5</v>
      </c>
      <c r="N1033">
        <v>3.92</v>
      </c>
      <c r="O1033" s="6">
        <v>15.6</v>
      </c>
      <c r="P1033" s="7">
        <v>2.1</v>
      </c>
      <c r="U1033" t="s">
        <v>104</v>
      </c>
      <c r="V1033" t="s">
        <v>111</v>
      </c>
      <c r="W1033">
        <v>3</v>
      </c>
      <c r="X1033" t="s">
        <v>104</v>
      </c>
      <c r="Y1033" t="s">
        <v>112</v>
      </c>
      <c r="Z1033" t="s">
        <v>146</v>
      </c>
      <c r="AA1033" t="s">
        <v>114</v>
      </c>
      <c r="AB1033" t="s">
        <v>115</v>
      </c>
      <c r="AC1033">
        <v>409</v>
      </c>
      <c r="AD1033" s="8" t="b">
        <f>AND(
 H1033&gt;=Filters!$B$3,
 H1033&lt;=Filters!$B$4,
 I1033&gt;=Filters!$B$5,
 OR(Filters!$B$6="All",B1033=Filters!$B$6),
 F1033&gt;=Filters!$B$7,
 F1033&lt;=Filters!$B$8,
 OR(Filters!$B$9="All",G1033=Filters!$B$9)
)</f>
        <v>0</v>
      </c>
      <c r="AE1033">
        <f t="shared" si="208"/>
        <v>6</v>
      </c>
      <c r="AF1033">
        <f t="shared" si="209"/>
        <v>7</v>
      </c>
      <c r="AG1033">
        <f t="shared" si="210"/>
        <v>7</v>
      </c>
      <c r="AH1033" s="9" t="str">
        <f t="shared" si="211"/>
        <v/>
      </c>
      <c r="AI1033" s="9" t="str">
        <f t="shared" si="212"/>
        <v/>
      </c>
      <c r="AJ1033" s="9" t="str">
        <f t="shared" si="213"/>
        <v/>
      </c>
      <c r="AK1033" s="9" t="str">
        <f t="shared" si="214"/>
        <v/>
      </c>
      <c r="AL1033" s="9" t="str">
        <f t="shared" si="215"/>
        <v/>
      </c>
      <c r="AM1033" s="9" t="str">
        <f t="shared" si="216"/>
        <v/>
      </c>
      <c r="AN1033" s="9" t="str">
        <f t="shared" si="217"/>
        <v/>
      </c>
      <c r="AO1033" s="9" t="str">
        <f t="shared" si="218"/>
        <v/>
      </c>
      <c r="AP1033" s="9" t="str">
        <f t="shared" si="219"/>
        <v/>
      </c>
      <c r="AQ1033" s="10" t="str">
        <f t="shared" si="220"/>
        <v/>
      </c>
    </row>
    <row r="1034" spans="1:43">
      <c r="A1034">
        <v>1033</v>
      </c>
      <c r="B1034" t="s">
        <v>30</v>
      </c>
      <c r="C1034" t="s">
        <v>275</v>
      </c>
      <c r="D1034" t="s">
        <v>276</v>
      </c>
      <c r="E1034" t="s">
        <v>158</v>
      </c>
      <c r="G1034" t="s">
        <v>18</v>
      </c>
      <c r="H1034" s="4">
        <v>32178600</v>
      </c>
      <c r="I1034" s="5">
        <v>128</v>
      </c>
      <c r="J1034" s="5">
        <v>1024</v>
      </c>
      <c r="K1034" s="5">
        <v>8</v>
      </c>
      <c r="L1034">
        <v>9.6</v>
      </c>
      <c r="M1034">
        <v>9.1999999999999993</v>
      </c>
      <c r="N1034">
        <v>5.83</v>
      </c>
      <c r="O1034" s="6">
        <v>17.3</v>
      </c>
      <c r="P1034" s="7">
        <v>2.7</v>
      </c>
      <c r="U1034" t="s">
        <v>84</v>
      </c>
      <c r="V1034" t="s">
        <v>210</v>
      </c>
      <c r="W1034">
        <v>2.8</v>
      </c>
      <c r="X1034" t="s">
        <v>122</v>
      </c>
      <c r="Y1034" t="s">
        <v>160</v>
      </c>
      <c r="Z1034" t="s">
        <v>161</v>
      </c>
      <c r="AA1034" t="s">
        <v>101</v>
      </c>
      <c r="AB1034" t="s">
        <v>115</v>
      </c>
      <c r="AC1034">
        <v>1191.8</v>
      </c>
      <c r="AD1034" s="8" t="b">
        <f>AND(
 H1034&gt;=Filters!$B$3,
 H1034&lt;=Filters!$B$4,
 I1034&gt;=Filters!$B$5,
 OR(Filters!$B$6="All",B1034=Filters!$B$6),
 F1034&gt;=Filters!$B$7,
 F1034&lt;=Filters!$B$8,
 OR(Filters!$B$9="All",G1034=Filters!$B$9)
)</f>
        <v>0</v>
      </c>
      <c r="AE1034">
        <f t="shared" si="208"/>
        <v>6</v>
      </c>
      <c r="AF1034">
        <f t="shared" si="209"/>
        <v>7</v>
      </c>
      <c r="AG1034">
        <f t="shared" si="210"/>
        <v>7</v>
      </c>
      <c r="AH1034" s="9" t="str">
        <f t="shared" si="211"/>
        <v/>
      </c>
      <c r="AI1034" s="9" t="str">
        <f t="shared" si="212"/>
        <v/>
      </c>
      <c r="AJ1034" s="9" t="str">
        <f t="shared" si="213"/>
        <v/>
      </c>
      <c r="AK1034" s="9" t="str">
        <f t="shared" si="214"/>
        <v/>
      </c>
      <c r="AL1034" s="9" t="str">
        <f t="shared" si="215"/>
        <v/>
      </c>
      <c r="AM1034" s="9" t="str">
        <f t="shared" si="216"/>
        <v/>
      </c>
      <c r="AN1034" s="9" t="str">
        <f t="shared" si="217"/>
        <v/>
      </c>
      <c r="AO1034" s="9" t="str">
        <f t="shared" si="218"/>
        <v/>
      </c>
      <c r="AP1034" s="9" t="str">
        <f t="shared" si="219"/>
        <v/>
      </c>
      <c r="AQ1034" s="10" t="str">
        <f t="shared" si="220"/>
        <v/>
      </c>
    </row>
    <row r="1035" spans="1:43">
      <c r="A1035">
        <v>1034</v>
      </c>
      <c r="B1035" t="s">
        <v>26</v>
      </c>
      <c r="C1035" t="s">
        <v>1281</v>
      </c>
      <c r="D1035" t="s">
        <v>1282</v>
      </c>
      <c r="E1035" t="s">
        <v>97</v>
      </c>
      <c r="G1035" t="s">
        <v>18</v>
      </c>
      <c r="H1035" s="4">
        <v>32265000</v>
      </c>
      <c r="I1035" s="5">
        <v>256</v>
      </c>
      <c r="J1035" s="5">
        <v>0</v>
      </c>
      <c r="K1035" s="5">
        <v>8</v>
      </c>
      <c r="L1035">
        <v>6.6</v>
      </c>
      <c r="M1035">
        <v>3.5</v>
      </c>
      <c r="N1035">
        <v>6</v>
      </c>
      <c r="O1035" s="6">
        <v>14</v>
      </c>
      <c r="P1035" s="7">
        <v>1.95</v>
      </c>
      <c r="U1035" t="s">
        <v>84</v>
      </c>
      <c r="V1035" t="s">
        <v>375</v>
      </c>
      <c r="W1035">
        <v>2.2999999999999998</v>
      </c>
      <c r="X1035" t="s">
        <v>84</v>
      </c>
      <c r="Y1035" t="s">
        <v>130</v>
      </c>
      <c r="Z1035" t="s">
        <v>100</v>
      </c>
      <c r="AA1035" t="s">
        <v>101</v>
      </c>
      <c r="AB1035" t="s">
        <v>869</v>
      </c>
      <c r="AC1035">
        <v>1195</v>
      </c>
      <c r="AD1035" s="8" t="b">
        <f>AND(
 H1035&gt;=Filters!$B$3,
 H1035&lt;=Filters!$B$4,
 I1035&gt;=Filters!$B$5,
 OR(Filters!$B$6="All",B1035=Filters!$B$6),
 F1035&gt;=Filters!$B$7,
 F1035&lt;=Filters!$B$8,
 OR(Filters!$B$9="All",G1035=Filters!$B$9)
)</f>
        <v>0</v>
      </c>
      <c r="AE1035">
        <f t="shared" si="208"/>
        <v>6</v>
      </c>
      <c r="AF1035">
        <f t="shared" si="209"/>
        <v>7</v>
      </c>
      <c r="AG1035">
        <f t="shared" si="210"/>
        <v>7</v>
      </c>
      <c r="AH1035" s="9" t="str">
        <f t="shared" si="211"/>
        <v/>
      </c>
      <c r="AI1035" s="9" t="str">
        <f t="shared" si="212"/>
        <v/>
      </c>
      <c r="AJ1035" s="9" t="str">
        <f t="shared" si="213"/>
        <v/>
      </c>
      <c r="AK1035" s="9" t="str">
        <f t="shared" si="214"/>
        <v/>
      </c>
      <c r="AL1035" s="9" t="str">
        <f t="shared" si="215"/>
        <v/>
      </c>
      <c r="AM1035" s="9" t="str">
        <f t="shared" si="216"/>
        <v/>
      </c>
      <c r="AN1035" s="9" t="str">
        <f t="shared" si="217"/>
        <v/>
      </c>
      <c r="AO1035" s="9" t="str">
        <f t="shared" si="218"/>
        <v/>
      </c>
      <c r="AP1035" s="9" t="str">
        <f t="shared" si="219"/>
        <v/>
      </c>
      <c r="AQ1035" s="10" t="str">
        <f t="shared" si="220"/>
        <v/>
      </c>
    </row>
    <row r="1036" spans="1:43">
      <c r="A1036">
        <v>1035</v>
      </c>
      <c r="B1036" t="s">
        <v>26</v>
      </c>
      <c r="C1036" t="s">
        <v>957</v>
      </c>
      <c r="D1036" t="s">
        <v>958</v>
      </c>
      <c r="E1036" t="s">
        <v>97</v>
      </c>
      <c r="G1036" t="s">
        <v>18</v>
      </c>
      <c r="H1036" s="4">
        <v>33182730</v>
      </c>
      <c r="I1036" s="5">
        <v>256</v>
      </c>
      <c r="J1036" s="5">
        <v>0</v>
      </c>
      <c r="K1036" s="5">
        <v>8</v>
      </c>
      <c r="L1036">
        <v>9</v>
      </c>
      <c r="M1036">
        <v>3.5</v>
      </c>
      <c r="N1036">
        <v>5.92</v>
      </c>
      <c r="O1036" s="6">
        <v>15.6</v>
      </c>
      <c r="P1036" s="7">
        <v>1.84</v>
      </c>
      <c r="U1036" t="s">
        <v>84</v>
      </c>
      <c r="V1036" t="s">
        <v>485</v>
      </c>
      <c r="W1036">
        <v>2.5</v>
      </c>
      <c r="X1036" t="s">
        <v>84</v>
      </c>
      <c r="Y1036" t="s">
        <v>130</v>
      </c>
      <c r="Z1036" t="s">
        <v>100</v>
      </c>
      <c r="AA1036" t="s">
        <v>101</v>
      </c>
      <c r="AB1036" t="s">
        <v>115</v>
      </c>
      <c r="AC1036">
        <v>1228.99</v>
      </c>
      <c r="AD1036" s="8" t="b">
        <f>AND(
 H1036&gt;=Filters!$B$3,
 H1036&lt;=Filters!$B$4,
 I1036&gt;=Filters!$B$5,
 OR(Filters!$B$6="All",B1036=Filters!$B$6),
 F1036&gt;=Filters!$B$7,
 F1036&lt;=Filters!$B$8,
 OR(Filters!$B$9="All",G1036=Filters!$B$9)
)</f>
        <v>0</v>
      </c>
      <c r="AE1036">
        <f t="shared" si="208"/>
        <v>6</v>
      </c>
      <c r="AF1036">
        <f t="shared" si="209"/>
        <v>7</v>
      </c>
      <c r="AG1036">
        <f t="shared" si="210"/>
        <v>7</v>
      </c>
      <c r="AH1036" s="9" t="str">
        <f t="shared" si="211"/>
        <v/>
      </c>
      <c r="AI1036" s="9" t="str">
        <f t="shared" si="212"/>
        <v/>
      </c>
      <c r="AJ1036" s="9" t="str">
        <f t="shared" si="213"/>
        <v/>
      </c>
      <c r="AK1036" s="9" t="str">
        <f t="shared" si="214"/>
        <v/>
      </c>
      <c r="AL1036" s="9" t="str">
        <f t="shared" si="215"/>
        <v/>
      </c>
      <c r="AM1036" s="9" t="str">
        <f t="shared" si="216"/>
        <v/>
      </c>
      <c r="AN1036" s="9" t="str">
        <f t="shared" si="217"/>
        <v/>
      </c>
      <c r="AO1036" s="9" t="str">
        <f t="shared" si="218"/>
        <v/>
      </c>
      <c r="AP1036" s="9" t="str">
        <f t="shared" si="219"/>
        <v/>
      </c>
      <c r="AQ1036" s="10" t="str">
        <f t="shared" si="220"/>
        <v/>
      </c>
    </row>
    <row r="1037" spans="1:43">
      <c r="A1037">
        <v>1036</v>
      </c>
      <c r="B1037" t="s">
        <v>26</v>
      </c>
      <c r="C1037" t="s">
        <v>1165</v>
      </c>
      <c r="D1037" t="s">
        <v>1166</v>
      </c>
      <c r="E1037" t="s">
        <v>83</v>
      </c>
      <c r="G1037" t="s">
        <v>18</v>
      </c>
      <c r="H1037" s="4">
        <v>36423000</v>
      </c>
      <c r="I1037" s="5">
        <v>256</v>
      </c>
      <c r="J1037" s="5">
        <v>0</v>
      </c>
      <c r="K1037" s="5">
        <v>8</v>
      </c>
      <c r="L1037">
        <v>9</v>
      </c>
      <c r="M1037">
        <v>3.5</v>
      </c>
      <c r="N1037">
        <v>5.92</v>
      </c>
      <c r="O1037" s="6">
        <v>12.5</v>
      </c>
      <c r="P1037" s="7">
        <v>1.26</v>
      </c>
      <c r="U1037" t="s">
        <v>84</v>
      </c>
      <c r="V1037" t="s">
        <v>485</v>
      </c>
      <c r="W1037">
        <v>2.5</v>
      </c>
      <c r="X1037" t="s">
        <v>84</v>
      </c>
      <c r="Y1037" t="s">
        <v>130</v>
      </c>
      <c r="Z1037" t="s">
        <v>100</v>
      </c>
      <c r="AA1037" t="s">
        <v>101</v>
      </c>
      <c r="AB1037" t="s">
        <v>115</v>
      </c>
      <c r="AC1037">
        <v>1349</v>
      </c>
      <c r="AD1037" s="8" t="b">
        <f>AND(
 H1037&gt;=Filters!$B$3,
 H1037&lt;=Filters!$B$4,
 I1037&gt;=Filters!$B$5,
 OR(Filters!$B$6="All",B1037=Filters!$B$6),
 F1037&gt;=Filters!$B$7,
 F1037&lt;=Filters!$B$8,
 OR(Filters!$B$9="All",G1037=Filters!$B$9)
)</f>
        <v>0</v>
      </c>
      <c r="AE1037">
        <f t="shared" si="208"/>
        <v>6</v>
      </c>
      <c r="AF1037">
        <f t="shared" si="209"/>
        <v>7</v>
      </c>
      <c r="AG1037">
        <f t="shared" si="210"/>
        <v>7</v>
      </c>
      <c r="AH1037" s="9" t="str">
        <f t="shared" si="211"/>
        <v/>
      </c>
      <c r="AI1037" s="9" t="str">
        <f t="shared" si="212"/>
        <v/>
      </c>
      <c r="AJ1037" s="9" t="str">
        <f t="shared" si="213"/>
        <v/>
      </c>
      <c r="AK1037" s="9" t="str">
        <f t="shared" si="214"/>
        <v/>
      </c>
      <c r="AL1037" s="9" t="str">
        <f t="shared" si="215"/>
        <v/>
      </c>
      <c r="AM1037" s="9" t="str">
        <f t="shared" si="216"/>
        <v/>
      </c>
      <c r="AN1037" s="9" t="str">
        <f t="shared" si="217"/>
        <v/>
      </c>
      <c r="AO1037" s="9" t="str">
        <f t="shared" si="218"/>
        <v/>
      </c>
      <c r="AP1037" s="9" t="str">
        <f t="shared" si="219"/>
        <v/>
      </c>
      <c r="AQ1037" s="10" t="str">
        <f t="shared" si="220"/>
        <v/>
      </c>
    </row>
    <row r="1038" spans="1:43">
      <c r="A1038">
        <v>1037</v>
      </c>
      <c r="B1038" t="s">
        <v>26</v>
      </c>
      <c r="C1038" t="s">
        <v>204</v>
      </c>
      <c r="D1038" t="s">
        <v>205</v>
      </c>
      <c r="E1038" t="s">
        <v>97</v>
      </c>
      <c r="G1038" t="s">
        <v>18</v>
      </c>
      <c r="H1038" s="4">
        <v>20034000</v>
      </c>
      <c r="I1038" s="5">
        <v>0</v>
      </c>
      <c r="J1038" s="5">
        <v>500</v>
      </c>
      <c r="K1038" s="5">
        <v>4</v>
      </c>
      <c r="L1038">
        <v>7</v>
      </c>
      <c r="M1038">
        <v>3.5</v>
      </c>
      <c r="N1038">
        <v>3.92</v>
      </c>
      <c r="O1038" s="6">
        <v>15.6</v>
      </c>
      <c r="P1038" s="7">
        <v>2.04</v>
      </c>
      <c r="U1038" t="s">
        <v>84</v>
      </c>
      <c r="V1038" t="s">
        <v>98</v>
      </c>
      <c r="W1038">
        <v>2.5</v>
      </c>
      <c r="X1038" t="s">
        <v>84</v>
      </c>
      <c r="Y1038" t="s">
        <v>99</v>
      </c>
      <c r="Z1038" t="s">
        <v>113</v>
      </c>
      <c r="AA1038" t="s">
        <v>114</v>
      </c>
      <c r="AB1038" t="s">
        <v>115</v>
      </c>
      <c r="AC1038">
        <v>742</v>
      </c>
      <c r="AD1038" s="8" t="b">
        <f>AND(
 H1038&gt;=Filters!$B$3,
 H1038&lt;=Filters!$B$4,
 I1038&gt;=Filters!$B$5,
 OR(Filters!$B$6="All",B1038=Filters!$B$6),
 F1038&gt;=Filters!$B$7,
 F1038&lt;=Filters!$B$8,
 OR(Filters!$B$9="All",G1038=Filters!$B$9)
)</f>
        <v>0</v>
      </c>
      <c r="AE1038">
        <f t="shared" si="208"/>
        <v>6</v>
      </c>
      <c r="AF1038">
        <f t="shared" si="209"/>
        <v>7</v>
      </c>
      <c r="AG1038">
        <f t="shared" si="210"/>
        <v>7</v>
      </c>
      <c r="AH1038" s="9" t="str">
        <f t="shared" si="211"/>
        <v/>
      </c>
      <c r="AI1038" s="9" t="str">
        <f t="shared" si="212"/>
        <v/>
      </c>
      <c r="AJ1038" s="9" t="str">
        <f t="shared" si="213"/>
        <v/>
      </c>
      <c r="AK1038" s="9" t="str">
        <f t="shared" si="214"/>
        <v/>
      </c>
      <c r="AL1038" s="9" t="str">
        <f t="shared" si="215"/>
        <v/>
      </c>
      <c r="AM1038" s="9" t="str">
        <f t="shared" si="216"/>
        <v/>
      </c>
      <c r="AN1038" s="9" t="str">
        <f t="shared" si="217"/>
        <v/>
      </c>
      <c r="AO1038" s="9" t="str">
        <f t="shared" si="218"/>
        <v/>
      </c>
      <c r="AP1038" s="9" t="str">
        <f t="shared" si="219"/>
        <v/>
      </c>
      <c r="AQ1038" s="10" t="str">
        <f t="shared" si="220"/>
        <v/>
      </c>
    </row>
    <row r="1039" spans="1:43">
      <c r="A1039">
        <v>1038</v>
      </c>
      <c r="B1039" t="s">
        <v>35</v>
      </c>
      <c r="C1039" t="s">
        <v>1411</v>
      </c>
      <c r="D1039" t="s">
        <v>1412</v>
      </c>
      <c r="E1039" t="s">
        <v>83</v>
      </c>
      <c r="G1039" t="s">
        <v>18</v>
      </c>
      <c r="H1039" s="4">
        <v>46575000</v>
      </c>
      <c r="I1039" s="5">
        <v>256</v>
      </c>
      <c r="J1039" s="5">
        <v>0</v>
      </c>
      <c r="K1039" s="5">
        <v>8</v>
      </c>
      <c r="L1039">
        <v>9.1999999999999993</v>
      </c>
      <c r="M1039">
        <v>3.5</v>
      </c>
      <c r="N1039">
        <v>6.4</v>
      </c>
      <c r="O1039" s="6">
        <v>14</v>
      </c>
      <c r="P1039" s="7">
        <v>1.47</v>
      </c>
      <c r="U1039" t="s">
        <v>84</v>
      </c>
      <c r="V1039" t="s">
        <v>548</v>
      </c>
      <c r="W1039">
        <v>2.6</v>
      </c>
      <c r="X1039" t="s">
        <v>84</v>
      </c>
      <c r="Y1039" t="s">
        <v>130</v>
      </c>
      <c r="Z1039" t="s">
        <v>100</v>
      </c>
      <c r="AA1039" t="s">
        <v>128</v>
      </c>
      <c r="AB1039" t="s">
        <v>115</v>
      </c>
      <c r="AC1039">
        <v>1725</v>
      </c>
      <c r="AD1039" s="8" t="b">
        <f>AND(
 H1039&gt;=Filters!$B$3,
 H1039&lt;=Filters!$B$4,
 I1039&gt;=Filters!$B$5,
 OR(Filters!$B$6="All",B1039=Filters!$B$6),
 F1039&gt;=Filters!$B$7,
 F1039&lt;=Filters!$B$8,
 OR(Filters!$B$9="All",G1039=Filters!$B$9)
)</f>
        <v>0</v>
      </c>
      <c r="AE1039">
        <f t="shared" si="208"/>
        <v>6</v>
      </c>
      <c r="AF1039">
        <f t="shared" si="209"/>
        <v>7</v>
      </c>
      <c r="AG1039">
        <f t="shared" si="210"/>
        <v>7</v>
      </c>
      <c r="AH1039" s="9" t="str">
        <f t="shared" si="211"/>
        <v/>
      </c>
      <c r="AI1039" s="9" t="str">
        <f t="shared" si="212"/>
        <v/>
      </c>
      <c r="AJ1039" s="9" t="str">
        <f t="shared" si="213"/>
        <v/>
      </c>
      <c r="AK1039" s="9" t="str">
        <f t="shared" si="214"/>
        <v/>
      </c>
      <c r="AL1039" s="9" t="str">
        <f t="shared" si="215"/>
        <v/>
      </c>
      <c r="AM1039" s="9" t="str">
        <f t="shared" si="216"/>
        <v/>
      </c>
      <c r="AN1039" s="9" t="str">
        <f t="shared" si="217"/>
        <v/>
      </c>
      <c r="AO1039" s="9" t="str">
        <f t="shared" si="218"/>
        <v/>
      </c>
      <c r="AP1039" s="9" t="str">
        <f t="shared" si="219"/>
        <v/>
      </c>
      <c r="AQ1039" s="10" t="str">
        <f t="shared" si="220"/>
        <v/>
      </c>
    </row>
    <row r="1040" spans="1:43">
      <c r="A1040">
        <v>1039</v>
      </c>
      <c r="B1040" t="s">
        <v>23</v>
      </c>
      <c r="C1040" t="s">
        <v>1409</v>
      </c>
      <c r="D1040" t="s">
        <v>1410</v>
      </c>
      <c r="E1040" t="s">
        <v>97</v>
      </c>
      <c r="G1040" t="s">
        <v>18</v>
      </c>
      <c r="H1040" s="4">
        <v>28699650</v>
      </c>
      <c r="I1040" s="5">
        <v>256</v>
      </c>
      <c r="J1040" s="5">
        <v>0</v>
      </c>
      <c r="K1040" s="5">
        <v>8</v>
      </c>
      <c r="L1040">
        <v>6.8</v>
      </c>
      <c r="M1040">
        <v>3.5</v>
      </c>
      <c r="N1040">
        <v>5.92</v>
      </c>
      <c r="O1040" s="6">
        <v>15.6</v>
      </c>
      <c r="P1040" s="7">
        <v>2.09</v>
      </c>
      <c r="U1040" t="s">
        <v>84</v>
      </c>
      <c r="V1040" t="s">
        <v>1024</v>
      </c>
      <c r="W1040">
        <v>2.4</v>
      </c>
      <c r="X1040" t="s">
        <v>84</v>
      </c>
      <c r="Y1040" t="s">
        <v>130</v>
      </c>
      <c r="Z1040" t="s">
        <v>100</v>
      </c>
      <c r="AA1040" t="s">
        <v>101</v>
      </c>
      <c r="AB1040" t="s">
        <v>869</v>
      </c>
      <c r="AC1040">
        <v>1062.95</v>
      </c>
      <c r="AD1040" s="8" t="b">
        <f>AND(
 H1040&gt;=Filters!$B$3,
 H1040&lt;=Filters!$B$4,
 I1040&gt;=Filters!$B$5,
 OR(Filters!$B$6="All",B1040=Filters!$B$6),
 F1040&gt;=Filters!$B$7,
 F1040&lt;=Filters!$B$8,
 OR(Filters!$B$9="All",G1040=Filters!$B$9)
)</f>
        <v>0</v>
      </c>
      <c r="AE1040">
        <f t="shared" si="208"/>
        <v>6</v>
      </c>
      <c r="AF1040">
        <f t="shared" si="209"/>
        <v>7</v>
      </c>
      <c r="AG1040">
        <f t="shared" si="210"/>
        <v>7</v>
      </c>
      <c r="AH1040" s="9" t="str">
        <f t="shared" si="211"/>
        <v/>
      </c>
      <c r="AI1040" s="9" t="str">
        <f t="shared" si="212"/>
        <v/>
      </c>
      <c r="AJ1040" s="9" t="str">
        <f t="shared" si="213"/>
        <v/>
      </c>
      <c r="AK1040" s="9" t="str">
        <f t="shared" si="214"/>
        <v/>
      </c>
      <c r="AL1040" s="9" t="str">
        <f t="shared" si="215"/>
        <v/>
      </c>
      <c r="AM1040" s="9" t="str">
        <f t="shared" si="216"/>
        <v/>
      </c>
      <c r="AN1040" s="9" t="str">
        <f t="shared" si="217"/>
        <v/>
      </c>
      <c r="AO1040" s="9" t="str">
        <f t="shared" si="218"/>
        <v/>
      </c>
      <c r="AP1040" s="9" t="str">
        <f t="shared" si="219"/>
        <v/>
      </c>
      <c r="AQ1040" s="10" t="str">
        <f t="shared" si="220"/>
        <v/>
      </c>
    </row>
    <row r="1041" spans="1:43">
      <c r="A1041">
        <v>1040</v>
      </c>
      <c r="B1041" t="s">
        <v>26</v>
      </c>
      <c r="C1041" t="s">
        <v>287</v>
      </c>
      <c r="D1041" t="s">
        <v>288</v>
      </c>
      <c r="E1041" t="s">
        <v>97</v>
      </c>
      <c r="G1041" t="s">
        <v>18</v>
      </c>
      <c r="H1041" s="4">
        <v>27283770</v>
      </c>
      <c r="I1041" s="5">
        <v>256</v>
      </c>
      <c r="J1041" s="5">
        <v>0</v>
      </c>
      <c r="K1041" s="5">
        <v>8</v>
      </c>
      <c r="L1041">
        <v>7</v>
      </c>
      <c r="M1041">
        <v>3.5</v>
      </c>
      <c r="N1041">
        <v>6</v>
      </c>
      <c r="O1041" s="6">
        <v>14</v>
      </c>
      <c r="P1041" s="7">
        <v>1.64</v>
      </c>
      <c r="U1041" t="s">
        <v>84</v>
      </c>
      <c r="V1041" t="s">
        <v>98</v>
      </c>
      <c r="W1041">
        <v>2.5</v>
      </c>
      <c r="X1041" t="s">
        <v>84</v>
      </c>
      <c r="Y1041" t="s">
        <v>99</v>
      </c>
      <c r="Z1041" t="s">
        <v>100</v>
      </c>
      <c r="AA1041" t="s">
        <v>101</v>
      </c>
      <c r="AB1041" t="s">
        <v>115</v>
      </c>
      <c r="AC1041">
        <v>1010.51</v>
      </c>
      <c r="AD1041" s="8" t="b">
        <f>AND(
 H1041&gt;=Filters!$B$3,
 H1041&lt;=Filters!$B$4,
 I1041&gt;=Filters!$B$5,
 OR(Filters!$B$6="All",B1041=Filters!$B$6),
 F1041&gt;=Filters!$B$7,
 F1041&lt;=Filters!$B$8,
 OR(Filters!$B$9="All",G1041=Filters!$B$9)
)</f>
        <v>0</v>
      </c>
      <c r="AE1041">
        <f t="shared" si="208"/>
        <v>6</v>
      </c>
      <c r="AF1041">
        <f t="shared" si="209"/>
        <v>7</v>
      </c>
      <c r="AG1041">
        <f t="shared" si="210"/>
        <v>7</v>
      </c>
      <c r="AH1041" s="9" t="str">
        <f t="shared" si="211"/>
        <v/>
      </c>
      <c r="AI1041" s="9" t="str">
        <f t="shared" si="212"/>
        <v/>
      </c>
      <c r="AJ1041" s="9" t="str">
        <f t="shared" si="213"/>
        <v/>
      </c>
      <c r="AK1041" s="9" t="str">
        <f t="shared" si="214"/>
        <v/>
      </c>
      <c r="AL1041" s="9" t="str">
        <f t="shared" si="215"/>
        <v/>
      </c>
      <c r="AM1041" s="9" t="str">
        <f t="shared" si="216"/>
        <v/>
      </c>
      <c r="AN1041" s="9" t="str">
        <f t="shared" si="217"/>
        <v/>
      </c>
      <c r="AO1041" s="9" t="str">
        <f t="shared" si="218"/>
        <v/>
      </c>
      <c r="AP1041" s="9" t="str">
        <f t="shared" si="219"/>
        <v/>
      </c>
      <c r="AQ1041" s="10" t="str">
        <f t="shared" si="220"/>
        <v/>
      </c>
    </row>
    <row r="1042" spans="1:43">
      <c r="A1042">
        <v>1041</v>
      </c>
      <c r="B1042" t="s">
        <v>29</v>
      </c>
      <c r="C1042" t="s">
        <v>1413</v>
      </c>
      <c r="D1042" t="s">
        <v>1414</v>
      </c>
      <c r="E1042" t="s">
        <v>168</v>
      </c>
      <c r="G1042" t="s">
        <v>18</v>
      </c>
      <c r="H1042" s="4">
        <v>22869000</v>
      </c>
      <c r="I1042" s="5">
        <v>256</v>
      </c>
      <c r="J1042" s="5">
        <v>0</v>
      </c>
      <c r="K1042" s="5">
        <v>4</v>
      </c>
      <c r="L1042">
        <v>9</v>
      </c>
      <c r="M1042">
        <v>3.5</v>
      </c>
      <c r="N1042">
        <v>6.62</v>
      </c>
      <c r="O1042" s="6">
        <v>15.6</v>
      </c>
      <c r="P1042" s="7">
        <v>1.8</v>
      </c>
      <c r="U1042" t="s">
        <v>84</v>
      </c>
      <c r="V1042" t="s">
        <v>485</v>
      </c>
      <c r="W1042">
        <v>2.5</v>
      </c>
      <c r="X1042" t="s">
        <v>84</v>
      </c>
      <c r="Y1042" t="s">
        <v>130</v>
      </c>
      <c r="Z1042" t="s">
        <v>100</v>
      </c>
      <c r="AA1042" t="s">
        <v>149</v>
      </c>
      <c r="AB1042" t="s">
        <v>115</v>
      </c>
      <c r="AC1042">
        <v>847</v>
      </c>
      <c r="AD1042" s="8" t="b">
        <f>AND(
 H1042&gt;=Filters!$B$3,
 H1042&lt;=Filters!$B$4,
 I1042&gt;=Filters!$B$5,
 OR(Filters!$B$6="All",B1042=Filters!$B$6),
 F1042&gt;=Filters!$B$7,
 F1042&lt;=Filters!$B$8,
 OR(Filters!$B$9="All",G1042=Filters!$B$9)
)</f>
        <v>1</v>
      </c>
      <c r="AE1042">
        <f t="shared" si="208"/>
        <v>6</v>
      </c>
      <c r="AF1042">
        <f t="shared" si="209"/>
        <v>7</v>
      </c>
      <c r="AG1042">
        <f t="shared" si="210"/>
        <v>7</v>
      </c>
      <c r="AH1042" s="9">
        <f t="shared" si="211"/>
        <v>0.92857142857142849</v>
      </c>
      <c r="AI1042" s="9">
        <f t="shared" si="212"/>
        <v>0.33333333333333331</v>
      </c>
      <c r="AJ1042" s="9">
        <f t="shared" si="213"/>
        <v>0.27380952380952378</v>
      </c>
      <c r="AK1042" s="9">
        <f t="shared" si="214"/>
        <v>0.64523809523809517</v>
      </c>
      <c r="AL1042" s="9">
        <f t="shared" si="215"/>
        <v>0.92857142857142849</v>
      </c>
      <c r="AM1042" s="9">
        <f t="shared" si="216"/>
        <v>0.5714285714285714</v>
      </c>
      <c r="AN1042" s="9">
        <f t="shared" si="217"/>
        <v>0.69047619047619047</v>
      </c>
      <c r="AO1042" s="9">
        <f t="shared" si="218"/>
        <v>0.69047619047619047</v>
      </c>
      <c r="AP1042" s="9">
        <f t="shared" si="219"/>
        <v>0.63941826103846522</v>
      </c>
      <c r="AQ1042" s="10">
        <f t="shared" si="220"/>
        <v>0.63941930303846517</v>
      </c>
    </row>
    <row r="1043" spans="1:43">
      <c r="A1043">
        <v>1042</v>
      </c>
      <c r="B1043" t="s">
        <v>36</v>
      </c>
      <c r="C1043" t="s">
        <v>1415</v>
      </c>
      <c r="D1043" t="s">
        <v>1416</v>
      </c>
      <c r="E1043" t="s">
        <v>97</v>
      </c>
      <c r="G1043" t="s">
        <v>18</v>
      </c>
      <c r="H1043" s="4">
        <v>5691600</v>
      </c>
      <c r="I1043" s="5">
        <v>32</v>
      </c>
      <c r="J1043" s="5">
        <v>0</v>
      </c>
      <c r="K1043" s="5">
        <v>2</v>
      </c>
      <c r="L1043">
        <v>1</v>
      </c>
      <c r="M1043">
        <v>3.5</v>
      </c>
      <c r="N1043">
        <v>4</v>
      </c>
      <c r="O1043" s="6">
        <v>14</v>
      </c>
      <c r="P1043" s="7">
        <v>1.45</v>
      </c>
      <c r="U1043" t="s">
        <v>84</v>
      </c>
      <c r="V1043" t="s">
        <v>1417</v>
      </c>
      <c r="W1043">
        <v>1.44</v>
      </c>
      <c r="X1043" t="s">
        <v>84</v>
      </c>
      <c r="Y1043" t="s">
        <v>154</v>
      </c>
      <c r="Z1043" t="s">
        <v>155</v>
      </c>
      <c r="AA1043" t="s">
        <v>114</v>
      </c>
      <c r="AB1043" t="s">
        <v>115</v>
      </c>
      <c r="AC1043">
        <v>210.8</v>
      </c>
      <c r="AD1043" s="8" t="b">
        <f>AND(
 H1043&gt;=Filters!$B$3,
 H1043&lt;=Filters!$B$4,
 I1043&gt;=Filters!$B$5,
 OR(Filters!$B$6="All",B1043=Filters!$B$6),
 F1043&gt;=Filters!$B$7,
 F1043&lt;=Filters!$B$8,
 OR(Filters!$B$9="All",G1043=Filters!$B$9)
)</f>
        <v>0</v>
      </c>
      <c r="AE1043">
        <f t="shared" si="208"/>
        <v>6</v>
      </c>
      <c r="AF1043">
        <f t="shared" si="209"/>
        <v>7</v>
      </c>
      <c r="AG1043">
        <f t="shared" si="210"/>
        <v>7</v>
      </c>
      <c r="AH1043" s="9" t="str">
        <f t="shared" si="211"/>
        <v/>
      </c>
      <c r="AI1043" s="9" t="str">
        <f t="shared" si="212"/>
        <v/>
      </c>
      <c r="AJ1043" s="9" t="str">
        <f t="shared" si="213"/>
        <v/>
      </c>
      <c r="AK1043" s="9" t="str">
        <f t="shared" si="214"/>
        <v/>
      </c>
      <c r="AL1043" s="9" t="str">
        <f t="shared" si="215"/>
        <v/>
      </c>
      <c r="AM1043" s="9" t="str">
        <f t="shared" si="216"/>
        <v/>
      </c>
      <c r="AN1043" s="9" t="str">
        <f t="shared" si="217"/>
        <v/>
      </c>
      <c r="AO1043" s="9" t="str">
        <f t="shared" si="218"/>
        <v/>
      </c>
      <c r="AP1043" s="9" t="str">
        <f t="shared" si="219"/>
        <v/>
      </c>
      <c r="AQ1043" s="10" t="str">
        <f t="shared" si="220"/>
        <v/>
      </c>
    </row>
    <row r="1044" spans="1:43">
      <c r="A1044">
        <v>1043</v>
      </c>
      <c r="B1044" t="s">
        <v>35</v>
      </c>
      <c r="C1044" t="s">
        <v>1418</v>
      </c>
      <c r="D1044" t="s">
        <v>1419</v>
      </c>
      <c r="E1044" t="s">
        <v>97</v>
      </c>
      <c r="G1044" t="s">
        <v>18</v>
      </c>
      <c r="H1044" s="4">
        <v>38475000</v>
      </c>
      <c r="I1044" s="5">
        <v>256</v>
      </c>
      <c r="J1044" s="5">
        <v>0</v>
      </c>
      <c r="K1044" s="5">
        <v>16</v>
      </c>
      <c r="L1044">
        <v>9</v>
      </c>
      <c r="M1044">
        <v>8.5</v>
      </c>
      <c r="N1044">
        <v>6.32</v>
      </c>
      <c r="O1044" s="6">
        <v>15.6</v>
      </c>
      <c r="P1044" s="7">
        <v>2.4</v>
      </c>
      <c r="U1044" t="s">
        <v>84</v>
      </c>
      <c r="V1044" t="s">
        <v>485</v>
      </c>
      <c r="W1044">
        <v>2.5</v>
      </c>
      <c r="X1044" t="s">
        <v>122</v>
      </c>
      <c r="Y1044" t="s">
        <v>549</v>
      </c>
      <c r="Z1044" t="s">
        <v>100</v>
      </c>
      <c r="AA1044" t="s">
        <v>128</v>
      </c>
      <c r="AB1044" t="s">
        <v>115</v>
      </c>
      <c r="AC1044">
        <v>1425</v>
      </c>
      <c r="AD1044" s="8" t="b">
        <f>AND(
 H1044&gt;=Filters!$B$3,
 H1044&lt;=Filters!$B$4,
 I1044&gt;=Filters!$B$5,
 OR(Filters!$B$6="All",B1044=Filters!$B$6),
 F1044&gt;=Filters!$B$7,
 F1044&lt;=Filters!$B$8,
 OR(Filters!$B$9="All",G1044=Filters!$B$9)
)</f>
        <v>0</v>
      </c>
      <c r="AE1044">
        <f t="shared" si="208"/>
        <v>6</v>
      </c>
      <c r="AF1044">
        <f t="shared" si="209"/>
        <v>7</v>
      </c>
      <c r="AG1044">
        <f t="shared" si="210"/>
        <v>7</v>
      </c>
      <c r="AH1044" s="9" t="str">
        <f t="shared" si="211"/>
        <v/>
      </c>
      <c r="AI1044" s="9" t="str">
        <f t="shared" si="212"/>
        <v/>
      </c>
      <c r="AJ1044" s="9" t="str">
        <f t="shared" si="213"/>
        <v/>
      </c>
      <c r="AK1044" s="9" t="str">
        <f t="shared" si="214"/>
        <v/>
      </c>
      <c r="AL1044" s="9" t="str">
        <f t="shared" si="215"/>
        <v/>
      </c>
      <c r="AM1044" s="9" t="str">
        <f t="shared" si="216"/>
        <v/>
      </c>
      <c r="AN1044" s="9" t="str">
        <f t="shared" si="217"/>
        <v/>
      </c>
      <c r="AO1044" s="9" t="str">
        <f t="shared" si="218"/>
        <v/>
      </c>
      <c r="AP1044" s="9" t="str">
        <f t="shared" si="219"/>
        <v/>
      </c>
      <c r="AQ1044" s="10" t="str">
        <f t="shared" si="220"/>
        <v/>
      </c>
    </row>
    <row r="1045" spans="1:43">
      <c r="A1045">
        <v>1044</v>
      </c>
      <c r="B1045" t="s">
        <v>29</v>
      </c>
      <c r="C1045" t="s">
        <v>1420</v>
      </c>
      <c r="D1045" t="s">
        <v>1421</v>
      </c>
      <c r="E1045" t="s">
        <v>97</v>
      </c>
      <c r="G1045" t="s">
        <v>18</v>
      </c>
      <c r="H1045" s="4">
        <v>28339200</v>
      </c>
      <c r="I1045" s="5">
        <v>256</v>
      </c>
      <c r="J1045" s="5">
        <v>0</v>
      </c>
      <c r="K1045" s="5">
        <v>8</v>
      </c>
      <c r="L1045">
        <v>6.6</v>
      </c>
      <c r="M1045">
        <v>3.5</v>
      </c>
      <c r="N1045">
        <v>5.92</v>
      </c>
      <c r="O1045" s="6">
        <v>15.6</v>
      </c>
      <c r="P1045" s="7">
        <v>2.2999999999999998</v>
      </c>
      <c r="U1045" t="s">
        <v>84</v>
      </c>
      <c r="V1045" t="s">
        <v>375</v>
      </c>
      <c r="W1045">
        <v>2.2999999999999998</v>
      </c>
      <c r="X1045" t="s">
        <v>84</v>
      </c>
      <c r="Y1045" t="s">
        <v>130</v>
      </c>
      <c r="Z1045" t="s">
        <v>100</v>
      </c>
      <c r="AA1045" t="s">
        <v>101</v>
      </c>
      <c r="AB1045" t="s">
        <v>115</v>
      </c>
      <c r="AC1045">
        <v>1049.5999999999999</v>
      </c>
      <c r="AD1045" s="8" t="b">
        <f>AND(
 H1045&gt;=Filters!$B$3,
 H1045&lt;=Filters!$B$4,
 I1045&gt;=Filters!$B$5,
 OR(Filters!$B$6="All",B1045=Filters!$B$6),
 F1045&gt;=Filters!$B$7,
 F1045&lt;=Filters!$B$8,
 OR(Filters!$B$9="All",G1045=Filters!$B$9)
)</f>
        <v>0</v>
      </c>
      <c r="AE1045">
        <f t="shared" si="208"/>
        <v>6</v>
      </c>
      <c r="AF1045">
        <f t="shared" si="209"/>
        <v>7</v>
      </c>
      <c r="AG1045">
        <f t="shared" si="210"/>
        <v>7</v>
      </c>
      <c r="AH1045" s="9" t="str">
        <f t="shared" si="211"/>
        <v/>
      </c>
      <c r="AI1045" s="9" t="str">
        <f t="shared" si="212"/>
        <v/>
      </c>
      <c r="AJ1045" s="9" t="str">
        <f t="shared" si="213"/>
        <v/>
      </c>
      <c r="AK1045" s="9" t="str">
        <f t="shared" si="214"/>
        <v/>
      </c>
      <c r="AL1045" s="9" t="str">
        <f t="shared" si="215"/>
        <v/>
      </c>
      <c r="AM1045" s="9" t="str">
        <f t="shared" si="216"/>
        <v/>
      </c>
      <c r="AN1045" s="9" t="str">
        <f t="shared" si="217"/>
        <v/>
      </c>
      <c r="AO1045" s="9" t="str">
        <f t="shared" si="218"/>
        <v/>
      </c>
      <c r="AP1045" s="9" t="str">
        <f t="shared" si="219"/>
        <v/>
      </c>
      <c r="AQ1045" s="10" t="str">
        <f t="shared" si="220"/>
        <v/>
      </c>
    </row>
    <row r="1046" spans="1:43">
      <c r="A1046">
        <v>1045</v>
      </c>
      <c r="B1046" t="s">
        <v>26</v>
      </c>
      <c r="C1046" t="s">
        <v>632</v>
      </c>
      <c r="D1046" t="s">
        <v>399</v>
      </c>
      <c r="E1046" t="s">
        <v>97</v>
      </c>
      <c r="G1046" t="s">
        <v>18</v>
      </c>
      <c r="H1046" s="4">
        <v>27000000</v>
      </c>
      <c r="I1046" s="5">
        <v>0</v>
      </c>
      <c r="J1046" s="5">
        <v>500</v>
      </c>
      <c r="K1046" s="5">
        <v>4</v>
      </c>
      <c r="L1046">
        <v>6.6</v>
      </c>
      <c r="M1046">
        <v>3.5</v>
      </c>
      <c r="N1046">
        <v>6</v>
      </c>
      <c r="O1046" s="6">
        <v>14</v>
      </c>
      <c r="P1046" s="7">
        <v>1.54</v>
      </c>
      <c r="U1046" t="s">
        <v>84</v>
      </c>
      <c r="V1046" t="s">
        <v>375</v>
      </c>
      <c r="W1046">
        <v>2.2999999999999998</v>
      </c>
      <c r="X1046" t="s">
        <v>84</v>
      </c>
      <c r="Y1046" t="s">
        <v>130</v>
      </c>
      <c r="Z1046" t="s">
        <v>113</v>
      </c>
      <c r="AA1046" t="s">
        <v>101</v>
      </c>
      <c r="AB1046" t="s">
        <v>115</v>
      </c>
      <c r="AC1046">
        <v>1000</v>
      </c>
      <c r="AD1046" s="8" t="b">
        <f>AND(
 H1046&gt;=Filters!$B$3,
 H1046&lt;=Filters!$B$4,
 I1046&gt;=Filters!$B$5,
 OR(Filters!$B$6="All",B1046=Filters!$B$6),
 F1046&gt;=Filters!$B$7,
 F1046&lt;=Filters!$B$8,
 OR(Filters!$B$9="All",G1046=Filters!$B$9)
)</f>
        <v>0</v>
      </c>
      <c r="AE1046">
        <f t="shared" si="208"/>
        <v>6</v>
      </c>
      <c r="AF1046">
        <f t="shared" si="209"/>
        <v>7</v>
      </c>
      <c r="AG1046">
        <f t="shared" si="210"/>
        <v>7</v>
      </c>
      <c r="AH1046" s="9" t="str">
        <f t="shared" si="211"/>
        <v/>
      </c>
      <c r="AI1046" s="9" t="str">
        <f t="shared" si="212"/>
        <v/>
      </c>
      <c r="AJ1046" s="9" t="str">
        <f t="shared" si="213"/>
        <v/>
      </c>
      <c r="AK1046" s="9" t="str">
        <f t="shared" si="214"/>
        <v/>
      </c>
      <c r="AL1046" s="9" t="str">
        <f t="shared" si="215"/>
        <v/>
      </c>
      <c r="AM1046" s="9" t="str">
        <f t="shared" si="216"/>
        <v/>
      </c>
      <c r="AN1046" s="9" t="str">
        <f t="shared" si="217"/>
        <v/>
      </c>
      <c r="AO1046" s="9" t="str">
        <f t="shared" si="218"/>
        <v/>
      </c>
      <c r="AP1046" s="9" t="str">
        <f t="shared" si="219"/>
        <v/>
      </c>
      <c r="AQ1046" s="10" t="str">
        <f t="shared" si="220"/>
        <v/>
      </c>
    </row>
    <row r="1047" spans="1:43">
      <c r="A1047">
        <v>1046</v>
      </c>
      <c r="B1047" t="s">
        <v>26</v>
      </c>
      <c r="C1047" t="s">
        <v>957</v>
      </c>
      <c r="D1047" t="s">
        <v>958</v>
      </c>
      <c r="E1047" t="s">
        <v>97</v>
      </c>
      <c r="G1047" t="s">
        <v>18</v>
      </c>
      <c r="H1047" s="4">
        <v>56790180</v>
      </c>
      <c r="I1047" s="5">
        <v>256</v>
      </c>
      <c r="J1047" s="5">
        <v>500</v>
      </c>
      <c r="K1047" s="5">
        <v>8</v>
      </c>
      <c r="L1047">
        <v>6.8</v>
      </c>
      <c r="M1047">
        <v>3.5</v>
      </c>
      <c r="N1047">
        <v>5.92</v>
      </c>
      <c r="O1047" s="6">
        <v>15.6</v>
      </c>
      <c r="P1047" s="7">
        <v>1.84</v>
      </c>
      <c r="U1047" t="s">
        <v>84</v>
      </c>
      <c r="V1047" t="s">
        <v>1024</v>
      </c>
      <c r="W1047">
        <v>2.4</v>
      </c>
      <c r="X1047" t="s">
        <v>84</v>
      </c>
      <c r="Y1047" t="s">
        <v>130</v>
      </c>
      <c r="Z1047" t="s">
        <v>493</v>
      </c>
      <c r="AA1047" t="s">
        <v>101</v>
      </c>
      <c r="AB1047" t="s">
        <v>115</v>
      </c>
      <c r="AC1047">
        <v>2103.34</v>
      </c>
      <c r="AD1047" s="8" t="b">
        <f>AND(
 H1047&gt;=Filters!$B$3,
 H1047&lt;=Filters!$B$4,
 I1047&gt;=Filters!$B$5,
 OR(Filters!$B$6="All",B1047=Filters!$B$6),
 F1047&gt;=Filters!$B$7,
 F1047&lt;=Filters!$B$8,
 OR(Filters!$B$9="All",G1047=Filters!$B$9)
)</f>
        <v>0</v>
      </c>
      <c r="AE1047">
        <f t="shared" si="208"/>
        <v>6</v>
      </c>
      <c r="AF1047">
        <f t="shared" si="209"/>
        <v>7</v>
      </c>
      <c r="AG1047">
        <f t="shared" si="210"/>
        <v>7</v>
      </c>
      <c r="AH1047" s="9" t="str">
        <f t="shared" si="211"/>
        <v/>
      </c>
      <c r="AI1047" s="9" t="str">
        <f t="shared" si="212"/>
        <v/>
      </c>
      <c r="AJ1047" s="9" t="str">
        <f t="shared" si="213"/>
        <v/>
      </c>
      <c r="AK1047" s="9" t="str">
        <f t="shared" si="214"/>
        <v/>
      </c>
      <c r="AL1047" s="9" t="str">
        <f t="shared" si="215"/>
        <v/>
      </c>
      <c r="AM1047" s="9" t="str">
        <f t="shared" si="216"/>
        <v/>
      </c>
      <c r="AN1047" s="9" t="str">
        <f t="shared" si="217"/>
        <v/>
      </c>
      <c r="AO1047" s="9" t="str">
        <f t="shared" si="218"/>
        <v/>
      </c>
      <c r="AP1047" s="9" t="str">
        <f t="shared" si="219"/>
        <v/>
      </c>
      <c r="AQ1047" s="10" t="str">
        <f t="shared" si="220"/>
        <v/>
      </c>
    </row>
    <row r="1048" spans="1:43">
      <c r="A1048">
        <v>1047</v>
      </c>
      <c r="B1048" t="s">
        <v>26</v>
      </c>
      <c r="C1048" t="s">
        <v>1402</v>
      </c>
      <c r="D1048" t="s">
        <v>729</v>
      </c>
      <c r="E1048" t="s">
        <v>97</v>
      </c>
      <c r="G1048" t="s">
        <v>18</v>
      </c>
      <c r="H1048" s="4">
        <v>39663000</v>
      </c>
      <c r="I1048" s="5">
        <v>256</v>
      </c>
      <c r="J1048" s="5">
        <v>0</v>
      </c>
      <c r="K1048" s="5">
        <v>8</v>
      </c>
      <c r="L1048">
        <v>6.6</v>
      </c>
      <c r="M1048">
        <v>3.5</v>
      </c>
      <c r="N1048">
        <v>6</v>
      </c>
      <c r="O1048" s="6">
        <v>14</v>
      </c>
      <c r="P1048" s="7">
        <v>1.43</v>
      </c>
      <c r="U1048" t="s">
        <v>84</v>
      </c>
      <c r="V1048" t="s">
        <v>375</v>
      </c>
      <c r="W1048">
        <v>2.2999999999999998</v>
      </c>
      <c r="X1048" t="s">
        <v>84</v>
      </c>
      <c r="Y1048" t="s">
        <v>130</v>
      </c>
      <c r="Z1048" t="s">
        <v>100</v>
      </c>
      <c r="AA1048" t="s">
        <v>101</v>
      </c>
      <c r="AB1048" t="s">
        <v>869</v>
      </c>
      <c r="AC1048">
        <v>1469</v>
      </c>
      <c r="AD1048" s="8" t="b">
        <f>AND(
 H1048&gt;=Filters!$B$3,
 H1048&lt;=Filters!$B$4,
 I1048&gt;=Filters!$B$5,
 OR(Filters!$B$6="All",B1048=Filters!$B$6),
 F1048&gt;=Filters!$B$7,
 F1048&lt;=Filters!$B$8,
 OR(Filters!$B$9="All",G1048=Filters!$B$9)
)</f>
        <v>0</v>
      </c>
      <c r="AE1048">
        <f t="shared" si="208"/>
        <v>6</v>
      </c>
      <c r="AF1048">
        <f t="shared" si="209"/>
        <v>7</v>
      </c>
      <c r="AG1048">
        <f t="shared" si="210"/>
        <v>7</v>
      </c>
      <c r="AH1048" s="9" t="str">
        <f t="shared" si="211"/>
        <v/>
      </c>
      <c r="AI1048" s="9" t="str">
        <f t="shared" si="212"/>
        <v/>
      </c>
      <c r="AJ1048" s="9" t="str">
        <f t="shared" si="213"/>
        <v/>
      </c>
      <c r="AK1048" s="9" t="str">
        <f t="shared" si="214"/>
        <v/>
      </c>
      <c r="AL1048" s="9" t="str">
        <f t="shared" si="215"/>
        <v/>
      </c>
      <c r="AM1048" s="9" t="str">
        <f t="shared" si="216"/>
        <v/>
      </c>
      <c r="AN1048" s="9" t="str">
        <f t="shared" si="217"/>
        <v/>
      </c>
      <c r="AO1048" s="9" t="str">
        <f t="shared" si="218"/>
        <v/>
      </c>
      <c r="AP1048" s="9" t="str">
        <f t="shared" si="219"/>
        <v/>
      </c>
      <c r="AQ1048" s="10" t="str">
        <f t="shared" si="220"/>
        <v/>
      </c>
    </row>
    <row r="1049" spans="1:43">
      <c r="A1049">
        <v>1048</v>
      </c>
      <c r="B1049" t="s">
        <v>30</v>
      </c>
      <c r="C1049" t="s">
        <v>1422</v>
      </c>
      <c r="D1049" t="s">
        <v>1423</v>
      </c>
      <c r="E1049" t="s">
        <v>158</v>
      </c>
      <c r="G1049" t="s">
        <v>18</v>
      </c>
      <c r="H1049" s="4">
        <v>41732280</v>
      </c>
      <c r="I1049" s="5">
        <v>256</v>
      </c>
      <c r="J1049" s="5">
        <v>1024</v>
      </c>
      <c r="K1049" s="5">
        <v>16</v>
      </c>
      <c r="L1049">
        <v>9.4</v>
      </c>
      <c r="M1049">
        <v>9.1999999999999993</v>
      </c>
      <c r="N1049">
        <v>6.24</v>
      </c>
      <c r="O1049" s="6">
        <v>17.3</v>
      </c>
      <c r="P1049" s="7">
        <v>3.78</v>
      </c>
      <c r="U1049" t="s">
        <v>84</v>
      </c>
      <c r="V1049" t="s">
        <v>932</v>
      </c>
      <c r="W1049">
        <v>2.7</v>
      </c>
      <c r="X1049" t="s">
        <v>122</v>
      </c>
      <c r="Y1049" t="s">
        <v>526</v>
      </c>
      <c r="Z1049" t="s">
        <v>212</v>
      </c>
      <c r="AA1049" t="s">
        <v>128</v>
      </c>
      <c r="AB1049" t="s">
        <v>115</v>
      </c>
      <c r="AC1049">
        <v>1545.64</v>
      </c>
      <c r="AD1049" s="8" t="b">
        <f>AND(
 H1049&gt;=Filters!$B$3,
 H1049&lt;=Filters!$B$4,
 I1049&gt;=Filters!$B$5,
 OR(Filters!$B$6="All",B1049=Filters!$B$6),
 F1049&gt;=Filters!$B$7,
 F1049&lt;=Filters!$B$8,
 OR(Filters!$B$9="All",G1049=Filters!$B$9)
)</f>
        <v>0</v>
      </c>
      <c r="AE1049">
        <f t="shared" si="208"/>
        <v>6</v>
      </c>
      <c r="AF1049">
        <f t="shared" si="209"/>
        <v>7</v>
      </c>
      <c r="AG1049">
        <f t="shared" si="210"/>
        <v>7</v>
      </c>
      <c r="AH1049" s="9" t="str">
        <f t="shared" si="211"/>
        <v/>
      </c>
      <c r="AI1049" s="9" t="str">
        <f t="shared" si="212"/>
        <v/>
      </c>
      <c r="AJ1049" s="9" t="str">
        <f t="shared" si="213"/>
        <v/>
      </c>
      <c r="AK1049" s="9" t="str">
        <f t="shared" si="214"/>
        <v/>
      </c>
      <c r="AL1049" s="9" t="str">
        <f t="shared" si="215"/>
        <v/>
      </c>
      <c r="AM1049" s="9" t="str">
        <f t="shared" si="216"/>
        <v/>
      </c>
      <c r="AN1049" s="9" t="str">
        <f t="shared" si="217"/>
        <v/>
      </c>
      <c r="AO1049" s="9" t="str">
        <f t="shared" si="218"/>
        <v/>
      </c>
      <c r="AP1049" s="9" t="str">
        <f t="shared" si="219"/>
        <v/>
      </c>
      <c r="AQ1049" s="10" t="str">
        <f t="shared" si="220"/>
        <v/>
      </c>
    </row>
    <row r="1050" spans="1:43">
      <c r="A1050">
        <v>1049</v>
      </c>
      <c r="B1050" t="s">
        <v>29</v>
      </c>
      <c r="C1050" t="s">
        <v>1424</v>
      </c>
      <c r="D1050" t="s">
        <v>1425</v>
      </c>
      <c r="E1050" t="s">
        <v>158</v>
      </c>
      <c r="G1050" t="s">
        <v>18</v>
      </c>
      <c r="H1050" s="4">
        <v>61829730</v>
      </c>
      <c r="I1050" s="5">
        <v>128</v>
      </c>
      <c r="J1050" s="5">
        <v>1024</v>
      </c>
      <c r="K1050" s="5">
        <v>16</v>
      </c>
      <c r="L1050">
        <v>9.1999999999999993</v>
      </c>
      <c r="M1050">
        <v>9.1999999999999993</v>
      </c>
      <c r="N1050">
        <v>6.24</v>
      </c>
      <c r="O1050" s="6">
        <v>17.3</v>
      </c>
      <c r="P1050" s="7">
        <v>4.5999999999999996</v>
      </c>
      <c r="U1050" t="s">
        <v>84</v>
      </c>
      <c r="V1050" t="s">
        <v>808</v>
      </c>
      <c r="W1050">
        <v>2.6</v>
      </c>
      <c r="X1050" t="s">
        <v>122</v>
      </c>
      <c r="Y1050" t="s">
        <v>526</v>
      </c>
      <c r="Z1050" t="s">
        <v>161</v>
      </c>
      <c r="AA1050" t="s">
        <v>128</v>
      </c>
      <c r="AB1050" t="s">
        <v>115</v>
      </c>
      <c r="AC1050">
        <v>2289.9899999999998</v>
      </c>
      <c r="AD1050" s="8" t="b">
        <f>AND(
 H1050&gt;=Filters!$B$3,
 H1050&lt;=Filters!$B$4,
 I1050&gt;=Filters!$B$5,
 OR(Filters!$B$6="All",B1050=Filters!$B$6),
 F1050&gt;=Filters!$B$7,
 F1050&lt;=Filters!$B$8,
 OR(Filters!$B$9="All",G1050=Filters!$B$9)
)</f>
        <v>0</v>
      </c>
      <c r="AE1050">
        <f t="shared" si="208"/>
        <v>6</v>
      </c>
      <c r="AF1050">
        <f t="shared" si="209"/>
        <v>7</v>
      </c>
      <c r="AG1050">
        <f t="shared" si="210"/>
        <v>7</v>
      </c>
      <c r="AH1050" s="9" t="str">
        <f t="shared" si="211"/>
        <v/>
      </c>
      <c r="AI1050" s="9" t="str">
        <f t="shared" si="212"/>
        <v/>
      </c>
      <c r="AJ1050" s="9" t="str">
        <f t="shared" si="213"/>
        <v/>
      </c>
      <c r="AK1050" s="9" t="str">
        <f t="shared" si="214"/>
        <v/>
      </c>
      <c r="AL1050" s="9" t="str">
        <f t="shared" si="215"/>
        <v/>
      </c>
      <c r="AM1050" s="9" t="str">
        <f t="shared" si="216"/>
        <v/>
      </c>
      <c r="AN1050" s="9" t="str">
        <f t="shared" si="217"/>
        <v/>
      </c>
      <c r="AO1050" s="9" t="str">
        <f t="shared" si="218"/>
        <v/>
      </c>
      <c r="AP1050" s="9" t="str">
        <f t="shared" si="219"/>
        <v/>
      </c>
      <c r="AQ1050" s="10" t="str">
        <f t="shared" si="220"/>
        <v/>
      </c>
    </row>
    <row r="1051" spans="1:43">
      <c r="A1051">
        <v>1050</v>
      </c>
      <c r="B1051" t="s">
        <v>21</v>
      </c>
      <c r="C1051" t="s">
        <v>1426</v>
      </c>
      <c r="D1051" t="s">
        <v>1427</v>
      </c>
      <c r="E1051" t="s">
        <v>152</v>
      </c>
      <c r="G1051" t="s">
        <v>18</v>
      </c>
      <c r="H1051" s="4">
        <v>7773300</v>
      </c>
      <c r="I1051" s="5">
        <v>16</v>
      </c>
      <c r="J1051" s="5">
        <v>0</v>
      </c>
      <c r="K1051" s="5">
        <v>4</v>
      </c>
      <c r="L1051">
        <v>1.2</v>
      </c>
      <c r="M1051">
        <v>3.5</v>
      </c>
      <c r="N1051">
        <v>3.88</v>
      </c>
      <c r="O1051" s="6">
        <v>11.6</v>
      </c>
      <c r="P1051" s="7">
        <v>1.2</v>
      </c>
      <c r="U1051" t="s">
        <v>84</v>
      </c>
      <c r="V1051" t="s">
        <v>263</v>
      </c>
      <c r="W1051">
        <v>1.6</v>
      </c>
      <c r="X1051" t="s">
        <v>84</v>
      </c>
      <c r="Y1051" t="s">
        <v>154</v>
      </c>
      <c r="Z1051" t="s">
        <v>606</v>
      </c>
      <c r="AA1051" t="s">
        <v>114</v>
      </c>
      <c r="AB1051" t="s">
        <v>563</v>
      </c>
      <c r="AC1051">
        <v>287.89999999999998</v>
      </c>
      <c r="AD1051" s="8" t="b">
        <f>AND(
 H1051&gt;=Filters!$B$3,
 H1051&lt;=Filters!$B$4,
 I1051&gt;=Filters!$B$5,
 OR(Filters!$B$6="All",B1051=Filters!$B$6),
 F1051&gt;=Filters!$B$7,
 F1051&lt;=Filters!$B$8,
 OR(Filters!$B$9="All",G1051=Filters!$B$9)
)</f>
        <v>0</v>
      </c>
      <c r="AE1051">
        <f t="shared" si="208"/>
        <v>6</v>
      </c>
      <c r="AF1051">
        <f t="shared" si="209"/>
        <v>7</v>
      </c>
      <c r="AG1051">
        <f t="shared" si="210"/>
        <v>7</v>
      </c>
      <c r="AH1051" s="9" t="str">
        <f t="shared" si="211"/>
        <v/>
      </c>
      <c r="AI1051" s="9" t="str">
        <f t="shared" si="212"/>
        <v/>
      </c>
      <c r="AJ1051" s="9" t="str">
        <f t="shared" si="213"/>
        <v/>
      </c>
      <c r="AK1051" s="9" t="str">
        <f t="shared" si="214"/>
        <v/>
      </c>
      <c r="AL1051" s="9" t="str">
        <f t="shared" si="215"/>
        <v/>
      </c>
      <c r="AM1051" s="9" t="str">
        <f t="shared" si="216"/>
        <v/>
      </c>
      <c r="AN1051" s="9" t="str">
        <f t="shared" si="217"/>
        <v/>
      </c>
      <c r="AO1051" s="9" t="str">
        <f t="shared" si="218"/>
        <v/>
      </c>
      <c r="AP1051" s="9" t="str">
        <f t="shared" si="219"/>
        <v/>
      </c>
      <c r="AQ1051" s="10" t="str">
        <f t="shared" si="220"/>
        <v/>
      </c>
    </row>
    <row r="1052" spans="1:43">
      <c r="A1052">
        <v>1051</v>
      </c>
      <c r="B1052" t="s">
        <v>29</v>
      </c>
      <c r="C1052" t="s">
        <v>1428</v>
      </c>
      <c r="D1052" t="s">
        <v>547</v>
      </c>
      <c r="E1052" t="s">
        <v>97</v>
      </c>
      <c r="G1052" t="s">
        <v>18</v>
      </c>
      <c r="H1052" s="4">
        <v>70740000</v>
      </c>
      <c r="I1052" s="5">
        <v>256</v>
      </c>
      <c r="J1052" s="5">
        <v>0</v>
      </c>
      <c r="K1052" s="5">
        <v>16</v>
      </c>
      <c r="L1052">
        <v>9.1999999999999993</v>
      </c>
      <c r="M1052">
        <v>3.5</v>
      </c>
      <c r="N1052">
        <v>7.4</v>
      </c>
      <c r="O1052" s="6">
        <v>14</v>
      </c>
      <c r="P1052" s="7">
        <v>1.1000000000000001</v>
      </c>
      <c r="U1052" t="s">
        <v>84</v>
      </c>
      <c r="V1052" t="s">
        <v>548</v>
      </c>
      <c r="W1052">
        <v>2.6</v>
      </c>
      <c r="X1052" t="s">
        <v>84</v>
      </c>
      <c r="Y1052" t="s">
        <v>130</v>
      </c>
      <c r="Z1052" t="s">
        <v>100</v>
      </c>
      <c r="AA1052" t="s">
        <v>684</v>
      </c>
      <c r="AB1052" t="s">
        <v>869</v>
      </c>
      <c r="AC1052">
        <v>2620</v>
      </c>
      <c r="AD1052" s="8" t="b">
        <f>AND(
 H1052&gt;=Filters!$B$3,
 H1052&lt;=Filters!$B$4,
 I1052&gt;=Filters!$B$5,
 OR(Filters!$B$6="All",B1052=Filters!$B$6),
 F1052&gt;=Filters!$B$7,
 F1052&lt;=Filters!$B$8,
 OR(Filters!$B$9="All",G1052=Filters!$B$9)
)</f>
        <v>0</v>
      </c>
      <c r="AE1052">
        <f t="shared" si="208"/>
        <v>6</v>
      </c>
      <c r="AF1052">
        <f t="shared" si="209"/>
        <v>7</v>
      </c>
      <c r="AG1052">
        <f t="shared" si="210"/>
        <v>7</v>
      </c>
      <c r="AH1052" s="9" t="str">
        <f t="shared" si="211"/>
        <v/>
      </c>
      <c r="AI1052" s="9" t="str">
        <f t="shared" si="212"/>
        <v/>
      </c>
      <c r="AJ1052" s="9" t="str">
        <f t="shared" si="213"/>
        <v/>
      </c>
      <c r="AK1052" s="9" t="str">
        <f t="shared" si="214"/>
        <v/>
      </c>
      <c r="AL1052" s="9" t="str">
        <f t="shared" si="215"/>
        <v/>
      </c>
      <c r="AM1052" s="9" t="str">
        <f t="shared" si="216"/>
        <v/>
      </c>
      <c r="AN1052" s="9" t="str">
        <f t="shared" si="217"/>
        <v/>
      </c>
      <c r="AO1052" s="9" t="str">
        <f t="shared" si="218"/>
        <v/>
      </c>
      <c r="AP1052" s="9" t="str">
        <f t="shared" si="219"/>
        <v/>
      </c>
      <c r="AQ1052" s="10" t="str">
        <f t="shared" si="220"/>
        <v/>
      </c>
    </row>
    <row r="1053" spans="1:43">
      <c r="A1053">
        <v>1052</v>
      </c>
      <c r="B1053" t="s">
        <v>26</v>
      </c>
      <c r="C1053" t="s">
        <v>1429</v>
      </c>
      <c r="D1053" t="s">
        <v>1430</v>
      </c>
      <c r="E1053" t="s">
        <v>97</v>
      </c>
      <c r="G1053" t="s">
        <v>18</v>
      </c>
      <c r="H1053" s="4">
        <v>26433000</v>
      </c>
      <c r="I1053" s="5">
        <v>0</v>
      </c>
      <c r="J1053" s="5">
        <v>1024</v>
      </c>
      <c r="K1053" s="5">
        <v>8</v>
      </c>
      <c r="L1053">
        <v>9.4</v>
      </c>
      <c r="M1053">
        <v>6.5</v>
      </c>
      <c r="N1053">
        <v>6.32</v>
      </c>
      <c r="O1053" s="6">
        <v>15.6</v>
      </c>
      <c r="P1053" s="7">
        <v>1.91</v>
      </c>
      <c r="U1053" t="s">
        <v>84</v>
      </c>
      <c r="V1053" t="s">
        <v>140</v>
      </c>
      <c r="W1053">
        <v>2.7</v>
      </c>
      <c r="X1053" t="s">
        <v>122</v>
      </c>
      <c r="Y1053" t="s">
        <v>145</v>
      </c>
      <c r="Z1053" t="s">
        <v>146</v>
      </c>
      <c r="AA1053" t="s">
        <v>128</v>
      </c>
      <c r="AB1053" t="s">
        <v>115</v>
      </c>
      <c r="AC1053">
        <v>979</v>
      </c>
      <c r="AD1053" s="8" t="b">
        <f>AND(
 H1053&gt;=Filters!$B$3,
 H1053&lt;=Filters!$B$4,
 I1053&gt;=Filters!$B$5,
 OR(Filters!$B$6="All",B1053=Filters!$B$6),
 F1053&gt;=Filters!$B$7,
 F1053&lt;=Filters!$B$8,
 OR(Filters!$B$9="All",G1053=Filters!$B$9)
)</f>
        <v>0</v>
      </c>
      <c r="AE1053">
        <f t="shared" si="208"/>
        <v>6</v>
      </c>
      <c r="AF1053">
        <f t="shared" si="209"/>
        <v>7</v>
      </c>
      <c r="AG1053">
        <f t="shared" si="210"/>
        <v>7</v>
      </c>
      <c r="AH1053" s="9" t="str">
        <f t="shared" si="211"/>
        <v/>
      </c>
      <c r="AI1053" s="9" t="str">
        <f t="shared" si="212"/>
        <v/>
      </c>
      <c r="AJ1053" s="9" t="str">
        <f t="shared" si="213"/>
        <v/>
      </c>
      <c r="AK1053" s="9" t="str">
        <f t="shared" si="214"/>
        <v/>
      </c>
      <c r="AL1053" s="9" t="str">
        <f t="shared" si="215"/>
        <v/>
      </c>
      <c r="AM1053" s="9" t="str">
        <f t="shared" si="216"/>
        <v/>
      </c>
      <c r="AN1053" s="9" t="str">
        <f t="shared" si="217"/>
        <v/>
      </c>
      <c r="AO1053" s="9" t="str">
        <f t="shared" si="218"/>
        <v/>
      </c>
      <c r="AP1053" s="9" t="str">
        <f t="shared" si="219"/>
        <v/>
      </c>
      <c r="AQ1053" s="10" t="str">
        <f t="shared" si="220"/>
        <v/>
      </c>
    </row>
    <row r="1054" spans="1:43">
      <c r="A1054">
        <v>1053</v>
      </c>
      <c r="B1054" t="s">
        <v>23</v>
      </c>
      <c r="C1054" t="s">
        <v>1431</v>
      </c>
      <c r="D1054" t="s">
        <v>1432</v>
      </c>
      <c r="E1054" t="s">
        <v>168</v>
      </c>
      <c r="G1054" t="s">
        <v>18</v>
      </c>
      <c r="H1054" s="4">
        <v>29538000</v>
      </c>
      <c r="I1054" s="5">
        <v>256</v>
      </c>
      <c r="J1054" s="5">
        <v>0</v>
      </c>
      <c r="K1054" s="5">
        <v>8</v>
      </c>
      <c r="L1054">
        <v>7.4</v>
      </c>
      <c r="M1054">
        <v>3.5</v>
      </c>
      <c r="N1054">
        <v>6.62</v>
      </c>
      <c r="O1054" s="6">
        <v>15.6</v>
      </c>
      <c r="P1054" s="7">
        <v>2.2999999999999998</v>
      </c>
      <c r="U1054" t="s">
        <v>84</v>
      </c>
      <c r="V1054" t="s">
        <v>98</v>
      </c>
      <c r="W1054">
        <v>2.7</v>
      </c>
      <c r="X1054" t="s">
        <v>84</v>
      </c>
      <c r="Y1054" t="s">
        <v>99</v>
      </c>
      <c r="Z1054" t="s">
        <v>100</v>
      </c>
      <c r="AA1054" t="s">
        <v>149</v>
      </c>
      <c r="AB1054" t="s">
        <v>115</v>
      </c>
      <c r="AC1054">
        <v>1094</v>
      </c>
      <c r="AD1054" s="8" t="b">
        <f>AND(
 H1054&gt;=Filters!$B$3,
 H1054&lt;=Filters!$B$4,
 I1054&gt;=Filters!$B$5,
 OR(Filters!$B$6="All",B1054=Filters!$B$6),
 F1054&gt;=Filters!$B$7,
 F1054&lt;=Filters!$B$8,
 OR(Filters!$B$9="All",G1054=Filters!$B$9)
)</f>
        <v>0</v>
      </c>
      <c r="AE1054">
        <f t="shared" si="208"/>
        <v>6</v>
      </c>
      <c r="AF1054">
        <f t="shared" si="209"/>
        <v>7</v>
      </c>
      <c r="AG1054">
        <f t="shared" si="210"/>
        <v>7</v>
      </c>
      <c r="AH1054" s="9" t="str">
        <f t="shared" si="211"/>
        <v/>
      </c>
      <c r="AI1054" s="9" t="str">
        <f t="shared" si="212"/>
        <v/>
      </c>
      <c r="AJ1054" s="9" t="str">
        <f t="shared" si="213"/>
        <v/>
      </c>
      <c r="AK1054" s="9" t="str">
        <f t="shared" si="214"/>
        <v/>
      </c>
      <c r="AL1054" s="9" t="str">
        <f t="shared" si="215"/>
        <v/>
      </c>
      <c r="AM1054" s="9" t="str">
        <f t="shared" si="216"/>
        <v/>
      </c>
      <c r="AN1054" s="9" t="str">
        <f t="shared" si="217"/>
        <v/>
      </c>
      <c r="AO1054" s="9" t="str">
        <f t="shared" si="218"/>
        <v/>
      </c>
      <c r="AP1054" s="9" t="str">
        <f t="shared" si="219"/>
        <v/>
      </c>
      <c r="AQ1054" s="10" t="str">
        <f t="shared" si="220"/>
        <v/>
      </c>
    </row>
    <row r="1055" spans="1:43">
      <c r="A1055">
        <v>1054</v>
      </c>
      <c r="B1055" t="s">
        <v>26</v>
      </c>
      <c r="C1055" t="s">
        <v>204</v>
      </c>
      <c r="D1055" t="s">
        <v>205</v>
      </c>
      <c r="E1055" t="s">
        <v>97</v>
      </c>
      <c r="G1055" t="s">
        <v>18</v>
      </c>
      <c r="H1055" s="4">
        <v>26433000</v>
      </c>
      <c r="I1055" s="5">
        <v>256</v>
      </c>
      <c r="J1055" s="5">
        <v>0</v>
      </c>
      <c r="K1055" s="5">
        <v>4</v>
      </c>
      <c r="L1055">
        <v>7</v>
      </c>
      <c r="M1055">
        <v>3.5</v>
      </c>
      <c r="N1055">
        <v>3.92</v>
      </c>
      <c r="O1055" s="6">
        <v>15.6</v>
      </c>
      <c r="P1055" s="7">
        <v>2.04</v>
      </c>
      <c r="U1055" t="s">
        <v>84</v>
      </c>
      <c r="V1055" t="s">
        <v>98</v>
      </c>
      <c r="W1055">
        <v>2.5</v>
      </c>
      <c r="X1055" t="s">
        <v>84</v>
      </c>
      <c r="Y1055" t="s">
        <v>99</v>
      </c>
      <c r="Z1055" t="s">
        <v>100</v>
      </c>
      <c r="AA1055" t="s">
        <v>114</v>
      </c>
      <c r="AB1055" t="s">
        <v>115</v>
      </c>
      <c r="AC1055">
        <v>979</v>
      </c>
      <c r="AD1055" s="8" t="b">
        <f>AND(
 H1055&gt;=Filters!$B$3,
 H1055&lt;=Filters!$B$4,
 I1055&gt;=Filters!$B$5,
 OR(Filters!$B$6="All",B1055=Filters!$B$6),
 F1055&gt;=Filters!$B$7,
 F1055&lt;=Filters!$B$8,
 OR(Filters!$B$9="All",G1055=Filters!$B$9)
)</f>
        <v>0</v>
      </c>
      <c r="AE1055">
        <f t="shared" si="208"/>
        <v>6</v>
      </c>
      <c r="AF1055">
        <f t="shared" si="209"/>
        <v>7</v>
      </c>
      <c r="AG1055">
        <f t="shared" si="210"/>
        <v>7</v>
      </c>
      <c r="AH1055" s="9" t="str">
        <f t="shared" si="211"/>
        <v/>
      </c>
      <c r="AI1055" s="9" t="str">
        <f t="shared" si="212"/>
        <v/>
      </c>
      <c r="AJ1055" s="9" t="str">
        <f t="shared" si="213"/>
        <v/>
      </c>
      <c r="AK1055" s="9" t="str">
        <f t="shared" si="214"/>
        <v/>
      </c>
      <c r="AL1055" s="9" t="str">
        <f t="shared" si="215"/>
        <v/>
      </c>
      <c r="AM1055" s="9" t="str">
        <f t="shared" si="216"/>
        <v/>
      </c>
      <c r="AN1055" s="9" t="str">
        <f t="shared" si="217"/>
        <v/>
      </c>
      <c r="AO1055" s="9" t="str">
        <f t="shared" si="218"/>
        <v/>
      </c>
      <c r="AP1055" s="9" t="str">
        <f t="shared" si="219"/>
        <v/>
      </c>
      <c r="AQ1055" s="10" t="str">
        <f t="shared" si="220"/>
        <v/>
      </c>
    </row>
    <row r="1056" spans="1:43">
      <c r="A1056">
        <v>1055</v>
      </c>
      <c r="B1056" t="s">
        <v>23</v>
      </c>
      <c r="C1056" t="s">
        <v>147</v>
      </c>
      <c r="D1056" t="s">
        <v>148</v>
      </c>
      <c r="E1056" t="s">
        <v>83</v>
      </c>
      <c r="G1056" t="s">
        <v>18</v>
      </c>
      <c r="H1056" s="4">
        <v>60858000</v>
      </c>
      <c r="I1056" s="5">
        <v>1024</v>
      </c>
      <c r="J1056" s="5">
        <v>0</v>
      </c>
      <c r="K1056" s="5">
        <v>16</v>
      </c>
      <c r="L1056">
        <v>9.4</v>
      </c>
      <c r="M1056">
        <v>3.5</v>
      </c>
      <c r="N1056">
        <v>8.4600000000000009</v>
      </c>
      <c r="O1056" s="6">
        <v>13.3</v>
      </c>
      <c r="P1056" s="7">
        <v>1.2</v>
      </c>
      <c r="U1056" t="s">
        <v>84</v>
      </c>
      <c r="V1056" t="s">
        <v>140</v>
      </c>
      <c r="W1056">
        <v>2.7</v>
      </c>
      <c r="X1056" t="s">
        <v>84</v>
      </c>
      <c r="Y1056" t="s">
        <v>99</v>
      </c>
      <c r="Z1056" t="s">
        <v>445</v>
      </c>
      <c r="AA1056" t="s">
        <v>333</v>
      </c>
      <c r="AB1056" t="s">
        <v>115</v>
      </c>
      <c r="AC1056">
        <v>2254</v>
      </c>
      <c r="AD1056" s="8" t="b">
        <f>AND(
 H1056&gt;=Filters!$B$3,
 H1056&lt;=Filters!$B$4,
 I1056&gt;=Filters!$B$5,
 OR(Filters!$B$6="All",B1056=Filters!$B$6),
 F1056&gt;=Filters!$B$7,
 F1056&lt;=Filters!$B$8,
 OR(Filters!$B$9="All",G1056=Filters!$B$9)
)</f>
        <v>0</v>
      </c>
      <c r="AE1056">
        <f t="shared" si="208"/>
        <v>6</v>
      </c>
      <c r="AF1056">
        <f t="shared" si="209"/>
        <v>7</v>
      </c>
      <c r="AG1056">
        <f t="shared" si="210"/>
        <v>7</v>
      </c>
      <c r="AH1056" s="9" t="str">
        <f t="shared" si="211"/>
        <v/>
      </c>
      <c r="AI1056" s="9" t="str">
        <f t="shared" si="212"/>
        <v/>
      </c>
      <c r="AJ1056" s="9" t="str">
        <f t="shared" si="213"/>
        <v/>
      </c>
      <c r="AK1056" s="9" t="str">
        <f t="shared" si="214"/>
        <v/>
      </c>
      <c r="AL1056" s="9" t="str">
        <f t="shared" si="215"/>
        <v/>
      </c>
      <c r="AM1056" s="9" t="str">
        <f t="shared" si="216"/>
        <v/>
      </c>
      <c r="AN1056" s="9" t="str">
        <f t="shared" si="217"/>
        <v/>
      </c>
      <c r="AO1056" s="9" t="str">
        <f t="shared" si="218"/>
        <v/>
      </c>
      <c r="AP1056" s="9" t="str">
        <f t="shared" si="219"/>
        <v/>
      </c>
      <c r="AQ1056" s="10" t="str">
        <f t="shared" si="220"/>
        <v/>
      </c>
    </row>
    <row r="1057" spans="1:43">
      <c r="A1057">
        <v>1056</v>
      </c>
      <c r="B1057" t="s">
        <v>26</v>
      </c>
      <c r="C1057" t="s">
        <v>734</v>
      </c>
      <c r="D1057" t="s">
        <v>735</v>
      </c>
      <c r="E1057" t="s">
        <v>97</v>
      </c>
      <c r="G1057" t="s">
        <v>18</v>
      </c>
      <c r="H1057" s="4">
        <v>19039050</v>
      </c>
      <c r="I1057" s="5">
        <v>0</v>
      </c>
      <c r="J1057" s="5">
        <v>500</v>
      </c>
      <c r="K1057" s="5">
        <v>4</v>
      </c>
      <c r="L1057">
        <v>4.5999999999999996</v>
      </c>
      <c r="M1057">
        <v>3.5</v>
      </c>
      <c r="N1057">
        <v>3.92</v>
      </c>
      <c r="O1057" s="6">
        <v>15.6</v>
      </c>
      <c r="P1057" s="7">
        <v>2.31</v>
      </c>
      <c r="U1057" t="s">
        <v>84</v>
      </c>
      <c r="V1057" t="s">
        <v>812</v>
      </c>
      <c r="W1057">
        <v>2.2999999999999998</v>
      </c>
      <c r="X1057" t="s">
        <v>84</v>
      </c>
      <c r="Y1057" t="s">
        <v>130</v>
      </c>
      <c r="Z1057" t="s">
        <v>113</v>
      </c>
      <c r="AA1057" t="s">
        <v>114</v>
      </c>
      <c r="AB1057" t="s">
        <v>115</v>
      </c>
      <c r="AC1057">
        <v>705.15</v>
      </c>
      <c r="AD1057" s="8" t="b">
        <f>AND(
 H1057&gt;=Filters!$B$3,
 H1057&lt;=Filters!$B$4,
 I1057&gt;=Filters!$B$5,
 OR(Filters!$B$6="All",B1057=Filters!$B$6),
 F1057&gt;=Filters!$B$7,
 F1057&lt;=Filters!$B$8,
 OR(Filters!$B$9="All",G1057=Filters!$B$9)
)</f>
        <v>0</v>
      </c>
      <c r="AE1057">
        <f t="shared" si="208"/>
        <v>6</v>
      </c>
      <c r="AF1057">
        <f t="shared" si="209"/>
        <v>7</v>
      </c>
      <c r="AG1057">
        <f t="shared" si="210"/>
        <v>7</v>
      </c>
      <c r="AH1057" s="9" t="str">
        <f t="shared" si="211"/>
        <v/>
      </c>
      <c r="AI1057" s="9" t="str">
        <f t="shared" si="212"/>
        <v/>
      </c>
      <c r="AJ1057" s="9" t="str">
        <f t="shared" si="213"/>
        <v/>
      </c>
      <c r="AK1057" s="9" t="str">
        <f t="shared" si="214"/>
        <v/>
      </c>
      <c r="AL1057" s="9" t="str">
        <f t="shared" si="215"/>
        <v/>
      </c>
      <c r="AM1057" s="9" t="str">
        <f t="shared" si="216"/>
        <v/>
      </c>
      <c r="AN1057" s="9" t="str">
        <f t="shared" si="217"/>
        <v/>
      </c>
      <c r="AO1057" s="9" t="str">
        <f t="shared" si="218"/>
        <v/>
      </c>
      <c r="AP1057" s="9" t="str">
        <f t="shared" si="219"/>
        <v/>
      </c>
      <c r="AQ1057" s="10" t="str">
        <f t="shared" si="220"/>
        <v/>
      </c>
    </row>
    <row r="1058" spans="1:43">
      <c r="A1058">
        <v>1057</v>
      </c>
      <c r="B1058" t="s">
        <v>26</v>
      </c>
      <c r="C1058" t="s">
        <v>1433</v>
      </c>
      <c r="D1058" t="s">
        <v>1434</v>
      </c>
      <c r="E1058" t="s">
        <v>97</v>
      </c>
      <c r="G1058" t="s">
        <v>18</v>
      </c>
      <c r="H1058" s="4">
        <v>13473000</v>
      </c>
      <c r="I1058" s="5">
        <v>0</v>
      </c>
      <c r="J1058" s="5">
        <v>500</v>
      </c>
      <c r="K1058" s="5">
        <v>4</v>
      </c>
      <c r="L1058">
        <v>7</v>
      </c>
      <c r="M1058">
        <v>3.5</v>
      </c>
      <c r="N1058">
        <v>3.92</v>
      </c>
      <c r="O1058" s="6">
        <v>15.6</v>
      </c>
      <c r="P1058" s="7">
        <v>1.96</v>
      </c>
      <c r="U1058" t="s">
        <v>84</v>
      </c>
      <c r="V1058" t="s">
        <v>98</v>
      </c>
      <c r="W1058">
        <v>2.5</v>
      </c>
      <c r="X1058" t="s">
        <v>84</v>
      </c>
      <c r="Y1058" t="s">
        <v>99</v>
      </c>
      <c r="Z1058" t="s">
        <v>113</v>
      </c>
      <c r="AA1058" t="s">
        <v>114</v>
      </c>
      <c r="AB1058" t="s">
        <v>102</v>
      </c>
      <c r="AC1058">
        <v>499</v>
      </c>
      <c r="AD1058" s="8" t="b">
        <f>AND(
 H1058&gt;=Filters!$B$3,
 H1058&lt;=Filters!$B$4,
 I1058&gt;=Filters!$B$5,
 OR(Filters!$B$6="All",B1058=Filters!$B$6),
 F1058&gt;=Filters!$B$7,
 F1058&lt;=Filters!$B$8,
 OR(Filters!$B$9="All",G1058=Filters!$B$9)
)</f>
        <v>0</v>
      </c>
      <c r="AE1058">
        <f t="shared" si="208"/>
        <v>6</v>
      </c>
      <c r="AF1058">
        <f t="shared" si="209"/>
        <v>7</v>
      </c>
      <c r="AG1058">
        <f t="shared" si="210"/>
        <v>7</v>
      </c>
      <c r="AH1058" s="9" t="str">
        <f t="shared" si="211"/>
        <v/>
      </c>
      <c r="AI1058" s="9" t="str">
        <f t="shared" si="212"/>
        <v/>
      </c>
      <c r="AJ1058" s="9" t="str">
        <f t="shared" si="213"/>
        <v/>
      </c>
      <c r="AK1058" s="9" t="str">
        <f t="shared" si="214"/>
        <v/>
      </c>
      <c r="AL1058" s="9" t="str">
        <f t="shared" si="215"/>
        <v/>
      </c>
      <c r="AM1058" s="9" t="str">
        <f t="shared" si="216"/>
        <v/>
      </c>
      <c r="AN1058" s="9" t="str">
        <f t="shared" si="217"/>
        <v/>
      </c>
      <c r="AO1058" s="9" t="str">
        <f t="shared" si="218"/>
        <v/>
      </c>
      <c r="AP1058" s="9" t="str">
        <f t="shared" si="219"/>
        <v/>
      </c>
      <c r="AQ1058" s="10" t="str">
        <f t="shared" si="220"/>
        <v/>
      </c>
    </row>
    <row r="1059" spans="1:43">
      <c r="A1059">
        <v>1058</v>
      </c>
      <c r="B1059" t="s">
        <v>17</v>
      </c>
      <c r="C1059" t="s">
        <v>1435</v>
      </c>
      <c r="D1059" t="s">
        <v>1436</v>
      </c>
      <c r="E1059" t="s">
        <v>97</v>
      </c>
      <c r="G1059" t="s">
        <v>18</v>
      </c>
      <c r="H1059" s="4">
        <v>12123000</v>
      </c>
      <c r="I1059" s="5">
        <v>0</v>
      </c>
      <c r="J1059" s="5">
        <v>1024</v>
      </c>
      <c r="K1059" s="5">
        <v>8</v>
      </c>
      <c r="L1059">
        <v>5.4</v>
      </c>
      <c r="M1059">
        <v>6.5</v>
      </c>
      <c r="N1059">
        <v>3.92</v>
      </c>
      <c r="O1059" s="6">
        <v>15.6</v>
      </c>
      <c r="P1059" s="7">
        <v>2.4</v>
      </c>
      <c r="U1059" t="s">
        <v>104</v>
      </c>
      <c r="V1059" t="s">
        <v>599</v>
      </c>
      <c r="W1059">
        <v>2.2000000000000002</v>
      </c>
      <c r="X1059" t="s">
        <v>104</v>
      </c>
      <c r="Y1059" t="s">
        <v>112</v>
      </c>
      <c r="Z1059" t="s">
        <v>146</v>
      </c>
      <c r="AA1059" t="s">
        <v>114</v>
      </c>
      <c r="AB1059" t="s">
        <v>115</v>
      </c>
      <c r="AC1059">
        <v>449</v>
      </c>
      <c r="AD1059" s="8" t="b">
        <f>AND(
 H1059&gt;=Filters!$B$3,
 H1059&lt;=Filters!$B$4,
 I1059&gt;=Filters!$B$5,
 OR(Filters!$B$6="All",B1059=Filters!$B$6),
 F1059&gt;=Filters!$B$7,
 F1059&lt;=Filters!$B$8,
 OR(Filters!$B$9="All",G1059=Filters!$B$9)
)</f>
        <v>0</v>
      </c>
      <c r="AE1059">
        <f t="shared" si="208"/>
        <v>6</v>
      </c>
      <c r="AF1059">
        <f t="shared" si="209"/>
        <v>7</v>
      </c>
      <c r="AG1059">
        <f t="shared" si="210"/>
        <v>7</v>
      </c>
      <c r="AH1059" s="9" t="str">
        <f t="shared" si="211"/>
        <v/>
      </c>
      <c r="AI1059" s="9" t="str">
        <f t="shared" si="212"/>
        <v/>
      </c>
      <c r="AJ1059" s="9" t="str">
        <f t="shared" si="213"/>
        <v/>
      </c>
      <c r="AK1059" s="9" t="str">
        <f t="shared" si="214"/>
        <v/>
      </c>
      <c r="AL1059" s="9" t="str">
        <f t="shared" si="215"/>
        <v/>
      </c>
      <c r="AM1059" s="9" t="str">
        <f t="shared" si="216"/>
        <v/>
      </c>
      <c r="AN1059" s="9" t="str">
        <f t="shared" si="217"/>
        <v/>
      </c>
      <c r="AO1059" s="9" t="str">
        <f t="shared" si="218"/>
        <v/>
      </c>
      <c r="AP1059" s="9" t="str">
        <f t="shared" si="219"/>
        <v/>
      </c>
      <c r="AQ1059" s="10" t="str">
        <f t="shared" si="220"/>
        <v/>
      </c>
    </row>
    <row r="1060" spans="1:43">
      <c r="A1060">
        <v>1059</v>
      </c>
      <c r="B1060" t="s">
        <v>23</v>
      </c>
      <c r="C1060" t="s">
        <v>1437</v>
      </c>
      <c r="D1060" t="s">
        <v>1438</v>
      </c>
      <c r="E1060" t="s">
        <v>168</v>
      </c>
      <c r="G1060" t="s">
        <v>18</v>
      </c>
      <c r="H1060" s="4">
        <v>35073000</v>
      </c>
      <c r="I1060" s="5">
        <v>256</v>
      </c>
      <c r="J1060" s="5">
        <v>0</v>
      </c>
      <c r="K1060" s="5">
        <v>12</v>
      </c>
      <c r="L1060">
        <v>9.4</v>
      </c>
      <c r="M1060">
        <v>3.5</v>
      </c>
      <c r="N1060">
        <v>6.67</v>
      </c>
      <c r="O1060" s="6">
        <v>13.3</v>
      </c>
      <c r="P1060" s="7">
        <v>1.6</v>
      </c>
      <c r="U1060" t="s">
        <v>84</v>
      </c>
      <c r="V1060" t="s">
        <v>140</v>
      </c>
      <c r="W1060">
        <v>2.7</v>
      </c>
      <c r="X1060" t="s">
        <v>84</v>
      </c>
      <c r="Y1060" t="s">
        <v>99</v>
      </c>
      <c r="Z1060" t="s">
        <v>100</v>
      </c>
      <c r="AA1060" t="s">
        <v>149</v>
      </c>
      <c r="AB1060" t="s">
        <v>115</v>
      </c>
      <c r="AC1060">
        <v>1299</v>
      </c>
      <c r="AD1060" s="8" t="b">
        <f>AND(
 H1060&gt;=Filters!$B$3,
 H1060&lt;=Filters!$B$4,
 I1060&gt;=Filters!$B$5,
 OR(Filters!$B$6="All",B1060=Filters!$B$6),
 F1060&gt;=Filters!$B$7,
 F1060&lt;=Filters!$B$8,
 OR(Filters!$B$9="All",G1060=Filters!$B$9)
)</f>
        <v>0</v>
      </c>
      <c r="AE1060">
        <f t="shared" si="208"/>
        <v>6</v>
      </c>
      <c r="AF1060">
        <f t="shared" si="209"/>
        <v>7</v>
      </c>
      <c r="AG1060">
        <f t="shared" si="210"/>
        <v>7</v>
      </c>
      <c r="AH1060" s="9" t="str">
        <f t="shared" si="211"/>
        <v/>
      </c>
      <c r="AI1060" s="9" t="str">
        <f t="shared" si="212"/>
        <v/>
      </c>
      <c r="AJ1060" s="9" t="str">
        <f t="shared" si="213"/>
        <v/>
      </c>
      <c r="AK1060" s="9" t="str">
        <f t="shared" si="214"/>
        <v/>
      </c>
      <c r="AL1060" s="9" t="str">
        <f t="shared" si="215"/>
        <v/>
      </c>
      <c r="AM1060" s="9" t="str">
        <f t="shared" si="216"/>
        <v/>
      </c>
      <c r="AN1060" s="9" t="str">
        <f t="shared" si="217"/>
        <v/>
      </c>
      <c r="AO1060" s="9" t="str">
        <f t="shared" si="218"/>
        <v/>
      </c>
      <c r="AP1060" s="9" t="str">
        <f t="shared" si="219"/>
        <v/>
      </c>
      <c r="AQ1060" s="10" t="str">
        <f t="shared" si="220"/>
        <v/>
      </c>
    </row>
    <row r="1061" spans="1:43">
      <c r="A1061">
        <v>1060</v>
      </c>
      <c r="B1061" t="s">
        <v>30</v>
      </c>
      <c r="C1061" t="s">
        <v>1439</v>
      </c>
      <c r="D1061" t="s">
        <v>1440</v>
      </c>
      <c r="E1061" t="s">
        <v>158</v>
      </c>
      <c r="G1061" t="s">
        <v>18</v>
      </c>
      <c r="H1061" s="4">
        <v>49113000</v>
      </c>
      <c r="I1061" s="5">
        <v>256</v>
      </c>
      <c r="J1061" s="5">
        <v>1024</v>
      </c>
      <c r="K1061" s="5">
        <v>16</v>
      </c>
      <c r="L1061">
        <v>9.1999999999999993</v>
      </c>
      <c r="M1061">
        <v>9.1999999999999993</v>
      </c>
      <c r="N1061">
        <v>5.92</v>
      </c>
      <c r="O1061" s="6">
        <v>15.6</v>
      </c>
      <c r="P1061" s="7">
        <v>2.94</v>
      </c>
      <c r="U1061" t="s">
        <v>84</v>
      </c>
      <c r="V1061" t="s">
        <v>808</v>
      </c>
      <c r="W1061">
        <v>2.6</v>
      </c>
      <c r="X1061" t="s">
        <v>122</v>
      </c>
      <c r="Y1061" t="s">
        <v>211</v>
      </c>
      <c r="Z1061" t="s">
        <v>212</v>
      </c>
      <c r="AA1061" t="s">
        <v>101</v>
      </c>
      <c r="AB1061" t="s">
        <v>115</v>
      </c>
      <c r="AC1061">
        <v>1819</v>
      </c>
      <c r="AD1061" s="8" t="b">
        <f>AND(
 H1061&gt;=Filters!$B$3,
 H1061&lt;=Filters!$B$4,
 I1061&gt;=Filters!$B$5,
 OR(Filters!$B$6="All",B1061=Filters!$B$6),
 F1061&gt;=Filters!$B$7,
 F1061&lt;=Filters!$B$8,
 OR(Filters!$B$9="All",G1061=Filters!$B$9)
)</f>
        <v>0</v>
      </c>
      <c r="AE1061">
        <f t="shared" si="208"/>
        <v>6</v>
      </c>
      <c r="AF1061">
        <f t="shared" si="209"/>
        <v>7</v>
      </c>
      <c r="AG1061">
        <f t="shared" si="210"/>
        <v>7</v>
      </c>
      <c r="AH1061" s="9" t="str">
        <f t="shared" si="211"/>
        <v/>
      </c>
      <c r="AI1061" s="9" t="str">
        <f t="shared" si="212"/>
        <v/>
      </c>
      <c r="AJ1061" s="9" t="str">
        <f t="shared" si="213"/>
        <v/>
      </c>
      <c r="AK1061" s="9" t="str">
        <f t="shared" si="214"/>
        <v/>
      </c>
      <c r="AL1061" s="9" t="str">
        <f t="shared" si="215"/>
        <v/>
      </c>
      <c r="AM1061" s="9" t="str">
        <f t="shared" si="216"/>
        <v/>
      </c>
      <c r="AN1061" s="9" t="str">
        <f t="shared" si="217"/>
        <v/>
      </c>
      <c r="AO1061" s="9" t="str">
        <f t="shared" si="218"/>
        <v/>
      </c>
      <c r="AP1061" s="9" t="str">
        <f t="shared" si="219"/>
        <v/>
      </c>
      <c r="AQ1061" s="10" t="str">
        <f t="shared" si="220"/>
        <v/>
      </c>
    </row>
    <row r="1062" spans="1:43">
      <c r="A1062">
        <v>1061</v>
      </c>
      <c r="B1062" t="s">
        <v>26</v>
      </c>
      <c r="C1062" t="s">
        <v>204</v>
      </c>
      <c r="D1062" t="s">
        <v>205</v>
      </c>
      <c r="E1062" t="s">
        <v>97</v>
      </c>
      <c r="G1062" t="s">
        <v>18</v>
      </c>
      <c r="H1062" s="4">
        <v>28890000</v>
      </c>
      <c r="I1062" s="5">
        <v>256</v>
      </c>
      <c r="J1062" s="5">
        <v>0</v>
      </c>
      <c r="K1062" s="5">
        <v>8</v>
      </c>
      <c r="L1062">
        <v>9.4</v>
      </c>
      <c r="M1062">
        <v>3.5</v>
      </c>
      <c r="N1062">
        <v>5.92</v>
      </c>
      <c r="O1062" s="6">
        <v>15.6</v>
      </c>
      <c r="P1062" s="7">
        <v>2.04</v>
      </c>
      <c r="U1062" t="s">
        <v>84</v>
      </c>
      <c r="V1062" t="s">
        <v>140</v>
      </c>
      <c r="W1062">
        <v>2.7</v>
      </c>
      <c r="X1062" t="s">
        <v>84</v>
      </c>
      <c r="Y1062" t="s">
        <v>99</v>
      </c>
      <c r="Z1062" t="s">
        <v>100</v>
      </c>
      <c r="AA1062" t="s">
        <v>101</v>
      </c>
      <c r="AB1062" t="s">
        <v>115</v>
      </c>
      <c r="AC1062">
        <v>1070</v>
      </c>
      <c r="AD1062" s="8" t="b">
        <f>AND(
 H1062&gt;=Filters!$B$3,
 H1062&lt;=Filters!$B$4,
 I1062&gt;=Filters!$B$5,
 OR(Filters!$B$6="All",B1062=Filters!$B$6),
 F1062&gt;=Filters!$B$7,
 F1062&lt;=Filters!$B$8,
 OR(Filters!$B$9="All",G1062=Filters!$B$9)
)</f>
        <v>0</v>
      </c>
      <c r="AE1062">
        <f t="shared" si="208"/>
        <v>6</v>
      </c>
      <c r="AF1062">
        <f t="shared" si="209"/>
        <v>7</v>
      </c>
      <c r="AG1062">
        <f t="shared" si="210"/>
        <v>7</v>
      </c>
      <c r="AH1062" s="9" t="str">
        <f t="shared" si="211"/>
        <v/>
      </c>
      <c r="AI1062" s="9" t="str">
        <f t="shared" si="212"/>
        <v/>
      </c>
      <c r="AJ1062" s="9" t="str">
        <f t="shared" si="213"/>
        <v/>
      </c>
      <c r="AK1062" s="9" t="str">
        <f t="shared" si="214"/>
        <v/>
      </c>
      <c r="AL1062" s="9" t="str">
        <f t="shared" si="215"/>
        <v/>
      </c>
      <c r="AM1062" s="9" t="str">
        <f t="shared" si="216"/>
        <v/>
      </c>
      <c r="AN1062" s="9" t="str">
        <f t="shared" si="217"/>
        <v/>
      </c>
      <c r="AO1062" s="9" t="str">
        <f t="shared" si="218"/>
        <v/>
      </c>
      <c r="AP1062" s="9" t="str">
        <f t="shared" si="219"/>
        <v/>
      </c>
      <c r="AQ1062" s="10" t="str">
        <f t="shared" si="220"/>
        <v/>
      </c>
    </row>
    <row r="1063" spans="1:43">
      <c r="A1063">
        <v>1062</v>
      </c>
      <c r="B1063" t="s">
        <v>21</v>
      </c>
      <c r="C1063" t="s">
        <v>1441</v>
      </c>
      <c r="D1063" t="s">
        <v>1442</v>
      </c>
      <c r="E1063" t="s">
        <v>158</v>
      </c>
      <c r="G1063" t="s">
        <v>18</v>
      </c>
      <c r="H1063" s="4">
        <v>26946000</v>
      </c>
      <c r="I1063" s="5">
        <v>0</v>
      </c>
      <c r="J1063" s="5">
        <v>1024</v>
      </c>
      <c r="K1063" s="5">
        <v>16</v>
      </c>
      <c r="L1063">
        <v>9.1999999999999993</v>
      </c>
      <c r="M1063">
        <v>9.1999999999999993</v>
      </c>
      <c r="N1063">
        <v>6.24</v>
      </c>
      <c r="O1063" s="6">
        <v>17.3</v>
      </c>
      <c r="P1063" s="7">
        <v>4</v>
      </c>
      <c r="U1063" t="s">
        <v>84</v>
      </c>
      <c r="V1063" t="s">
        <v>808</v>
      </c>
      <c r="W1063">
        <v>2.6</v>
      </c>
      <c r="X1063" t="s">
        <v>122</v>
      </c>
      <c r="Y1063" t="s">
        <v>832</v>
      </c>
      <c r="Z1063" t="s">
        <v>146</v>
      </c>
      <c r="AA1063" t="s">
        <v>128</v>
      </c>
      <c r="AB1063" t="s">
        <v>102</v>
      </c>
      <c r="AC1063">
        <v>998</v>
      </c>
      <c r="AD1063" s="8" t="b">
        <f>AND(
 H1063&gt;=Filters!$B$3,
 H1063&lt;=Filters!$B$4,
 I1063&gt;=Filters!$B$5,
 OR(Filters!$B$6="All",B1063=Filters!$B$6),
 F1063&gt;=Filters!$B$7,
 F1063&lt;=Filters!$B$8,
 OR(Filters!$B$9="All",G1063=Filters!$B$9)
)</f>
        <v>0</v>
      </c>
      <c r="AE1063">
        <f t="shared" si="208"/>
        <v>6</v>
      </c>
      <c r="AF1063">
        <f t="shared" si="209"/>
        <v>7</v>
      </c>
      <c r="AG1063">
        <f t="shared" si="210"/>
        <v>7</v>
      </c>
      <c r="AH1063" s="9" t="str">
        <f t="shared" si="211"/>
        <v/>
      </c>
      <c r="AI1063" s="9" t="str">
        <f t="shared" si="212"/>
        <v/>
      </c>
      <c r="AJ1063" s="9" t="str">
        <f t="shared" si="213"/>
        <v/>
      </c>
      <c r="AK1063" s="9" t="str">
        <f t="shared" si="214"/>
        <v/>
      </c>
      <c r="AL1063" s="9" t="str">
        <f t="shared" si="215"/>
        <v/>
      </c>
      <c r="AM1063" s="9" t="str">
        <f t="shared" si="216"/>
        <v/>
      </c>
      <c r="AN1063" s="9" t="str">
        <f t="shared" si="217"/>
        <v/>
      </c>
      <c r="AO1063" s="9" t="str">
        <f t="shared" si="218"/>
        <v/>
      </c>
      <c r="AP1063" s="9" t="str">
        <f t="shared" si="219"/>
        <v/>
      </c>
      <c r="AQ1063" s="10" t="str">
        <f t="shared" si="220"/>
        <v/>
      </c>
    </row>
    <row r="1064" spans="1:43">
      <c r="A1064">
        <v>1063</v>
      </c>
      <c r="B1064" t="s">
        <v>23</v>
      </c>
      <c r="C1064" t="s">
        <v>132</v>
      </c>
      <c r="D1064" t="s">
        <v>133</v>
      </c>
      <c r="E1064" t="s">
        <v>97</v>
      </c>
      <c r="G1064" t="s">
        <v>18</v>
      </c>
      <c r="H1064" s="4">
        <v>15093000</v>
      </c>
      <c r="I1064" s="5">
        <v>0</v>
      </c>
      <c r="J1064" s="5">
        <v>1024</v>
      </c>
      <c r="K1064" s="5">
        <v>4</v>
      </c>
      <c r="L1064">
        <v>7</v>
      </c>
      <c r="M1064">
        <v>3.5</v>
      </c>
      <c r="N1064">
        <v>5.92</v>
      </c>
      <c r="O1064" s="6">
        <v>15.6</v>
      </c>
      <c r="P1064" s="7">
        <v>2.25</v>
      </c>
      <c r="U1064" t="s">
        <v>84</v>
      </c>
      <c r="V1064" t="s">
        <v>98</v>
      </c>
      <c r="W1064">
        <v>2.5</v>
      </c>
      <c r="X1064" t="s">
        <v>84</v>
      </c>
      <c r="Y1064" t="s">
        <v>187</v>
      </c>
      <c r="Z1064" t="s">
        <v>146</v>
      </c>
      <c r="AA1064" t="s">
        <v>101</v>
      </c>
      <c r="AB1064" t="s">
        <v>115</v>
      </c>
      <c r="AC1064">
        <v>559</v>
      </c>
      <c r="AD1064" s="8" t="b">
        <f>AND(
 H1064&gt;=Filters!$B$3,
 H1064&lt;=Filters!$B$4,
 I1064&gt;=Filters!$B$5,
 OR(Filters!$B$6="All",B1064=Filters!$B$6),
 F1064&gt;=Filters!$B$7,
 F1064&lt;=Filters!$B$8,
 OR(Filters!$B$9="All",G1064=Filters!$B$9)
)</f>
        <v>0</v>
      </c>
      <c r="AE1064">
        <f t="shared" si="208"/>
        <v>6</v>
      </c>
      <c r="AF1064">
        <f t="shared" si="209"/>
        <v>7</v>
      </c>
      <c r="AG1064">
        <f t="shared" si="210"/>
        <v>7</v>
      </c>
      <c r="AH1064" s="9" t="str">
        <f t="shared" si="211"/>
        <v/>
      </c>
      <c r="AI1064" s="9" t="str">
        <f t="shared" si="212"/>
        <v/>
      </c>
      <c r="AJ1064" s="9" t="str">
        <f t="shared" si="213"/>
        <v/>
      </c>
      <c r="AK1064" s="9" t="str">
        <f t="shared" si="214"/>
        <v/>
      </c>
      <c r="AL1064" s="9" t="str">
        <f t="shared" si="215"/>
        <v/>
      </c>
      <c r="AM1064" s="9" t="str">
        <f t="shared" si="216"/>
        <v/>
      </c>
      <c r="AN1064" s="9" t="str">
        <f t="shared" si="217"/>
        <v/>
      </c>
      <c r="AO1064" s="9" t="str">
        <f t="shared" si="218"/>
        <v/>
      </c>
      <c r="AP1064" s="9" t="str">
        <f t="shared" si="219"/>
        <v/>
      </c>
      <c r="AQ1064" s="10" t="str">
        <f t="shared" si="220"/>
        <v/>
      </c>
    </row>
    <row r="1065" spans="1:43">
      <c r="A1065">
        <v>1064</v>
      </c>
      <c r="B1065" t="s">
        <v>23</v>
      </c>
      <c r="C1065" t="s">
        <v>356</v>
      </c>
      <c r="D1065" t="s">
        <v>357</v>
      </c>
      <c r="E1065" t="s">
        <v>97</v>
      </c>
      <c r="G1065" t="s">
        <v>18</v>
      </c>
      <c r="H1065" s="4">
        <v>26729730</v>
      </c>
      <c r="I1065" s="5">
        <v>0</v>
      </c>
      <c r="J1065" s="5">
        <v>2048</v>
      </c>
      <c r="K1065" s="5">
        <v>16</v>
      </c>
      <c r="L1065">
        <v>9.4</v>
      </c>
      <c r="M1065">
        <v>6.5</v>
      </c>
      <c r="N1065">
        <v>5.92</v>
      </c>
      <c r="O1065" s="6">
        <v>15.6</v>
      </c>
      <c r="P1065" s="7">
        <v>2.3199999999999998</v>
      </c>
      <c r="U1065" t="s">
        <v>84</v>
      </c>
      <c r="V1065" t="s">
        <v>140</v>
      </c>
      <c r="W1065">
        <v>2.7</v>
      </c>
      <c r="X1065" t="s">
        <v>104</v>
      </c>
      <c r="Y1065" t="s">
        <v>358</v>
      </c>
      <c r="Z1065" t="s">
        <v>283</v>
      </c>
      <c r="AA1065" t="s">
        <v>101</v>
      </c>
      <c r="AB1065" t="s">
        <v>115</v>
      </c>
      <c r="AC1065">
        <v>989.99</v>
      </c>
      <c r="AD1065" s="8" t="b">
        <f>AND(
 H1065&gt;=Filters!$B$3,
 H1065&lt;=Filters!$B$4,
 I1065&gt;=Filters!$B$5,
 OR(Filters!$B$6="All",B1065=Filters!$B$6),
 F1065&gt;=Filters!$B$7,
 F1065&lt;=Filters!$B$8,
 OR(Filters!$B$9="All",G1065=Filters!$B$9)
)</f>
        <v>0</v>
      </c>
      <c r="AE1065">
        <f t="shared" si="208"/>
        <v>6</v>
      </c>
      <c r="AF1065">
        <f t="shared" si="209"/>
        <v>7</v>
      </c>
      <c r="AG1065">
        <f t="shared" si="210"/>
        <v>7</v>
      </c>
      <c r="AH1065" s="9" t="str">
        <f t="shared" si="211"/>
        <v/>
      </c>
      <c r="AI1065" s="9" t="str">
        <f t="shared" si="212"/>
        <v/>
      </c>
      <c r="AJ1065" s="9" t="str">
        <f t="shared" si="213"/>
        <v/>
      </c>
      <c r="AK1065" s="9" t="str">
        <f t="shared" si="214"/>
        <v/>
      </c>
      <c r="AL1065" s="9" t="str">
        <f t="shared" si="215"/>
        <v/>
      </c>
      <c r="AM1065" s="9" t="str">
        <f t="shared" si="216"/>
        <v/>
      </c>
      <c r="AN1065" s="9" t="str">
        <f t="shared" si="217"/>
        <v/>
      </c>
      <c r="AO1065" s="9" t="str">
        <f t="shared" si="218"/>
        <v/>
      </c>
      <c r="AP1065" s="9" t="str">
        <f t="shared" si="219"/>
        <v/>
      </c>
      <c r="AQ1065" s="10" t="str">
        <f t="shared" si="220"/>
        <v/>
      </c>
    </row>
    <row r="1066" spans="1:43">
      <c r="A1066">
        <v>1065</v>
      </c>
      <c r="B1066" t="s">
        <v>30</v>
      </c>
      <c r="C1066" t="s">
        <v>1443</v>
      </c>
      <c r="D1066" t="s">
        <v>1444</v>
      </c>
      <c r="E1066" t="s">
        <v>158</v>
      </c>
      <c r="G1066" t="s">
        <v>18</v>
      </c>
      <c r="H1066" s="4">
        <v>52083000</v>
      </c>
      <c r="I1066" s="5">
        <v>256</v>
      </c>
      <c r="J1066" s="5">
        <v>1024</v>
      </c>
      <c r="K1066" s="5">
        <v>16</v>
      </c>
      <c r="L1066">
        <v>9.1999999999999993</v>
      </c>
      <c r="M1066">
        <v>9.1999999999999993</v>
      </c>
      <c r="N1066">
        <v>5.92</v>
      </c>
      <c r="O1066" s="6">
        <v>15.6</v>
      </c>
      <c r="P1066" s="7">
        <v>1.8</v>
      </c>
      <c r="U1066" t="s">
        <v>84</v>
      </c>
      <c r="V1066" t="s">
        <v>808</v>
      </c>
      <c r="W1066">
        <v>2.6</v>
      </c>
      <c r="X1066" t="s">
        <v>122</v>
      </c>
      <c r="Y1066" t="s">
        <v>211</v>
      </c>
      <c r="Z1066" t="s">
        <v>212</v>
      </c>
      <c r="AA1066" t="s">
        <v>101</v>
      </c>
      <c r="AB1066" t="s">
        <v>115</v>
      </c>
      <c r="AC1066">
        <v>1929</v>
      </c>
      <c r="AD1066" s="8" t="b">
        <f>AND(
 H1066&gt;=Filters!$B$3,
 H1066&lt;=Filters!$B$4,
 I1066&gt;=Filters!$B$5,
 OR(Filters!$B$6="All",B1066=Filters!$B$6),
 F1066&gt;=Filters!$B$7,
 F1066&lt;=Filters!$B$8,
 OR(Filters!$B$9="All",G1066=Filters!$B$9)
)</f>
        <v>0</v>
      </c>
      <c r="AE1066">
        <f t="shared" si="208"/>
        <v>6</v>
      </c>
      <c r="AF1066">
        <f t="shared" si="209"/>
        <v>7</v>
      </c>
      <c r="AG1066">
        <f t="shared" si="210"/>
        <v>7</v>
      </c>
      <c r="AH1066" s="9" t="str">
        <f t="shared" si="211"/>
        <v/>
      </c>
      <c r="AI1066" s="9" t="str">
        <f t="shared" si="212"/>
        <v/>
      </c>
      <c r="AJ1066" s="9" t="str">
        <f t="shared" si="213"/>
        <v/>
      </c>
      <c r="AK1066" s="9" t="str">
        <f t="shared" si="214"/>
        <v/>
      </c>
      <c r="AL1066" s="9" t="str">
        <f t="shared" si="215"/>
        <v/>
      </c>
      <c r="AM1066" s="9" t="str">
        <f t="shared" si="216"/>
        <v/>
      </c>
      <c r="AN1066" s="9" t="str">
        <f t="shared" si="217"/>
        <v/>
      </c>
      <c r="AO1066" s="9" t="str">
        <f t="shared" si="218"/>
        <v/>
      </c>
      <c r="AP1066" s="9" t="str">
        <f t="shared" si="219"/>
        <v/>
      </c>
      <c r="AQ1066" s="10" t="str">
        <f t="shared" si="220"/>
        <v/>
      </c>
    </row>
    <row r="1067" spans="1:43">
      <c r="A1067">
        <v>1066</v>
      </c>
      <c r="B1067" t="s">
        <v>23</v>
      </c>
      <c r="C1067" t="s">
        <v>147</v>
      </c>
      <c r="D1067" t="s">
        <v>148</v>
      </c>
      <c r="E1067" t="s">
        <v>83</v>
      </c>
      <c r="G1067" t="s">
        <v>18</v>
      </c>
      <c r="H1067" s="4">
        <v>39366000</v>
      </c>
      <c r="I1067" s="5">
        <v>256</v>
      </c>
      <c r="J1067" s="5">
        <v>0</v>
      </c>
      <c r="K1067" s="5">
        <v>8</v>
      </c>
      <c r="L1067">
        <v>9.4</v>
      </c>
      <c r="M1067">
        <v>3.5</v>
      </c>
      <c r="N1067">
        <v>5.96</v>
      </c>
      <c r="O1067" s="6">
        <v>13.3</v>
      </c>
      <c r="P1067" s="7">
        <v>1.29</v>
      </c>
      <c r="U1067" t="s">
        <v>84</v>
      </c>
      <c r="V1067" t="s">
        <v>140</v>
      </c>
      <c r="W1067">
        <v>2.7</v>
      </c>
      <c r="X1067" t="s">
        <v>84</v>
      </c>
      <c r="Y1067" t="s">
        <v>99</v>
      </c>
      <c r="Z1067" t="s">
        <v>100</v>
      </c>
      <c r="AA1067" t="s">
        <v>101</v>
      </c>
      <c r="AB1067" t="s">
        <v>115</v>
      </c>
      <c r="AC1067">
        <v>1458</v>
      </c>
      <c r="AD1067" s="8" t="b">
        <f>AND(
 H1067&gt;=Filters!$B$3,
 H1067&lt;=Filters!$B$4,
 I1067&gt;=Filters!$B$5,
 OR(Filters!$B$6="All",B1067=Filters!$B$6),
 F1067&gt;=Filters!$B$7,
 F1067&lt;=Filters!$B$8,
 OR(Filters!$B$9="All",G1067=Filters!$B$9)
)</f>
        <v>0</v>
      </c>
      <c r="AE1067">
        <f t="shared" si="208"/>
        <v>6</v>
      </c>
      <c r="AF1067">
        <f t="shared" si="209"/>
        <v>7</v>
      </c>
      <c r="AG1067">
        <f t="shared" si="210"/>
        <v>7</v>
      </c>
      <c r="AH1067" s="9" t="str">
        <f t="shared" si="211"/>
        <v/>
      </c>
      <c r="AI1067" s="9" t="str">
        <f t="shared" si="212"/>
        <v/>
      </c>
      <c r="AJ1067" s="9" t="str">
        <f t="shared" si="213"/>
        <v/>
      </c>
      <c r="AK1067" s="9" t="str">
        <f t="shared" si="214"/>
        <v/>
      </c>
      <c r="AL1067" s="9" t="str">
        <f t="shared" si="215"/>
        <v/>
      </c>
      <c r="AM1067" s="9" t="str">
        <f t="shared" si="216"/>
        <v/>
      </c>
      <c r="AN1067" s="9" t="str">
        <f t="shared" si="217"/>
        <v/>
      </c>
      <c r="AO1067" s="9" t="str">
        <f t="shared" si="218"/>
        <v/>
      </c>
      <c r="AP1067" s="9" t="str">
        <f t="shared" si="219"/>
        <v/>
      </c>
      <c r="AQ1067" s="10" t="str">
        <f t="shared" si="220"/>
        <v/>
      </c>
    </row>
    <row r="1068" spans="1:43">
      <c r="A1068">
        <v>1067</v>
      </c>
      <c r="B1068" t="s">
        <v>21</v>
      </c>
      <c r="C1068" t="s">
        <v>1445</v>
      </c>
      <c r="D1068" t="s">
        <v>1446</v>
      </c>
      <c r="E1068" t="s">
        <v>158</v>
      </c>
      <c r="G1068" t="s">
        <v>18</v>
      </c>
      <c r="H1068" s="4">
        <v>107325000</v>
      </c>
      <c r="I1068" s="5">
        <v>1024</v>
      </c>
      <c r="J1068" s="5">
        <v>0</v>
      </c>
      <c r="K1068" s="5">
        <v>64</v>
      </c>
      <c r="L1068">
        <v>9.4</v>
      </c>
      <c r="M1068">
        <v>9.1999999999999993</v>
      </c>
      <c r="N1068">
        <v>6.24</v>
      </c>
      <c r="O1068" s="6">
        <v>17.3</v>
      </c>
      <c r="P1068" s="7">
        <v>3.58</v>
      </c>
      <c r="U1068" t="s">
        <v>84</v>
      </c>
      <c r="V1068" t="s">
        <v>932</v>
      </c>
      <c r="W1068">
        <v>2.7</v>
      </c>
      <c r="X1068" t="s">
        <v>122</v>
      </c>
      <c r="Y1068" t="s">
        <v>1447</v>
      </c>
      <c r="Z1068" t="s">
        <v>445</v>
      </c>
      <c r="AA1068" t="s">
        <v>128</v>
      </c>
      <c r="AB1068" t="s">
        <v>115</v>
      </c>
      <c r="AC1068">
        <v>3975</v>
      </c>
      <c r="AD1068" s="8" t="b">
        <f>AND(
 H1068&gt;=Filters!$B$3,
 H1068&lt;=Filters!$B$4,
 I1068&gt;=Filters!$B$5,
 OR(Filters!$B$6="All",B1068=Filters!$B$6),
 F1068&gt;=Filters!$B$7,
 F1068&lt;=Filters!$B$8,
 OR(Filters!$B$9="All",G1068=Filters!$B$9)
)</f>
        <v>0</v>
      </c>
      <c r="AE1068">
        <f t="shared" si="208"/>
        <v>6</v>
      </c>
      <c r="AF1068">
        <f t="shared" si="209"/>
        <v>7</v>
      </c>
      <c r="AG1068">
        <f t="shared" si="210"/>
        <v>7</v>
      </c>
      <c r="AH1068" s="9" t="str">
        <f t="shared" si="211"/>
        <v/>
      </c>
      <c r="AI1068" s="9" t="str">
        <f t="shared" si="212"/>
        <v/>
      </c>
      <c r="AJ1068" s="9" t="str">
        <f t="shared" si="213"/>
        <v/>
      </c>
      <c r="AK1068" s="9" t="str">
        <f t="shared" si="214"/>
        <v/>
      </c>
      <c r="AL1068" s="9" t="str">
        <f t="shared" si="215"/>
        <v/>
      </c>
      <c r="AM1068" s="9" t="str">
        <f t="shared" si="216"/>
        <v/>
      </c>
      <c r="AN1068" s="9" t="str">
        <f t="shared" si="217"/>
        <v/>
      </c>
      <c r="AO1068" s="9" t="str">
        <f t="shared" si="218"/>
        <v/>
      </c>
      <c r="AP1068" s="9" t="str">
        <f t="shared" si="219"/>
        <v/>
      </c>
      <c r="AQ1068" s="10" t="str">
        <f t="shared" si="220"/>
        <v/>
      </c>
    </row>
    <row r="1069" spans="1:43">
      <c r="A1069">
        <v>1068</v>
      </c>
      <c r="B1069" t="s">
        <v>23</v>
      </c>
      <c r="C1069" t="s">
        <v>1448</v>
      </c>
      <c r="D1069" t="s">
        <v>1257</v>
      </c>
      <c r="E1069" t="s">
        <v>168</v>
      </c>
      <c r="G1069" t="s">
        <v>18</v>
      </c>
      <c r="H1069" s="4">
        <v>21546270</v>
      </c>
      <c r="I1069" s="5">
        <v>256</v>
      </c>
      <c r="J1069" s="5">
        <v>0</v>
      </c>
      <c r="K1069" s="5">
        <v>8</v>
      </c>
      <c r="L1069">
        <v>9</v>
      </c>
      <c r="M1069">
        <v>3.5</v>
      </c>
      <c r="N1069">
        <v>6.26</v>
      </c>
      <c r="O1069" s="6">
        <v>13.3</v>
      </c>
      <c r="P1069" s="7">
        <v>1.62</v>
      </c>
      <c r="U1069" t="s">
        <v>84</v>
      </c>
      <c r="V1069" t="s">
        <v>485</v>
      </c>
      <c r="W1069">
        <v>2.5</v>
      </c>
      <c r="X1069" t="s">
        <v>84</v>
      </c>
      <c r="Y1069" t="s">
        <v>130</v>
      </c>
      <c r="Z1069" t="s">
        <v>100</v>
      </c>
      <c r="AA1069" t="s">
        <v>169</v>
      </c>
      <c r="AB1069" t="s">
        <v>115</v>
      </c>
      <c r="AC1069">
        <v>798.01</v>
      </c>
      <c r="AD1069" s="8" t="b">
        <f>AND(
 H1069&gt;=Filters!$B$3,
 H1069&lt;=Filters!$B$4,
 I1069&gt;=Filters!$B$5,
 OR(Filters!$B$6="All",B1069=Filters!$B$6),
 F1069&gt;=Filters!$B$7,
 F1069&lt;=Filters!$B$8,
 OR(Filters!$B$9="All",G1069=Filters!$B$9)
)</f>
        <v>1</v>
      </c>
      <c r="AE1069">
        <f t="shared" si="208"/>
        <v>6</v>
      </c>
      <c r="AF1069">
        <f t="shared" si="209"/>
        <v>7</v>
      </c>
      <c r="AG1069">
        <f t="shared" si="210"/>
        <v>7</v>
      </c>
      <c r="AH1069" s="9">
        <f t="shared" si="211"/>
        <v>0.92857142857142849</v>
      </c>
      <c r="AI1069" s="9">
        <f t="shared" si="212"/>
        <v>0.80952380952380942</v>
      </c>
      <c r="AJ1069" s="9">
        <f t="shared" si="213"/>
        <v>0.27380952380952378</v>
      </c>
      <c r="AK1069" s="9">
        <f t="shared" si="214"/>
        <v>0.60238095238095235</v>
      </c>
      <c r="AL1069" s="9">
        <f t="shared" si="215"/>
        <v>0.95</v>
      </c>
      <c r="AM1069" s="9">
        <f t="shared" si="216"/>
        <v>0.5714285714285714</v>
      </c>
      <c r="AN1069" s="9">
        <f t="shared" si="217"/>
        <v>0.69047619047619047</v>
      </c>
      <c r="AO1069" s="9">
        <f t="shared" si="218"/>
        <v>0.69047619047619047</v>
      </c>
      <c r="AP1069" s="9">
        <f t="shared" si="219"/>
        <v>0.72368610520862153</v>
      </c>
      <c r="AQ1069" s="10">
        <f t="shared" si="220"/>
        <v>0.7236871742086215</v>
      </c>
    </row>
    <row r="1070" spans="1:43">
      <c r="A1070">
        <v>1069</v>
      </c>
      <c r="B1070" t="s">
        <v>23</v>
      </c>
      <c r="C1070" t="s">
        <v>1057</v>
      </c>
      <c r="D1070" t="s">
        <v>1058</v>
      </c>
      <c r="E1070" t="s">
        <v>158</v>
      </c>
      <c r="G1070" t="s">
        <v>18</v>
      </c>
      <c r="H1070" s="4">
        <v>35883000</v>
      </c>
      <c r="I1070" s="5">
        <v>256</v>
      </c>
      <c r="J1070" s="5">
        <v>1024</v>
      </c>
      <c r="K1070" s="5">
        <v>16</v>
      </c>
      <c r="L1070">
        <v>9.1999999999999993</v>
      </c>
      <c r="M1070">
        <v>9.1999999999999993</v>
      </c>
      <c r="N1070">
        <v>9.42</v>
      </c>
      <c r="O1070" s="6">
        <v>15.6</v>
      </c>
      <c r="P1070" s="7">
        <v>3.21</v>
      </c>
      <c r="U1070" t="s">
        <v>84</v>
      </c>
      <c r="V1070" t="s">
        <v>808</v>
      </c>
      <c r="W1070">
        <v>2.6</v>
      </c>
      <c r="X1070" t="s">
        <v>122</v>
      </c>
      <c r="Y1070" t="s">
        <v>963</v>
      </c>
      <c r="Z1070" t="s">
        <v>212</v>
      </c>
      <c r="AA1070" t="s">
        <v>471</v>
      </c>
      <c r="AB1070" t="s">
        <v>115</v>
      </c>
      <c r="AC1070">
        <v>1329</v>
      </c>
      <c r="AD1070" s="8" t="b">
        <f>AND(
 H1070&gt;=Filters!$B$3,
 H1070&lt;=Filters!$B$4,
 I1070&gt;=Filters!$B$5,
 OR(Filters!$B$6="All",B1070=Filters!$B$6),
 F1070&gt;=Filters!$B$7,
 F1070&lt;=Filters!$B$8,
 OR(Filters!$B$9="All",G1070=Filters!$B$9)
)</f>
        <v>0</v>
      </c>
      <c r="AE1070">
        <f t="shared" si="208"/>
        <v>6</v>
      </c>
      <c r="AF1070">
        <f t="shared" si="209"/>
        <v>7</v>
      </c>
      <c r="AG1070">
        <f t="shared" si="210"/>
        <v>7</v>
      </c>
      <c r="AH1070" s="9" t="str">
        <f t="shared" si="211"/>
        <v/>
      </c>
      <c r="AI1070" s="9" t="str">
        <f t="shared" si="212"/>
        <v/>
      </c>
      <c r="AJ1070" s="9" t="str">
        <f t="shared" si="213"/>
        <v/>
      </c>
      <c r="AK1070" s="9" t="str">
        <f t="shared" si="214"/>
        <v/>
      </c>
      <c r="AL1070" s="9" t="str">
        <f t="shared" si="215"/>
        <v/>
      </c>
      <c r="AM1070" s="9" t="str">
        <f t="shared" si="216"/>
        <v/>
      </c>
      <c r="AN1070" s="9" t="str">
        <f t="shared" si="217"/>
        <v/>
      </c>
      <c r="AO1070" s="9" t="str">
        <f t="shared" si="218"/>
        <v/>
      </c>
      <c r="AP1070" s="9" t="str">
        <f t="shared" si="219"/>
        <v/>
      </c>
      <c r="AQ1070" s="10" t="str">
        <f t="shared" si="220"/>
        <v/>
      </c>
    </row>
    <row r="1071" spans="1:43">
      <c r="A1071">
        <v>1070</v>
      </c>
      <c r="B1071" t="s">
        <v>19</v>
      </c>
      <c r="C1071" t="s">
        <v>135</v>
      </c>
      <c r="D1071" t="s">
        <v>136</v>
      </c>
      <c r="E1071" t="s">
        <v>83</v>
      </c>
      <c r="G1071" t="s">
        <v>18</v>
      </c>
      <c r="H1071" s="4">
        <v>35100000</v>
      </c>
      <c r="I1071" s="5">
        <v>256</v>
      </c>
      <c r="J1071" s="5">
        <v>0</v>
      </c>
      <c r="K1071" s="5">
        <v>8</v>
      </c>
      <c r="L1071">
        <v>3.2</v>
      </c>
      <c r="M1071">
        <v>3.5</v>
      </c>
      <c r="N1071">
        <v>7.9</v>
      </c>
      <c r="O1071" s="6">
        <v>12</v>
      </c>
      <c r="P1071" s="7">
        <v>0.92</v>
      </c>
      <c r="U1071" t="s">
        <v>84</v>
      </c>
      <c r="V1071" t="s">
        <v>1196</v>
      </c>
      <c r="W1071">
        <v>1.1000000000000001</v>
      </c>
      <c r="X1071" t="s">
        <v>84</v>
      </c>
      <c r="Y1071" t="s">
        <v>381</v>
      </c>
      <c r="Z1071" t="s">
        <v>117</v>
      </c>
      <c r="AA1071" t="s">
        <v>139</v>
      </c>
      <c r="AB1071" t="s">
        <v>118</v>
      </c>
      <c r="AC1071">
        <v>1300</v>
      </c>
      <c r="AD1071" s="8" t="b">
        <f>AND(
 H1071&gt;=Filters!$B$3,
 H1071&lt;=Filters!$B$4,
 I1071&gt;=Filters!$B$5,
 OR(Filters!$B$6="All",B1071=Filters!$B$6),
 F1071&gt;=Filters!$B$7,
 F1071&lt;=Filters!$B$8,
 OR(Filters!$B$9="All",G1071=Filters!$B$9)
)</f>
        <v>0</v>
      </c>
      <c r="AE1071">
        <f t="shared" si="208"/>
        <v>6</v>
      </c>
      <c r="AF1071">
        <f t="shared" si="209"/>
        <v>7</v>
      </c>
      <c r="AG1071">
        <f t="shared" si="210"/>
        <v>7</v>
      </c>
      <c r="AH1071" s="9" t="str">
        <f t="shared" si="211"/>
        <v/>
      </c>
      <c r="AI1071" s="9" t="str">
        <f t="shared" si="212"/>
        <v/>
      </c>
      <c r="AJ1071" s="9" t="str">
        <f t="shared" si="213"/>
        <v/>
      </c>
      <c r="AK1071" s="9" t="str">
        <f t="shared" si="214"/>
        <v/>
      </c>
      <c r="AL1071" s="9" t="str">
        <f t="shared" si="215"/>
        <v/>
      </c>
      <c r="AM1071" s="9" t="str">
        <f t="shared" si="216"/>
        <v/>
      </c>
      <c r="AN1071" s="9" t="str">
        <f t="shared" si="217"/>
        <v/>
      </c>
      <c r="AO1071" s="9" t="str">
        <f t="shared" si="218"/>
        <v/>
      </c>
      <c r="AP1071" s="9" t="str">
        <f t="shared" si="219"/>
        <v/>
      </c>
      <c r="AQ1071" s="10" t="str">
        <f t="shared" si="220"/>
        <v/>
      </c>
    </row>
    <row r="1072" spans="1:43">
      <c r="A1072">
        <v>1071</v>
      </c>
      <c r="B1072" t="s">
        <v>23</v>
      </c>
      <c r="C1072" t="s">
        <v>1449</v>
      </c>
      <c r="D1072" t="s">
        <v>1450</v>
      </c>
      <c r="E1072" t="s">
        <v>97</v>
      </c>
      <c r="G1072" t="s">
        <v>18</v>
      </c>
      <c r="H1072" s="4">
        <v>13013460</v>
      </c>
      <c r="I1072" s="5">
        <v>0</v>
      </c>
      <c r="J1072" s="5">
        <v>500</v>
      </c>
      <c r="K1072" s="5">
        <v>4</v>
      </c>
      <c r="L1072">
        <v>4.5999999999999996</v>
      </c>
      <c r="M1072">
        <v>3.5</v>
      </c>
      <c r="N1072">
        <v>3.92</v>
      </c>
      <c r="O1072" s="6">
        <v>15.6</v>
      </c>
      <c r="P1072" s="7">
        <v>2.06</v>
      </c>
      <c r="U1072" t="s">
        <v>84</v>
      </c>
      <c r="V1072" t="s">
        <v>812</v>
      </c>
      <c r="W1072">
        <v>2.2999999999999998</v>
      </c>
      <c r="X1072" t="s">
        <v>84</v>
      </c>
      <c r="Y1072" t="s">
        <v>130</v>
      </c>
      <c r="Z1072" t="s">
        <v>113</v>
      </c>
      <c r="AA1072" t="s">
        <v>114</v>
      </c>
      <c r="AB1072" t="s">
        <v>115</v>
      </c>
      <c r="AC1072">
        <v>481.98</v>
      </c>
      <c r="AD1072" s="8" t="b">
        <f>AND(
 H1072&gt;=Filters!$B$3,
 H1072&lt;=Filters!$B$4,
 I1072&gt;=Filters!$B$5,
 OR(Filters!$B$6="All",B1072=Filters!$B$6),
 F1072&gt;=Filters!$B$7,
 F1072&lt;=Filters!$B$8,
 OR(Filters!$B$9="All",G1072=Filters!$B$9)
)</f>
        <v>0</v>
      </c>
      <c r="AE1072">
        <f t="shared" si="208"/>
        <v>6</v>
      </c>
      <c r="AF1072">
        <f t="shared" si="209"/>
        <v>7</v>
      </c>
      <c r="AG1072">
        <f t="shared" si="210"/>
        <v>7</v>
      </c>
      <c r="AH1072" s="9" t="str">
        <f t="shared" si="211"/>
        <v/>
      </c>
      <c r="AI1072" s="9" t="str">
        <f t="shared" si="212"/>
        <v/>
      </c>
      <c r="AJ1072" s="9" t="str">
        <f t="shared" si="213"/>
        <v/>
      </c>
      <c r="AK1072" s="9" t="str">
        <f t="shared" si="214"/>
        <v/>
      </c>
      <c r="AL1072" s="9" t="str">
        <f t="shared" si="215"/>
        <v/>
      </c>
      <c r="AM1072" s="9" t="str">
        <f t="shared" si="216"/>
        <v/>
      </c>
      <c r="AN1072" s="9" t="str">
        <f t="shared" si="217"/>
        <v/>
      </c>
      <c r="AO1072" s="9" t="str">
        <f t="shared" si="218"/>
        <v/>
      </c>
      <c r="AP1072" s="9" t="str">
        <f t="shared" si="219"/>
        <v/>
      </c>
      <c r="AQ1072" s="10" t="str">
        <f t="shared" si="220"/>
        <v/>
      </c>
    </row>
    <row r="1073" spans="1:43">
      <c r="A1073">
        <v>1072</v>
      </c>
      <c r="B1073" t="s">
        <v>26</v>
      </c>
      <c r="C1073" t="s">
        <v>734</v>
      </c>
      <c r="D1073" t="s">
        <v>735</v>
      </c>
      <c r="E1073" t="s">
        <v>97</v>
      </c>
      <c r="G1073" t="s">
        <v>18</v>
      </c>
      <c r="H1073" s="4">
        <v>32373000</v>
      </c>
      <c r="I1073" s="5">
        <v>0</v>
      </c>
      <c r="J1073" s="5">
        <v>500</v>
      </c>
      <c r="K1073" s="5">
        <v>4</v>
      </c>
      <c r="L1073">
        <v>6.6</v>
      </c>
      <c r="M1073">
        <v>3.5</v>
      </c>
      <c r="N1073">
        <v>3.92</v>
      </c>
      <c r="O1073" s="6">
        <v>15.6</v>
      </c>
      <c r="P1073" s="7">
        <v>2.31</v>
      </c>
      <c r="U1073" t="s">
        <v>84</v>
      </c>
      <c r="V1073" t="s">
        <v>375</v>
      </c>
      <c r="W1073">
        <v>2.2999999999999998</v>
      </c>
      <c r="X1073" t="s">
        <v>84</v>
      </c>
      <c r="Y1073" t="s">
        <v>130</v>
      </c>
      <c r="Z1073" t="s">
        <v>113</v>
      </c>
      <c r="AA1073" t="s">
        <v>114</v>
      </c>
      <c r="AB1073" t="s">
        <v>115</v>
      </c>
      <c r="AC1073">
        <v>1199</v>
      </c>
      <c r="AD1073" s="8" t="b">
        <f>AND(
 H1073&gt;=Filters!$B$3,
 H1073&lt;=Filters!$B$4,
 I1073&gt;=Filters!$B$5,
 OR(Filters!$B$6="All",B1073=Filters!$B$6),
 F1073&gt;=Filters!$B$7,
 F1073&lt;=Filters!$B$8,
 OR(Filters!$B$9="All",G1073=Filters!$B$9)
)</f>
        <v>0</v>
      </c>
      <c r="AE1073">
        <f t="shared" si="208"/>
        <v>6</v>
      </c>
      <c r="AF1073">
        <f t="shared" si="209"/>
        <v>7</v>
      </c>
      <c r="AG1073">
        <f t="shared" si="210"/>
        <v>7</v>
      </c>
      <c r="AH1073" s="9" t="str">
        <f t="shared" si="211"/>
        <v/>
      </c>
      <c r="AI1073" s="9" t="str">
        <f t="shared" si="212"/>
        <v/>
      </c>
      <c r="AJ1073" s="9" t="str">
        <f t="shared" si="213"/>
        <v/>
      </c>
      <c r="AK1073" s="9" t="str">
        <f t="shared" si="214"/>
        <v/>
      </c>
      <c r="AL1073" s="9" t="str">
        <f t="shared" si="215"/>
        <v/>
      </c>
      <c r="AM1073" s="9" t="str">
        <f t="shared" si="216"/>
        <v/>
      </c>
      <c r="AN1073" s="9" t="str">
        <f t="shared" si="217"/>
        <v/>
      </c>
      <c r="AO1073" s="9" t="str">
        <f t="shared" si="218"/>
        <v/>
      </c>
      <c r="AP1073" s="9" t="str">
        <f t="shared" si="219"/>
        <v/>
      </c>
      <c r="AQ1073" s="10" t="str">
        <f t="shared" si="220"/>
        <v/>
      </c>
    </row>
    <row r="1074" spans="1:43">
      <c r="A1074">
        <v>1073</v>
      </c>
      <c r="B1074" t="s">
        <v>26</v>
      </c>
      <c r="C1074" t="s">
        <v>1165</v>
      </c>
      <c r="D1074" t="s">
        <v>1166</v>
      </c>
      <c r="E1074" t="s">
        <v>83</v>
      </c>
      <c r="G1074" t="s">
        <v>18</v>
      </c>
      <c r="H1074" s="4">
        <v>32373000</v>
      </c>
      <c r="I1074" s="5">
        <v>256</v>
      </c>
      <c r="J1074" s="5">
        <v>0</v>
      </c>
      <c r="K1074" s="5">
        <v>8</v>
      </c>
      <c r="L1074">
        <v>6.6</v>
      </c>
      <c r="M1074">
        <v>3.5</v>
      </c>
      <c r="N1074">
        <v>5.92</v>
      </c>
      <c r="O1074" s="6">
        <v>12.5</v>
      </c>
      <c r="P1074" s="7">
        <v>1.26</v>
      </c>
      <c r="U1074" t="s">
        <v>84</v>
      </c>
      <c r="V1074" t="s">
        <v>375</v>
      </c>
      <c r="W1074">
        <v>2.2999999999999998</v>
      </c>
      <c r="X1074" t="s">
        <v>84</v>
      </c>
      <c r="Y1074" t="s">
        <v>130</v>
      </c>
      <c r="Z1074" t="s">
        <v>100</v>
      </c>
      <c r="AA1074" t="s">
        <v>101</v>
      </c>
      <c r="AB1074" t="s">
        <v>869</v>
      </c>
      <c r="AC1074">
        <v>1199</v>
      </c>
      <c r="AD1074" s="8" t="b">
        <f>AND(
 H1074&gt;=Filters!$B$3,
 H1074&lt;=Filters!$B$4,
 I1074&gt;=Filters!$B$5,
 OR(Filters!$B$6="All",B1074=Filters!$B$6),
 F1074&gt;=Filters!$B$7,
 F1074&lt;=Filters!$B$8,
 OR(Filters!$B$9="All",G1074=Filters!$B$9)
)</f>
        <v>0</v>
      </c>
      <c r="AE1074">
        <f t="shared" si="208"/>
        <v>6</v>
      </c>
      <c r="AF1074">
        <f t="shared" si="209"/>
        <v>7</v>
      </c>
      <c r="AG1074">
        <f t="shared" si="210"/>
        <v>7</v>
      </c>
      <c r="AH1074" s="9" t="str">
        <f t="shared" si="211"/>
        <v/>
      </c>
      <c r="AI1074" s="9" t="str">
        <f t="shared" si="212"/>
        <v/>
      </c>
      <c r="AJ1074" s="9" t="str">
        <f t="shared" si="213"/>
        <v/>
      </c>
      <c r="AK1074" s="9" t="str">
        <f t="shared" si="214"/>
        <v/>
      </c>
      <c r="AL1074" s="9" t="str">
        <f t="shared" si="215"/>
        <v/>
      </c>
      <c r="AM1074" s="9" t="str">
        <f t="shared" si="216"/>
        <v/>
      </c>
      <c r="AN1074" s="9" t="str">
        <f t="shared" si="217"/>
        <v/>
      </c>
      <c r="AO1074" s="9" t="str">
        <f t="shared" si="218"/>
        <v/>
      </c>
      <c r="AP1074" s="9" t="str">
        <f t="shared" si="219"/>
        <v/>
      </c>
      <c r="AQ1074" s="10" t="str">
        <f t="shared" si="220"/>
        <v/>
      </c>
    </row>
    <row r="1075" spans="1:43">
      <c r="A1075">
        <v>1074</v>
      </c>
      <c r="B1075" t="s">
        <v>26</v>
      </c>
      <c r="C1075" t="s">
        <v>237</v>
      </c>
      <c r="D1075" t="s">
        <v>238</v>
      </c>
      <c r="E1075" t="s">
        <v>97</v>
      </c>
      <c r="G1075" t="s">
        <v>18</v>
      </c>
      <c r="H1075" s="4">
        <v>29430000</v>
      </c>
      <c r="I1075" s="5">
        <v>256</v>
      </c>
      <c r="J1075" s="5">
        <v>0</v>
      </c>
      <c r="K1075" s="5">
        <v>8</v>
      </c>
      <c r="L1075">
        <v>9.4</v>
      </c>
      <c r="M1075">
        <v>3.5</v>
      </c>
      <c r="N1075">
        <v>5.96</v>
      </c>
      <c r="O1075" s="6">
        <v>13.3</v>
      </c>
      <c r="P1075" s="7">
        <v>1.49</v>
      </c>
      <c r="U1075" t="s">
        <v>84</v>
      </c>
      <c r="V1075" t="s">
        <v>140</v>
      </c>
      <c r="W1075">
        <v>2.7</v>
      </c>
      <c r="X1075" t="s">
        <v>84</v>
      </c>
      <c r="Y1075" t="s">
        <v>99</v>
      </c>
      <c r="Z1075" t="s">
        <v>100</v>
      </c>
      <c r="AA1075" t="s">
        <v>101</v>
      </c>
      <c r="AB1075" t="s">
        <v>115</v>
      </c>
      <c r="AC1075">
        <v>1090</v>
      </c>
      <c r="AD1075" s="8" t="b">
        <f>AND(
 H1075&gt;=Filters!$B$3,
 H1075&lt;=Filters!$B$4,
 I1075&gt;=Filters!$B$5,
 OR(Filters!$B$6="All",B1075=Filters!$B$6),
 F1075&gt;=Filters!$B$7,
 F1075&lt;=Filters!$B$8,
 OR(Filters!$B$9="All",G1075=Filters!$B$9)
)</f>
        <v>0</v>
      </c>
      <c r="AE1075">
        <f t="shared" si="208"/>
        <v>6</v>
      </c>
      <c r="AF1075">
        <f t="shared" si="209"/>
        <v>7</v>
      </c>
      <c r="AG1075">
        <f t="shared" si="210"/>
        <v>7</v>
      </c>
      <c r="AH1075" s="9" t="str">
        <f t="shared" si="211"/>
        <v/>
      </c>
      <c r="AI1075" s="9" t="str">
        <f t="shared" si="212"/>
        <v/>
      </c>
      <c r="AJ1075" s="9" t="str">
        <f t="shared" si="213"/>
        <v/>
      </c>
      <c r="AK1075" s="9" t="str">
        <f t="shared" si="214"/>
        <v/>
      </c>
      <c r="AL1075" s="9" t="str">
        <f t="shared" si="215"/>
        <v/>
      </c>
      <c r="AM1075" s="9" t="str">
        <f t="shared" si="216"/>
        <v/>
      </c>
      <c r="AN1075" s="9" t="str">
        <f t="shared" si="217"/>
        <v/>
      </c>
      <c r="AO1075" s="9" t="str">
        <f t="shared" si="218"/>
        <v/>
      </c>
      <c r="AP1075" s="9" t="str">
        <f t="shared" si="219"/>
        <v/>
      </c>
      <c r="AQ1075" s="10" t="str">
        <f t="shared" si="220"/>
        <v/>
      </c>
    </row>
    <row r="1076" spans="1:43">
      <c r="A1076">
        <v>1075</v>
      </c>
      <c r="B1076" t="s">
        <v>29</v>
      </c>
      <c r="C1076" t="s">
        <v>1451</v>
      </c>
      <c r="D1076" t="s">
        <v>335</v>
      </c>
      <c r="E1076" t="s">
        <v>83</v>
      </c>
      <c r="G1076" t="s">
        <v>18</v>
      </c>
      <c r="H1076" s="4">
        <v>46264230</v>
      </c>
      <c r="I1076" s="5">
        <v>256</v>
      </c>
      <c r="J1076" s="5">
        <v>0</v>
      </c>
      <c r="K1076" s="5">
        <v>8</v>
      </c>
      <c r="L1076">
        <v>9</v>
      </c>
      <c r="M1076">
        <v>3.5</v>
      </c>
      <c r="N1076">
        <v>6.62</v>
      </c>
      <c r="O1076" s="6">
        <v>12.5</v>
      </c>
      <c r="P1076" s="7">
        <v>1.3</v>
      </c>
      <c r="U1076" t="s">
        <v>84</v>
      </c>
      <c r="V1076" t="s">
        <v>485</v>
      </c>
      <c r="W1076">
        <v>2.5</v>
      </c>
      <c r="X1076" t="s">
        <v>84</v>
      </c>
      <c r="Y1076" t="s">
        <v>130</v>
      </c>
      <c r="Z1076" t="s">
        <v>100</v>
      </c>
      <c r="AA1076" t="s">
        <v>149</v>
      </c>
      <c r="AB1076" t="s">
        <v>115</v>
      </c>
      <c r="AC1076">
        <v>1713.49</v>
      </c>
      <c r="AD1076" s="8" t="b">
        <f>AND(
 H1076&gt;=Filters!$B$3,
 H1076&lt;=Filters!$B$4,
 I1076&gt;=Filters!$B$5,
 OR(Filters!$B$6="All",B1076=Filters!$B$6),
 F1076&gt;=Filters!$B$7,
 F1076&lt;=Filters!$B$8,
 OR(Filters!$B$9="All",G1076=Filters!$B$9)
)</f>
        <v>0</v>
      </c>
      <c r="AE1076">
        <f t="shared" si="208"/>
        <v>6</v>
      </c>
      <c r="AF1076">
        <f t="shared" si="209"/>
        <v>7</v>
      </c>
      <c r="AG1076">
        <f t="shared" si="210"/>
        <v>7</v>
      </c>
      <c r="AH1076" s="9" t="str">
        <f t="shared" si="211"/>
        <v/>
      </c>
      <c r="AI1076" s="9" t="str">
        <f t="shared" si="212"/>
        <v/>
      </c>
      <c r="AJ1076" s="9" t="str">
        <f t="shared" si="213"/>
        <v/>
      </c>
      <c r="AK1076" s="9" t="str">
        <f t="shared" si="214"/>
        <v/>
      </c>
      <c r="AL1076" s="9" t="str">
        <f t="shared" si="215"/>
        <v/>
      </c>
      <c r="AM1076" s="9" t="str">
        <f t="shared" si="216"/>
        <v/>
      </c>
      <c r="AN1076" s="9" t="str">
        <f t="shared" si="217"/>
        <v/>
      </c>
      <c r="AO1076" s="9" t="str">
        <f t="shared" si="218"/>
        <v/>
      </c>
      <c r="AP1076" s="9" t="str">
        <f t="shared" si="219"/>
        <v/>
      </c>
      <c r="AQ1076" s="10" t="str">
        <f t="shared" si="220"/>
        <v/>
      </c>
    </row>
    <row r="1077" spans="1:43">
      <c r="A1077">
        <v>1076</v>
      </c>
      <c r="B1077" t="s">
        <v>29</v>
      </c>
      <c r="C1077" t="s">
        <v>1452</v>
      </c>
      <c r="D1077" t="s">
        <v>1453</v>
      </c>
      <c r="E1077" t="s">
        <v>97</v>
      </c>
      <c r="G1077" t="s">
        <v>18</v>
      </c>
      <c r="H1077" s="4">
        <v>17793000</v>
      </c>
      <c r="I1077" s="5">
        <v>0</v>
      </c>
      <c r="J1077" s="5">
        <v>1024</v>
      </c>
      <c r="K1077" s="5">
        <v>8</v>
      </c>
      <c r="L1077">
        <v>6.6</v>
      </c>
      <c r="M1077">
        <v>6.5</v>
      </c>
      <c r="N1077">
        <v>5.83</v>
      </c>
      <c r="O1077" s="6">
        <v>17.3</v>
      </c>
      <c r="P1077" s="7">
        <v>3</v>
      </c>
      <c r="U1077" t="s">
        <v>84</v>
      </c>
      <c r="V1077" t="s">
        <v>375</v>
      </c>
      <c r="W1077">
        <v>2.2999999999999998</v>
      </c>
      <c r="X1077" t="s">
        <v>104</v>
      </c>
      <c r="Y1077" t="s">
        <v>1454</v>
      </c>
      <c r="Z1077" t="s">
        <v>1455</v>
      </c>
      <c r="AA1077" t="s">
        <v>452</v>
      </c>
      <c r="AB1077" t="s">
        <v>115</v>
      </c>
      <c r="AC1077">
        <v>659</v>
      </c>
      <c r="AD1077" s="8" t="b">
        <f>AND(
 H1077&gt;=Filters!$B$3,
 H1077&lt;=Filters!$B$4,
 I1077&gt;=Filters!$B$5,
 OR(Filters!$B$6="All",B1077=Filters!$B$6),
 F1077&gt;=Filters!$B$7,
 F1077&lt;=Filters!$B$8,
 OR(Filters!$B$9="All",G1077=Filters!$B$9)
)</f>
        <v>0</v>
      </c>
      <c r="AE1077">
        <f t="shared" si="208"/>
        <v>6</v>
      </c>
      <c r="AF1077">
        <f t="shared" si="209"/>
        <v>7</v>
      </c>
      <c r="AG1077">
        <f t="shared" si="210"/>
        <v>7</v>
      </c>
      <c r="AH1077" s="9" t="str">
        <f t="shared" si="211"/>
        <v/>
      </c>
      <c r="AI1077" s="9" t="str">
        <f t="shared" si="212"/>
        <v/>
      </c>
      <c r="AJ1077" s="9" t="str">
        <f t="shared" si="213"/>
        <v/>
      </c>
      <c r="AK1077" s="9" t="str">
        <f t="shared" si="214"/>
        <v/>
      </c>
      <c r="AL1077" s="9" t="str">
        <f t="shared" si="215"/>
        <v/>
      </c>
      <c r="AM1077" s="9" t="str">
        <f t="shared" si="216"/>
        <v/>
      </c>
      <c r="AN1077" s="9" t="str">
        <f t="shared" si="217"/>
        <v/>
      </c>
      <c r="AO1077" s="9" t="str">
        <f t="shared" si="218"/>
        <v/>
      </c>
      <c r="AP1077" s="9" t="str">
        <f t="shared" si="219"/>
        <v/>
      </c>
      <c r="AQ1077" s="10" t="str">
        <f t="shared" si="220"/>
        <v/>
      </c>
    </row>
    <row r="1078" spans="1:43">
      <c r="A1078">
        <v>1077</v>
      </c>
      <c r="B1078" t="s">
        <v>29</v>
      </c>
      <c r="C1078" t="s">
        <v>1456</v>
      </c>
      <c r="D1078" t="s">
        <v>1457</v>
      </c>
      <c r="E1078" t="s">
        <v>97</v>
      </c>
      <c r="G1078" t="s">
        <v>18</v>
      </c>
      <c r="H1078" s="4">
        <v>26379000</v>
      </c>
      <c r="I1078" s="5">
        <v>0</v>
      </c>
      <c r="J1078" s="5">
        <v>1024</v>
      </c>
      <c r="K1078" s="5">
        <v>4</v>
      </c>
      <c r="L1078">
        <v>6.6</v>
      </c>
      <c r="M1078">
        <v>9.1999999999999993</v>
      </c>
      <c r="N1078">
        <v>6.32</v>
      </c>
      <c r="O1078" s="6">
        <v>15.6</v>
      </c>
      <c r="P1078" s="7">
        <v>2.2999999999999998</v>
      </c>
      <c r="U1078" t="s">
        <v>84</v>
      </c>
      <c r="V1078" t="s">
        <v>1094</v>
      </c>
      <c r="W1078">
        <v>2.2999999999999998</v>
      </c>
      <c r="X1078" t="s">
        <v>122</v>
      </c>
      <c r="Y1078" t="s">
        <v>492</v>
      </c>
      <c r="Z1078" t="s">
        <v>146</v>
      </c>
      <c r="AA1078" t="s">
        <v>128</v>
      </c>
      <c r="AB1078" t="s">
        <v>115</v>
      </c>
      <c r="AC1078">
        <v>977</v>
      </c>
      <c r="AD1078" s="8" t="b">
        <f>AND(
 H1078&gt;=Filters!$B$3,
 H1078&lt;=Filters!$B$4,
 I1078&gt;=Filters!$B$5,
 OR(Filters!$B$6="All",B1078=Filters!$B$6),
 F1078&gt;=Filters!$B$7,
 F1078&lt;=Filters!$B$8,
 OR(Filters!$B$9="All",G1078=Filters!$B$9)
)</f>
        <v>0</v>
      </c>
      <c r="AE1078">
        <f t="shared" si="208"/>
        <v>6</v>
      </c>
      <c r="AF1078">
        <f t="shared" si="209"/>
        <v>7</v>
      </c>
      <c r="AG1078">
        <f t="shared" si="210"/>
        <v>7</v>
      </c>
      <c r="AH1078" s="9" t="str">
        <f t="shared" si="211"/>
        <v/>
      </c>
      <c r="AI1078" s="9" t="str">
        <f t="shared" si="212"/>
        <v/>
      </c>
      <c r="AJ1078" s="9" t="str">
        <f t="shared" si="213"/>
        <v/>
      </c>
      <c r="AK1078" s="9" t="str">
        <f t="shared" si="214"/>
        <v/>
      </c>
      <c r="AL1078" s="9" t="str">
        <f t="shared" si="215"/>
        <v/>
      </c>
      <c r="AM1078" s="9" t="str">
        <f t="shared" si="216"/>
        <v/>
      </c>
      <c r="AN1078" s="9" t="str">
        <f t="shared" si="217"/>
        <v/>
      </c>
      <c r="AO1078" s="9" t="str">
        <f t="shared" si="218"/>
        <v/>
      </c>
      <c r="AP1078" s="9" t="str">
        <f t="shared" si="219"/>
        <v/>
      </c>
      <c r="AQ1078" s="10" t="str">
        <f t="shared" si="220"/>
        <v/>
      </c>
    </row>
    <row r="1079" spans="1:43">
      <c r="A1079">
        <v>1078</v>
      </c>
      <c r="B1079" t="s">
        <v>30</v>
      </c>
      <c r="C1079" t="s">
        <v>1458</v>
      </c>
      <c r="D1079" t="s">
        <v>1459</v>
      </c>
      <c r="E1079" t="s">
        <v>158</v>
      </c>
      <c r="G1079" t="s">
        <v>18</v>
      </c>
      <c r="H1079" s="4">
        <v>67473000</v>
      </c>
      <c r="I1079" s="5">
        <v>256</v>
      </c>
      <c r="J1079" s="5">
        <v>1024</v>
      </c>
      <c r="K1079" s="5">
        <v>16</v>
      </c>
      <c r="L1079">
        <v>9.6</v>
      </c>
      <c r="M1079">
        <v>9.1999999999999993</v>
      </c>
      <c r="N1079">
        <v>5.83</v>
      </c>
      <c r="O1079" s="6">
        <v>17.3</v>
      </c>
      <c r="P1079" s="7">
        <v>3.78</v>
      </c>
      <c r="U1079" t="s">
        <v>84</v>
      </c>
      <c r="V1079" t="s">
        <v>210</v>
      </c>
      <c r="W1079">
        <v>2.8</v>
      </c>
      <c r="X1079" t="s">
        <v>122</v>
      </c>
      <c r="Y1079" t="s">
        <v>248</v>
      </c>
      <c r="Z1079" t="s">
        <v>212</v>
      </c>
      <c r="AA1079" t="s">
        <v>101</v>
      </c>
      <c r="AB1079" t="s">
        <v>115</v>
      </c>
      <c r="AC1079">
        <v>2499</v>
      </c>
      <c r="AD1079" s="8" t="b">
        <f>AND(
 H1079&gt;=Filters!$B$3,
 H1079&lt;=Filters!$B$4,
 I1079&gt;=Filters!$B$5,
 OR(Filters!$B$6="All",B1079=Filters!$B$6),
 F1079&gt;=Filters!$B$7,
 F1079&lt;=Filters!$B$8,
 OR(Filters!$B$9="All",G1079=Filters!$B$9)
)</f>
        <v>0</v>
      </c>
      <c r="AE1079">
        <f t="shared" si="208"/>
        <v>6</v>
      </c>
      <c r="AF1079">
        <f t="shared" si="209"/>
        <v>7</v>
      </c>
      <c r="AG1079">
        <f t="shared" si="210"/>
        <v>7</v>
      </c>
      <c r="AH1079" s="9" t="str">
        <f t="shared" si="211"/>
        <v/>
      </c>
      <c r="AI1079" s="9" t="str">
        <f t="shared" si="212"/>
        <v/>
      </c>
      <c r="AJ1079" s="9" t="str">
        <f t="shared" si="213"/>
        <v/>
      </c>
      <c r="AK1079" s="9" t="str">
        <f t="shared" si="214"/>
        <v/>
      </c>
      <c r="AL1079" s="9" t="str">
        <f t="shared" si="215"/>
        <v/>
      </c>
      <c r="AM1079" s="9" t="str">
        <f t="shared" si="216"/>
        <v/>
      </c>
      <c r="AN1079" s="9" t="str">
        <f t="shared" si="217"/>
        <v/>
      </c>
      <c r="AO1079" s="9" t="str">
        <f t="shared" si="218"/>
        <v/>
      </c>
      <c r="AP1079" s="9" t="str">
        <f t="shared" si="219"/>
        <v/>
      </c>
      <c r="AQ1079" s="10" t="str">
        <f t="shared" si="220"/>
        <v/>
      </c>
    </row>
    <row r="1080" spans="1:43">
      <c r="A1080">
        <v>1079</v>
      </c>
      <c r="B1080" t="s">
        <v>29</v>
      </c>
      <c r="C1080" t="s">
        <v>1460</v>
      </c>
      <c r="D1080" t="s">
        <v>1461</v>
      </c>
      <c r="E1080" t="s">
        <v>97</v>
      </c>
      <c r="G1080" t="s">
        <v>18</v>
      </c>
      <c r="H1080" s="4">
        <v>14580000</v>
      </c>
      <c r="I1080" s="5">
        <v>0</v>
      </c>
      <c r="J1080" s="5">
        <v>500</v>
      </c>
      <c r="K1080" s="5">
        <v>4</v>
      </c>
      <c r="L1080">
        <v>6.6</v>
      </c>
      <c r="M1080">
        <v>3.5</v>
      </c>
      <c r="N1080">
        <v>3.92</v>
      </c>
      <c r="O1080" s="6">
        <v>15.6</v>
      </c>
      <c r="P1080" s="7">
        <v>2.1</v>
      </c>
      <c r="U1080" t="s">
        <v>84</v>
      </c>
      <c r="V1080" t="s">
        <v>375</v>
      </c>
      <c r="W1080">
        <v>2.2999999999999998</v>
      </c>
      <c r="X1080" t="s">
        <v>84</v>
      </c>
      <c r="Y1080" t="s">
        <v>130</v>
      </c>
      <c r="Z1080" t="s">
        <v>113</v>
      </c>
      <c r="AA1080" t="s">
        <v>114</v>
      </c>
      <c r="AB1080" t="s">
        <v>115</v>
      </c>
      <c r="AC1080">
        <v>540</v>
      </c>
      <c r="AD1080" s="8" t="b">
        <f>AND(
 H1080&gt;=Filters!$B$3,
 H1080&lt;=Filters!$B$4,
 I1080&gt;=Filters!$B$5,
 OR(Filters!$B$6="All",B1080=Filters!$B$6),
 F1080&gt;=Filters!$B$7,
 F1080&lt;=Filters!$B$8,
 OR(Filters!$B$9="All",G1080=Filters!$B$9)
)</f>
        <v>0</v>
      </c>
      <c r="AE1080">
        <f t="shared" si="208"/>
        <v>6</v>
      </c>
      <c r="AF1080">
        <f t="shared" si="209"/>
        <v>7</v>
      </c>
      <c r="AG1080">
        <f t="shared" si="210"/>
        <v>7</v>
      </c>
      <c r="AH1080" s="9" t="str">
        <f t="shared" si="211"/>
        <v/>
      </c>
      <c r="AI1080" s="9" t="str">
        <f t="shared" si="212"/>
        <v/>
      </c>
      <c r="AJ1080" s="9" t="str">
        <f t="shared" si="213"/>
        <v/>
      </c>
      <c r="AK1080" s="9" t="str">
        <f t="shared" si="214"/>
        <v/>
      </c>
      <c r="AL1080" s="9" t="str">
        <f t="shared" si="215"/>
        <v/>
      </c>
      <c r="AM1080" s="9" t="str">
        <f t="shared" si="216"/>
        <v/>
      </c>
      <c r="AN1080" s="9" t="str">
        <f t="shared" si="217"/>
        <v/>
      </c>
      <c r="AO1080" s="9" t="str">
        <f t="shared" si="218"/>
        <v/>
      </c>
      <c r="AP1080" s="9" t="str">
        <f t="shared" si="219"/>
        <v/>
      </c>
      <c r="AQ1080" s="10" t="str">
        <f t="shared" si="220"/>
        <v/>
      </c>
    </row>
    <row r="1081" spans="1:43">
      <c r="A1081">
        <v>1080</v>
      </c>
      <c r="B1081" t="s">
        <v>26</v>
      </c>
      <c r="C1081" t="s">
        <v>1313</v>
      </c>
      <c r="D1081" t="s">
        <v>1314</v>
      </c>
      <c r="E1081" t="s">
        <v>97</v>
      </c>
      <c r="G1081" t="s">
        <v>18</v>
      </c>
      <c r="H1081" s="4">
        <v>25380000</v>
      </c>
      <c r="I1081" s="5">
        <v>0</v>
      </c>
      <c r="J1081" s="5">
        <v>500</v>
      </c>
      <c r="K1081" s="5">
        <v>4</v>
      </c>
      <c r="L1081">
        <v>6.6</v>
      </c>
      <c r="M1081">
        <v>3.5</v>
      </c>
      <c r="N1081">
        <v>5.92</v>
      </c>
      <c r="O1081" s="6">
        <v>15.6</v>
      </c>
      <c r="P1081" s="7">
        <v>2.31</v>
      </c>
      <c r="U1081" t="s">
        <v>84</v>
      </c>
      <c r="V1081" t="s">
        <v>375</v>
      </c>
      <c r="W1081">
        <v>2.2999999999999998</v>
      </c>
      <c r="X1081" t="s">
        <v>84</v>
      </c>
      <c r="Y1081" t="s">
        <v>130</v>
      </c>
      <c r="Z1081" t="s">
        <v>113</v>
      </c>
      <c r="AA1081" t="s">
        <v>101</v>
      </c>
      <c r="AB1081" t="s">
        <v>869</v>
      </c>
      <c r="AC1081">
        <v>940</v>
      </c>
      <c r="AD1081" s="8" t="b">
        <f>AND(
 H1081&gt;=Filters!$B$3,
 H1081&lt;=Filters!$B$4,
 I1081&gt;=Filters!$B$5,
 OR(Filters!$B$6="All",B1081=Filters!$B$6),
 F1081&gt;=Filters!$B$7,
 F1081&lt;=Filters!$B$8,
 OR(Filters!$B$9="All",G1081=Filters!$B$9)
)</f>
        <v>0</v>
      </c>
      <c r="AE1081">
        <f t="shared" si="208"/>
        <v>6</v>
      </c>
      <c r="AF1081">
        <f t="shared" si="209"/>
        <v>7</v>
      </c>
      <c r="AG1081">
        <f t="shared" si="210"/>
        <v>7</v>
      </c>
      <c r="AH1081" s="9" t="str">
        <f t="shared" si="211"/>
        <v/>
      </c>
      <c r="AI1081" s="9" t="str">
        <f t="shared" si="212"/>
        <v/>
      </c>
      <c r="AJ1081" s="9" t="str">
        <f t="shared" si="213"/>
        <v/>
      </c>
      <c r="AK1081" s="9" t="str">
        <f t="shared" si="214"/>
        <v/>
      </c>
      <c r="AL1081" s="9" t="str">
        <f t="shared" si="215"/>
        <v/>
      </c>
      <c r="AM1081" s="9" t="str">
        <f t="shared" si="216"/>
        <v/>
      </c>
      <c r="AN1081" s="9" t="str">
        <f t="shared" si="217"/>
        <v/>
      </c>
      <c r="AO1081" s="9" t="str">
        <f t="shared" si="218"/>
        <v/>
      </c>
      <c r="AP1081" s="9" t="str">
        <f t="shared" si="219"/>
        <v/>
      </c>
      <c r="AQ1081" s="10" t="str">
        <f t="shared" si="220"/>
        <v/>
      </c>
    </row>
    <row r="1082" spans="1:43">
      <c r="A1082">
        <v>1081</v>
      </c>
      <c r="B1082" t="s">
        <v>29</v>
      </c>
      <c r="C1082" t="s">
        <v>1462</v>
      </c>
      <c r="D1082" t="s">
        <v>1463</v>
      </c>
      <c r="E1082" t="s">
        <v>83</v>
      </c>
      <c r="G1082" t="s">
        <v>18</v>
      </c>
      <c r="H1082" s="4">
        <v>37773000</v>
      </c>
      <c r="I1082" s="5">
        <v>512</v>
      </c>
      <c r="J1082" s="5">
        <v>0</v>
      </c>
      <c r="K1082" s="5">
        <v>8</v>
      </c>
      <c r="L1082">
        <v>3.4</v>
      </c>
      <c r="M1082">
        <v>3.5</v>
      </c>
      <c r="N1082">
        <v>7.62</v>
      </c>
      <c r="O1082" s="6">
        <v>12.5</v>
      </c>
      <c r="P1082" s="7">
        <v>0.99</v>
      </c>
      <c r="U1082" t="s">
        <v>84</v>
      </c>
      <c r="V1082" t="s">
        <v>380</v>
      </c>
      <c r="W1082">
        <v>1.2</v>
      </c>
      <c r="X1082" t="s">
        <v>84</v>
      </c>
      <c r="Y1082" t="s">
        <v>381</v>
      </c>
      <c r="Z1082" t="s">
        <v>106</v>
      </c>
      <c r="AA1082" t="s">
        <v>1199</v>
      </c>
      <c r="AB1082" t="s">
        <v>115</v>
      </c>
      <c r="AC1082">
        <v>1399</v>
      </c>
      <c r="AD1082" s="8" t="b">
        <f>AND(
 H1082&gt;=Filters!$B$3,
 H1082&lt;=Filters!$B$4,
 I1082&gt;=Filters!$B$5,
 OR(Filters!$B$6="All",B1082=Filters!$B$6),
 F1082&gt;=Filters!$B$7,
 F1082&lt;=Filters!$B$8,
 OR(Filters!$B$9="All",G1082=Filters!$B$9)
)</f>
        <v>0</v>
      </c>
      <c r="AE1082">
        <f t="shared" si="208"/>
        <v>6</v>
      </c>
      <c r="AF1082">
        <f t="shared" si="209"/>
        <v>7</v>
      </c>
      <c r="AG1082">
        <f t="shared" si="210"/>
        <v>7</v>
      </c>
      <c r="AH1082" s="9" t="str">
        <f t="shared" si="211"/>
        <v/>
      </c>
      <c r="AI1082" s="9" t="str">
        <f t="shared" si="212"/>
        <v/>
      </c>
      <c r="AJ1082" s="9" t="str">
        <f t="shared" si="213"/>
        <v/>
      </c>
      <c r="AK1082" s="9" t="str">
        <f t="shared" si="214"/>
        <v/>
      </c>
      <c r="AL1082" s="9" t="str">
        <f t="shared" si="215"/>
        <v/>
      </c>
      <c r="AM1082" s="9" t="str">
        <f t="shared" si="216"/>
        <v/>
      </c>
      <c r="AN1082" s="9" t="str">
        <f t="shared" si="217"/>
        <v/>
      </c>
      <c r="AO1082" s="9" t="str">
        <f t="shared" si="218"/>
        <v/>
      </c>
      <c r="AP1082" s="9" t="str">
        <f t="shared" si="219"/>
        <v/>
      </c>
      <c r="AQ1082" s="10" t="str">
        <f t="shared" si="220"/>
        <v/>
      </c>
    </row>
    <row r="1083" spans="1:43">
      <c r="A1083">
        <v>1082</v>
      </c>
      <c r="B1083" t="s">
        <v>29</v>
      </c>
      <c r="C1083" t="s">
        <v>1424</v>
      </c>
      <c r="D1083" t="s">
        <v>1425</v>
      </c>
      <c r="E1083" t="s">
        <v>158</v>
      </c>
      <c r="G1083" t="s">
        <v>18</v>
      </c>
      <c r="H1083" s="4">
        <v>87480000</v>
      </c>
      <c r="I1083" s="5">
        <v>512</v>
      </c>
      <c r="J1083" s="5">
        <v>0</v>
      </c>
      <c r="K1083" s="5">
        <v>32</v>
      </c>
      <c r="L1083">
        <v>9.4</v>
      </c>
      <c r="M1083">
        <v>9.1999999999999993</v>
      </c>
      <c r="N1083">
        <v>6.24</v>
      </c>
      <c r="O1083" s="6">
        <v>17.3</v>
      </c>
      <c r="P1083" s="7">
        <v>4.5999999999999996</v>
      </c>
      <c r="U1083" t="s">
        <v>84</v>
      </c>
      <c r="V1083" t="s">
        <v>932</v>
      </c>
      <c r="W1083">
        <v>2.7</v>
      </c>
      <c r="X1083" t="s">
        <v>122</v>
      </c>
      <c r="Y1083" t="s">
        <v>526</v>
      </c>
      <c r="Z1083" t="s">
        <v>1464</v>
      </c>
      <c r="AA1083" t="s">
        <v>128</v>
      </c>
      <c r="AB1083" t="s">
        <v>115</v>
      </c>
      <c r="AC1083">
        <v>3240</v>
      </c>
      <c r="AD1083" s="8" t="b">
        <f>AND(
 H1083&gt;=Filters!$B$3,
 H1083&lt;=Filters!$B$4,
 I1083&gt;=Filters!$B$5,
 OR(Filters!$B$6="All",B1083=Filters!$B$6),
 F1083&gt;=Filters!$B$7,
 F1083&lt;=Filters!$B$8,
 OR(Filters!$B$9="All",G1083=Filters!$B$9)
)</f>
        <v>0</v>
      </c>
      <c r="AE1083">
        <f t="shared" si="208"/>
        <v>6</v>
      </c>
      <c r="AF1083">
        <f t="shared" si="209"/>
        <v>7</v>
      </c>
      <c r="AG1083">
        <f t="shared" si="210"/>
        <v>7</v>
      </c>
      <c r="AH1083" s="9" t="str">
        <f t="shared" si="211"/>
        <v/>
      </c>
      <c r="AI1083" s="9" t="str">
        <f t="shared" si="212"/>
        <v/>
      </c>
      <c r="AJ1083" s="9" t="str">
        <f t="shared" si="213"/>
        <v/>
      </c>
      <c r="AK1083" s="9" t="str">
        <f t="shared" si="214"/>
        <v/>
      </c>
      <c r="AL1083" s="9" t="str">
        <f t="shared" si="215"/>
        <v/>
      </c>
      <c r="AM1083" s="9" t="str">
        <f t="shared" si="216"/>
        <v/>
      </c>
      <c r="AN1083" s="9" t="str">
        <f t="shared" si="217"/>
        <v/>
      </c>
      <c r="AO1083" s="9" t="str">
        <f t="shared" si="218"/>
        <v/>
      </c>
      <c r="AP1083" s="9" t="str">
        <f t="shared" si="219"/>
        <v/>
      </c>
      <c r="AQ1083" s="10" t="str">
        <f t="shared" si="220"/>
        <v/>
      </c>
    </row>
    <row r="1084" spans="1:43">
      <c r="A1084">
        <v>1083</v>
      </c>
      <c r="B1084" t="s">
        <v>29</v>
      </c>
      <c r="C1084" t="s">
        <v>231</v>
      </c>
      <c r="D1084" t="s">
        <v>232</v>
      </c>
      <c r="E1084" t="s">
        <v>168</v>
      </c>
      <c r="G1084" t="s">
        <v>18</v>
      </c>
      <c r="H1084" s="4">
        <v>17449290</v>
      </c>
      <c r="I1084" s="5">
        <v>64</v>
      </c>
      <c r="J1084" s="5">
        <v>0</v>
      </c>
      <c r="K1084" s="5">
        <v>4</v>
      </c>
      <c r="L1084">
        <v>1</v>
      </c>
      <c r="M1084">
        <v>3.5</v>
      </c>
      <c r="N1084">
        <v>7.5</v>
      </c>
      <c r="O1084" s="6">
        <v>10.1</v>
      </c>
      <c r="P1084" s="7">
        <v>0.69</v>
      </c>
      <c r="U1084" t="s">
        <v>84</v>
      </c>
      <c r="V1084" t="s">
        <v>233</v>
      </c>
      <c r="W1084">
        <v>1.44</v>
      </c>
      <c r="X1084" t="s">
        <v>84</v>
      </c>
      <c r="Y1084" t="s">
        <v>154</v>
      </c>
      <c r="Z1084" t="s">
        <v>188</v>
      </c>
      <c r="AA1084" t="s">
        <v>234</v>
      </c>
      <c r="AB1084" t="s">
        <v>115</v>
      </c>
      <c r="AC1084">
        <v>646.27</v>
      </c>
      <c r="AD1084" s="8" t="b">
        <f>AND(
 H1084&gt;=Filters!$B$3,
 H1084&lt;=Filters!$B$4,
 I1084&gt;=Filters!$B$5,
 OR(Filters!$B$6="All",B1084=Filters!$B$6),
 F1084&gt;=Filters!$B$7,
 F1084&lt;=Filters!$B$8,
 OR(Filters!$B$9="All",G1084=Filters!$B$9)
)</f>
        <v>0</v>
      </c>
      <c r="AE1084">
        <f t="shared" si="208"/>
        <v>6</v>
      </c>
      <c r="AF1084">
        <f t="shared" si="209"/>
        <v>7</v>
      </c>
      <c r="AG1084">
        <f t="shared" si="210"/>
        <v>7</v>
      </c>
      <c r="AH1084" s="9" t="str">
        <f t="shared" si="211"/>
        <v/>
      </c>
      <c r="AI1084" s="9" t="str">
        <f t="shared" si="212"/>
        <v/>
      </c>
      <c r="AJ1084" s="9" t="str">
        <f t="shared" si="213"/>
        <v/>
      </c>
      <c r="AK1084" s="9" t="str">
        <f t="shared" si="214"/>
        <v/>
      </c>
      <c r="AL1084" s="9" t="str">
        <f t="shared" si="215"/>
        <v/>
      </c>
      <c r="AM1084" s="9" t="str">
        <f t="shared" si="216"/>
        <v/>
      </c>
      <c r="AN1084" s="9" t="str">
        <f t="shared" si="217"/>
        <v/>
      </c>
      <c r="AO1084" s="9" t="str">
        <f t="shared" si="218"/>
        <v/>
      </c>
      <c r="AP1084" s="9" t="str">
        <f t="shared" si="219"/>
        <v/>
      </c>
      <c r="AQ1084" s="10" t="str">
        <f t="shared" si="220"/>
        <v/>
      </c>
    </row>
    <row r="1085" spans="1:43">
      <c r="A1085">
        <v>1084</v>
      </c>
      <c r="B1085" t="s">
        <v>26</v>
      </c>
      <c r="C1085" t="s">
        <v>1465</v>
      </c>
      <c r="D1085" t="s">
        <v>340</v>
      </c>
      <c r="E1085" t="s">
        <v>83</v>
      </c>
      <c r="G1085" t="s">
        <v>18</v>
      </c>
      <c r="H1085" s="4">
        <v>55323000</v>
      </c>
      <c r="I1085" s="5">
        <v>512</v>
      </c>
      <c r="J1085" s="5">
        <v>0</v>
      </c>
      <c r="K1085" s="5">
        <v>16</v>
      </c>
      <c r="L1085">
        <v>9.4</v>
      </c>
      <c r="M1085">
        <v>3.5</v>
      </c>
      <c r="N1085">
        <v>9.8699999999999992</v>
      </c>
      <c r="O1085" s="6">
        <v>13.3</v>
      </c>
      <c r="P1085" s="7">
        <v>1.3</v>
      </c>
      <c r="U1085" t="s">
        <v>84</v>
      </c>
      <c r="V1085" t="s">
        <v>140</v>
      </c>
      <c r="W1085">
        <v>2.7</v>
      </c>
      <c r="X1085" t="s">
        <v>84</v>
      </c>
      <c r="Y1085" t="s">
        <v>99</v>
      </c>
      <c r="Z1085" t="s">
        <v>106</v>
      </c>
      <c r="AA1085" t="s">
        <v>459</v>
      </c>
      <c r="AB1085" t="s">
        <v>115</v>
      </c>
      <c r="AC1085">
        <v>2049</v>
      </c>
      <c r="AD1085" s="8" t="b">
        <f>AND(
 H1085&gt;=Filters!$B$3,
 H1085&lt;=Filters!$B$4,
 I1085&gt;=Filters!$B$5,
 OR(Filters!$B$6="All",B1085=Filters!$B$6),
 F1085&gt;=Filters!$B$7,
 F1085&lt;=Filters!$B$8,
 OR(Filters!$B$9="All",G1085=Filters!$B$9)
)</f>
        <v>0</v>
      </c>
      <c r="AE1085">
        <f t="shared" si="208"/>
        <v>6</v>
      </c>
      <c r="AF1085">
        <f t="shared" si="209"/>
        <v>7</v>
      </c>
      <c r="AG1085">
        <f t="shared" si="210"/>
        <v>7</v>
      </c>
      <c r="AH1085" s="9" t="str">
        <f t="shared" si="211"/>
        <v/>
      </c>
      <c r="AI1085" s="9" t="str">
        <f t="shared" si="212"/>
        <v/>
      </c>
      <c r="AJ1085" s="9" t="str">
        <f t="shared" si="213"/>
        <v/>
      </c>
      <c r="AK1085" s="9" t="str">
        <f t="shared" si="214"/>
        <v/>
      </c>
      <c r="AL1085" s="9" t="str">
        <f t="shared" si="215"/>
        <v/>
      </c>
      <c r="AM1085" s="9" t="str">
        <f t="shared" si="216"/>
        <v/>
      </c>
      <c r="AN1085" s="9" t="str">
        <f t="shared" si="217"/>
        <v/>
      </c>
      <c r="AO1085" s="9" t="str">
        <f t="shared" si="218"/>
        <v/>
      </c>
      <c r="AP1085" s="9" t="str">
        <f t="shared" si="219"/>
        <v/>
      </c>
      <c r="AQ1085" s="10" t="str">
        <f t="shared" si="220"/>
        <v/>
      </c>
    </row>
    <row r="1086" spans="1:43">
      <c r="A1086">
        <v>1085</v>
      </c>
      <c r="B1086" t="s">
        <v>23</v>
      </c>
      <c r="C1086" t="s">
        <v>540</v>
      </c>
      <c r="D1086" t="s">
        <v>541</v>
      </c>
      <c r="E1086" t="s">
        <v>97</v>
      </c>
      <c r="G1086" t="s">
        <v>18</v>
      </c>
      <c r="H1086" s="4">
        <v>20250000</v>
      </c>
      <c r="I1086" s="5">
        <v>256</v>
      </c>
      <c r="J1086" s="5">
        <v>0</v>
      </c>
      <c r="K1086" s="5">
        <v>8</v>
      </c>
      <c r="L1086">
        <v>7</v>
      </c>
      <c r="M1086">
        <v>3.5</v>
      </c>
      <c r="N1086">
        <v>5.92</v>
      </c>
      <c r="O1086" s="6">
        <v>15.6</v>
      </c>
      <c r="P1086" s="7">
        <v>2.1800000000000002</v>
      </c>
      <c r="U1086" t="s">
        <v>84</v>
      </c>
      <c r="V1086" t="s">
        <v>98</v>
      </c>
      <c r="W1086">
        <v>2.5</v>
      </c>
      <c r="X1086" t="s">
        <v>84</v>
      </c>
      <c r="Y1086" t="s">
        <v>99</v>
      </c>
      <c r="Z1086" t="s">
        <v>100</v>
      </c>
      <c r="AA1086" t="s">
        <v>101</v>
      </c>
      <c r="AB1086" t="s">
        <v>115</v>
      </c>
      <c r="AC1086">
        <v>750</v>
      </c>
      <c r="AD1086" s="8" t="b">
        <f>AND(
 H1086&gt;=Filters!$B$3,
 H1086&lt;=Filters!$B$4,
 I1086&gt;=Filters!$B$5,
 OR(Filters!$B$6="All",B1086=Filters!$B$6),
 F1086&gt;=Filters!$B$7,
 F1086&lt;=Filters!$B$8,
 OR(Filters!$B$9="All",G1086=Filters!$B$9)
)</f>
        <v>1</v>
      </c>
      <c r="AE1086">
        <f t="shared" si="208"/>
        <v>6</v>
      </c>
      <c r="AF1086">
        <f t="shared" si="209"/>
        <v>7</v>
      </c>
      <c r="AG1086">
        <f t="shared" si="210"/>
        <v>7</v>
      </c>
      <c r="AH1086" s="9">
        <f t="shared" si="211"/>
        <v>0.69047619047619047</v>
      </c>
      <c r="AI1086" s="9">
        <f t="shared" si="212"/>
        <v>0.80952380952380942</v>
      </c>
      <c r="AJ1086" s="9">
        <f t="shared" si="213"/>
        <v>0.27380952380952378</v>
      </c>
      <c r="AK1086" s="9">
        <f t="shared" si="214"/>
        <v>0.56190476190476191</v>
      </c>
      <c r="AL1086" s="9">
        <f t="shared" si="215"/>
        <v>0.8833333333333333</v>
      </c>
      <c r="AM1086" s="9">
        <f t="shared" si="216"/>
        <v>0.5714285714285714</v>
      </c>
      <c r="AN1086" s="9">
        <f t="shared" si="217"/>
        <v>0.69047619047619047</v>
      </c>
      <c r="AO1086" s="9">
        <f t="shared" si="218"/>
        <v>0.69047619047619047</v>
      </c>
      <c r="AP1086" s="9">
        <f t="shared" si="219"/>
        <v>0.66724061640267462</v>
      </c>
      <c r="AQ1086" s="10">
        <f t="shared" si="220"/>
        <v>0.66724170240267466</v>
      </c>
    </row>
    <row r="1087" spans="1:43">
      <c r="A1087">
        <v>1086</v>
      </c>
      <c r="B1087" t="s">
        <v>26</v>
      </c>
      <c r="C1087" t="s">
        <v>632</v>
      </c>
      <c r="D1087" t="s">
        <v>399</v>
      </c>
      <c r="E1087" t="s">
        <v>97</v>
      </c>
      <c r="G1087" t="s">
        <v>18</v>
      </c>
      <c r="H1087" s="4">
        <v>27836730</v>
      </c>
      <c r="I1087" s="5">
        <v>0</v>
      </c>
      <c r="J1087" s="5">
        <v>500</v>
      </c>
      <c r="K1087" s="5">
        <v>4</v>
      </c>
      <c r="L1087">
        <v>6.6</v>
      </c>
      <c r="M1087">
        <v>3.5</v>
      </c>
      <c r="N1087">
        <v>6</v>
      </c>
      <c r="O1087" s="6">
        <v>14</v>
      </c>
      <c r="P1087" s="7">
        <v>1.54</v>
      </c>
      <c r="U1087" t="s">
        <v>84</v>
      </c>
      <c r="V1087" t="s">
        <v>375</v>
      </c>
      <c r="W1087">
        <v>2.2999999999999998</v>
      </c>
      <c r="X1087" t="s">
        <v>84</v>
      </c>
      <c r="Y1087" t="s">
        <v>130</v>
      </c>
      <c r="Z1087" t="s">
        <v>113</v>
      </c>
      <c r="AA1087" t="s">
        <v>101</v>
      </c>
      <c r="AB1087" t="s">
        <v>869</v>
      </c>
      <c r="AC1087">
        <v>1030.99</v>
      </c>
      <c r="AD1087" s="8" t="b">
        <f>AND(
 H1087&gt;=Filters!$B$3,
 H1087&lt;=Filters!$B$4,
 I1087&gt;=Filters!$B$5,
 OR(Filters!$B$6="All",B1087=Filters!$B$6),
 F1087&gt;=Filters!$B$7,
 F1087&lt;=Filters!$B$8,
 OR(Filters!$B$9="All",G1087=Filters!$B$9)
)</f>
        <v>0</v>
      </c>
      <c r="AE1087">
        <f t="shared" si="208"/>
        <v>6</v>
      </c>
      <c r="AF1087">
        <f t="shared" si="209"/>
        <v>7</v>
      </c>
      <c r="AG1087">
        <f t="shared" si="210"/>
        <v>7</v>
      </c>
      <c r="AH1087" s="9" t="str">
        <f t="shared" si="211"/>
        <v/>
      </c>
      <c r="AI1087" s="9" t="str">
        <f t="shared" si="212"/>
        <v/>
      </c>
      <c r="AJ1087" s="9" t="str">
        <f t="shared" si="213"/>
        <v/>
      </c>
      <c r="AK1087" s="9" t="str">
        <f t="shared" si="214"/>
        <v/>
      </c>
      <c r="AL1087" s="9" t="str">
        <f t="shared" si="215"/>
        <v/>
      </c>
      <c r="AM1087" s="9" t="str">
        <f t="shared" si="216"/>
        <v/>
      </c>
      <c r="AN1087" s="9" t="str">
        <f t="shared" si="217"/>
        <v/>
      </c>
      <c r="AO1087" s="9" t="str">
        <f t="shared" si="218"/>
        <v/>
      </c>
      <c r="AP1087" s="9" t="str">
        <f t="shared" si="219"/>
        <v/>
      </c>
      <c r="AQ1087" s="10" t="str">
        <f t="shared" si="220"/>
        <v/>
      </c>
    </row>
    <row r="1088" spans="1:43">
      <c r="A1088">
        <v>1087</v>
      </c>
      <c r="B1088" t="s">
        <v>26</v>
      </c>
      <c r="C1088" t="s">
        <v>1466</v>
      </c>
      <c r="D1088" t="s">
        <v>495</v>
      </c>
      <c r="E1088" t="s">
        <v>468</v>
      </c>
      <c r="G1088" t="s">
        <v>18</v>
      </c>
      <c r="H1088" s="4">
        <v>40365000</v>
      </c>
      <c r="I1088" s="5">
        <v>256</v>
      </c>
      <c r="J1088" s="5">
        <v>0</v>
      </c>
      <c r="K1088" s="5">
        <v>8</v>
      </c>
      <c r="L1088">
        <v>9</v>
      </c>
      <c r="M1088">
        <v>6.5</v>
      </c>
      <c r="N1088">
        <v>5.92</v>
      </c>
      <c r="O1088" s="6">
        <v>15.6</v>
      </c>
      <c r="P1088" s="7">
        <v>1.9</v>
      </c>
      <c r="U1088" t="s">
        <v>84</v>
      </c>
      <c r="V1088" t="s">
        <v>485</v>
      </c>
      <c r="W1088">
        <v>2.5</v>
      </c>
      <c r="X1088" t="s">
        <v>104</v>
      </c>
      <c r="Y1088" t="s">
        <v>496</v>
      </c>
      <c r="Z1088" t="s">
        <v>100</v>
      </c>
      <c r="AA1088" t="s">
        <v>101</v>
      </c>
      <c r="AB1088" t="s">
        <v>869</v>
      </c>
      <c r="AC1088">
        <v>1495</v>
      </c>
      <c r="AD1088" s="8" t="b">
        <f>AND(
 H1088&gt;=Filters!$B$3,
 H1088&lt;=Filters!$B$4,
 I1088&gt;=Filters!$B$5,
 OR(Filters!$B$6="All",B1088=Filters!$B$6),
 F1088&gt;=Filters!$B$7,
 F1088&lt;=Filters!$B$8,
 OR(Filters!$B$9="All",G1088=Filters!$B$9)
)</f>
        <v>0</v>
      </c>
      <c r="AE1088">
        <f t="shared" si="208"/>
        <v>6</v>
      </c>
      <c r="AF1088">
        <f t="shared" si="209"/>
        <v>7</v>
      </c>
      <c r="AG1088">
        <f t="shared" si="210"/>
        <v>7</v>
      </c>
      <c r="AH1088" s="9" t="str">
        <f t="shared" si="211"/>
        <v/>
      </c>
      <c r="AI1088" s="9" t="str">
        <f t="shared" si="212"/>
        <v/>
      </c>
      <c r="AJ1088" s="9" t="str">
        <f t="shared" si="213"/>
        <v/>
      </c>
      <c r="AK1088" s="9" t="str">
        <f t="shared" si="214"/>
        <v/>
      </c>
      <c r="AL1088" s="9" t="str">
        <f t="shared" si="215"/>
        <v/>
      </c>
      <c r="AM1088" s="9" t="str">
        <f t="shared" si="216"/>
        <v/>
      </c>
      <c r="AN1088" s="9" t="str">
        <f t="shared" si="217"/>
        <v/>
      </c>
      <c r="AO1088" s="9" t="str">
        <f t="shared" si="218"/>
        <v/>
      </c>
      <c r="AP1088" s="9" t="str">
        <f t="shared" si="219"/>
        <v/>
      </c>
      <c r="AQ1088" s="10" t="str">
        <f t="shared" si="220"/>
        <v/>
      </c>
    </row>
    <row r="1089" spans="1:43">
      <c r="A1089">
        <v>1088</v>
      </c>
      <c r="B1089" t="s">
        <v>29</v>
      </c>
      <c r="C1089" t="s">
        <v>1357</v>
      </c>
      <c r="D1089" t="s">
        <v>1358</v>
      </c>
      <c r="E1089" t="s">
        <v>97</v>
      </c>
      <c r="G1089" t="s">
        <v>18</v>
      </c>
      <c r="H1089" s="4">
        <v>32373000</v>
      </c>
      <c r="I1089" s="5">
        <v>180</v>
      </c>
      <c r="J1089" s="5">
        <v>0</v>
      </c>
      <c r="K1089" s="5">
        <v>8</v>
      </c>
      <c r="L1089">
        <v>6.6</v>
      </c>
      <c r="M1089">
        <v>3.5</v>
      </c>
      <c r="N1089">
        <v>6</v>
      </c>
      <c r="O1089" s="6">
        <v>14</v>
      </c>
      <c r="P1089" s="7">
        <v>1.7</v>
      </c>
      <c r="U1089" t="s">
        <v>84</v>
      </c>
      <c r="V1089" t="s">
        <v>375</v>
      </c>
      <c r="W1089">
        <v>2.2999999999999998</v>
      </c>
      <c r="X1089" t="s">
        <v>84</v>
      </c>
      <c r="Y1089" t="s">
        <v>130</v>
      </c>
      <c r="Z1089" t="s">
        <v>813</v>
      </c>
      <c r="AA1089" t="s">
        <v>101</v>
      </c>
      <c r="AB1089" t="s">
        <v>869</v>
      </c>
      <c r="AC1089">
        <v>1199</v>
      </c>
      <c r="AD1089" s="8" t="b">
        <f>AND(
 H1089&gt;=Filters!$B$3,
 H1089&lt;=Filters!$B$4,
 I1089&gt;=Filters!$B$5,
 OR(Filters!$B$6="All",B1089=Filters!$B$6),
 F1089&gt;=Filters!$B$7,
 F1089&lt;=Filters!$B$8,
 OR(Filters!$B$9="All",G1089=Filters!$B$9)
)</f>
        <v>0</v>
      </c>
      <c r="AE1089">
        <f t="shared" si="208"/>
        <v>6</v>
      </c>
      <c r="AF1089">
        <f t="shared" si="209"/>
        <v>7</v>
      </c>
      <c r="AG1089">
        <f t="shared" si="210"/>
        <v>7</v>
      </c>
      <c r="AH1089" s="9" t="str">
        <f t="shared" si="211"/>
        <v/>
      </c>
      <c r="AI1089" s="9" t="str">
        <f t="shared" si="212"/>
        <v/>
      </c>
      <c r="AJ1089" s="9" t="str">
        <f t="shared" si="213"/>
        <v/>
      </c>
      <c r="AK1089" s="9" t="str">
        <f t="shared" si="214"/>
        <v/>
      </c>
      <c r="AL1089" s="9" t="str">
        <f t="shared" si="215"/>
        <v/>
      </c>
      <c r="AM1089" s="9" t="str">
        <f t="shared" si="216"/>
        <v/>
      </c>
      <c r="AN1089" s="9" t="str">
        <f t="shared" si="217"/>
        <v/>
      </c>
      <c r="AO1089" s="9" t="str">
        <f t="shared" si="218"/>
        <v/>
      </c>
      <c r="AP1089" s="9" t="str">
        <f t="shared" si="219"/>
        <v/>
      </c>
      <c r="AQ1089" s="10" t="str">
        <f t="shared" si="220"/>
        <v/>
      </c>
    </row>
    <row r="1090" spans="1:43">
      <c r="A1090">
        <v>1089</v>
      </c>
      <c r="B1090" t="s">
        <v>26</v>
      </c>
      <c r="C1090" t="s">
        <v>1467</v>
      </c>
      <c r="D1090" t="s">
        <v>1468</v>
      </c>
      <c r="E1090" t="s">
        <v>97</v>
      </c>
      <c r="G1090" t="s">
        <v>18</v>
      </c>
      <c r="H1090" s="4">
        <v>16605000</v>
      </c>
      <c r="I1090" s="5">
        <v>32</v>
      </c>
      <c r="J1090" s="5">
        <v>0</v>
      </c>
      <c r="K1090" s="5">
        <v>4</v>
      </c>
      <c r="L1090">
        <v>2</v>
      </c>
      <c r="M1090">
        <v>3.5</v>
      </c>
      <c r="N1090">
        <v>8.16</v>
      </c>
      <c r="O1090" s="6">
        <v>13.3</v>
      </c>
      <c r="P1090" s="7">
        <v>1.29</v>
      </c>
      <c r="U1090" t="s">
        <v>84</v>
      </c>
      <c r="V1090" t="s">
        <v>1469</v>
      </c>
      <c r="W1090">
        <v>1.5</v>
      </c>
      <c r="X1090" t="s">
        <v>84</v>
      </c>
      <c r="Y1090" t="s">
        <v>381</v>
      </c>
      <c r="Z1090" t="s">
        <v>155</v>
      </c>
      <c r="AA1090" t="s">
        <v>1345</v>
      </c>
      <c r="AB1090" t="s">
        <v>563</v>
      </c>
      <c r="AC1090">
        <v>615</v>
      </c>
      <c r="AD1090" s="8" t="b">
        <f>AND(
 H1090&gt;=Filters!$B$3,
 H1090&lt;=Filters!$B$4,
 I1090&gt;=Filters!$B$5,
 OR(Filters!$B$6="All",B1090=Filters!$B$6),
 F1090&gt;=Filters!$B$7,
 F1090&lt;=Filters!$B$8,
 OR(Filters!$B$9="All",G1090=Filters!$B$9)
)</f>
        <v>0</v>
      </c>
      <c r="AE1090">
        <f t="shared" ref="AE1090:AE1153" si="221">IF(Q1090="",6,Q1090)</f>
        <v>6</v>
      </c>
      <c r="AF1090">
        <f t="shared" ref="AF1090:AF1153" si="222">IF(R1090="",7,R1090)</f>
        <v>7</v>
      </c>
      <c r="AG1090">
        <f t="shared" ref="AG1090:AG1153" si="223">IF(S1090="",7,S1090)</f>
        <v>7</v>
      </c>
      <c r="AH1090" s="9" t="str">
        <f t="shared" ref="AH1090:AH1153" si="224">IF(AD1090,IF(CPU_MAX=CPU_MIN,1,(L1090-CPU_MIN)/(CPU_MAX-CPU_MIN)),"")</f>
        <v/>
      </c>
      <c r="AI1090" s="9" t="str">
        <f t="shared" ref="AI1090:AI1153" si="225">IF(AD1090,IF(RAM_MAX=RAM_MIN,1,(K1090-RAM_MIN)/(RAM_MAX-RAM_MIN)),"")</f>
        <v/>
      </c>
      <c r="AJ1090" s="9" t="str">
        <f t="shared" ref="AJ1090:AJ1153" si="226">IF(AD1090,IF(GPU_MAX=GPU_MIN,1,(M1090-GPU_MIN)/(GPU_MAX-GPU_MIN)),"")</f>
        <v/>
      </c>
      <c r="AK1090" s="9" t="str">
        <f t="shared" ref="AK1090:AK1153" si="227">IF(AD1090,IF(SCREEN_MAX=SCREEN_MIN,1,(N1090-SCREEN_MIN)/(SCREEN_MAX-SCREEN_MIN)),"")</f>
        <v/>
      </c>
      <c r="AL1090" s="9" t="str">
        <f t="shared" ref="AL1090:AL1153" si="228">IF(AD1090,IF(WEIGHT_MAX=WEIGHT_MIN,1,(WEIGHT_MAX-P1090)/(WEIGHT_MAX-WEIGHT_MIN)),"")</f>
        <v/>
      </c>
      <c r="AM1090" s="9" t="str">
        <f t="shared" ref="AM1090:AM1153" si="229">IF(AD1090,IF(BATTERY_MAX=BATTERY_MIN,1,(AE1090-BATTERY_MIN)/(BATTERY_MAX-BATTERY_MIN)),"")</f>
        <v/>
      </c>
      <c r="AN1090" s="9" t="str">
        <f t="shared" ref="AN1090:AN1153" si="230">IF(AD1090,IF(DURABILITY_MAX=DURABILITY_MIN,1,(AF1090-DURABILITY_MIN)/(DURABILITY_MAX-DURABILITY_MIN)),"")</f>
        <v/>
      </c>
      <c r="AO1090" s="9" t="str">
        <f t="shared" ref="AO1090:AO1153" si="231">IF(AD1090,IF(UPGRADE_MAX=UPGRADE_MIN,1,(AG1090-UPGRADE_MIN)/(UPGRADE_MAX-UPGRADE_MIN)),"")</f>
        <v/>
      </c>
      <c r="AP1090" s="9" t="str">
        <f t="shared" ref="AP1090:AP1153" si="232">IF(AD1090,W_CPU*AH1090+W_RAM*AI1090+W_GPU*AJ1090+W_SCREEN*AK1090+W_WEIGHT*AL1090+W_BATTERY*AM1090+W_DURABILITY*AN1090+W_UPGRADE*AO1090,"" )</f>
        <v/>
      </c>
      <c r="AQ1090" s="10" t="str">
        <f t="shared" ref="AQ1090:AQ1153" si="233">IF(AP1090="","",AP1090+ROW()*0.000000001)</f>
        <v/>
      </c>
    </row>
    <row r="1091" spans="1:43">
      <c r="A1091">
        <v>1090</v>
      </c>
      <c r="B1091" t="s">
        <v>17</v>
      </c>
      <c r="C1091" t="s">
        <v>1435</v>
      </c>
      <c r="D1091" t="s">
        <v>1436</v>
      </c>
      <c r="E1091" t="s">
        <v>97</v>
      </c>
      <c r="G1091" t="s">
        <v>18</v>
      </c>
      <c r="H1091" s="4">
        <v>10449000</v>
      </c>
      <c r="I1091" s="5">
        <v>0</v>
      </c>
      <c r="J1091" s="5">
        <v>500</v>
      </c>
      <c r="K1091" s="5">
        <v>4</v>
      </c>
      <c r="L1091">
        <v>5.4</v>
      </c>
      <c r="M1091">
        <v>6.5</v>
      </c>
      <c r="N1091">
        <v>3.92</v>
      </c>
      <c r="O1091" s="6">
        <v>15.6</v>
      </c>
      <c r="P1091" s="7">
        <v>2.4</v>
      </c>
      <c r="U1091" t="s">
        <v>104</v>
      </c>
      <c r="V1091" t="s">
        <v>599</v>
      </c>
      <c r="W1091">
        <v>2.2000000000000002</v>
      </c>
      <c r="X1091" t="s">
        <v>104</v>
      </c>
      <c r="Y1091" t="s">
        <v>112</v>
      </c>
      <c r="Z1091" t="s">
        <v>113</v>
      </c>
      <c r="AA1091" t="s">
        <v>114</v>
      </c>
      <c r="AB1091" t="s">
        <v>115</v>
      </c>
      <c r="AC1091">
        <v>387</v>
      </c>
      <c r="AD1091" s="8" t="b">
        <f>AND(
 H1091&gt;=Filters!$B$3,
 H1091&lt;=Filters!$B$4,
 I1091&gt;=Filters!$B$5,
 OR(Filters!$B$6="All",B1091=Filters!$B$6),
 F1091&gt;=Filters!$B$7,
 F1091&lt;=Filters!$B$8,
 OR(Filters!$B$9="All",G1091=Filters!$B$9)
)</f>
        <v>0</v>
      </c>
      <c r="AE1091">
        <f t="shared" si="221"/>
        <v>6</v>
      </c>
      <c r="AF1091">
        <f t="shared" si="222"/>
        <v>7</v>
      </c>
      <c r="AG1091">
        <f t="shared" si="223"/>
        <v>7</v>
      </c>
      <c r="AH1091" s="9" t="str">
        <f t="shared" si="224"/>
        <v/>
      </c>
      <c r="AI1091" s="9" t="str">
        <f t="shared" si="225"/>
        <v/>
      </c>
      <c r="AJ1091" s="9" t="str">
        <f t="shared" si="226"/>
        <v/>
      </c>
      <c r="AK1091" s="9" t="str">
        <f t="shared" si="227"/>
        <v/>
      </c>
      <c r="AL1091" s="9" t="str">
        <f t="shared" si="228"/>
        <v/>
      </c>
      <c r="AM1091" s="9" t="str">
        <f t="shared" si="229"/>
        <v/>
      </c>
      <c r="AN1091" s="9" t="str">
        <f t="shared" si="230"/>
        <v/>
      </c>
      <c r="AO1091" s="9" t="str">
        <f t="shared" si="231"/>
        <v/>
      </c>
      <c r="AP1091" s="9" t="str">
        <f t="shared" si="232"/>
        <v/>
      </c>
      <c r="AQ1091" s="10" t="str">
        <f t="shared" si="233"/>
        <v/>
      </c>
    </row>
    <row r="1092" spans="1:43">
      <c r="A1092">
        <v>1091</v>
      </c>
      <c r="B1092" t="s">
        <v>23</v>
      </c>
      <c r="C1092" t="s">
        <v>639</v>
      </c>
      <c r="D1092" t="s">
        <v>640</v>
      </c>
      <c r="E1092" t="s">
        <v>97</v>
      </c>
      <c r="G1092" t="s">
        <v>18</v>
      </c>
      <c r="H1092" s="4">
        <v>10624230</v>
      </c>
      <c r="I1092" s="5">
        <v>0</v>
      </c>
      <c r="J1092" s="5">
        <v>500</v>
      </c>
      <c r="K1092" s="5">
        <v>4</v>
      </c>
      <c r="L1092">
        <v>2.2000000000000002</v>
      </c>
      <c r="M1092">
        <v>3.5</v>
      </c>
      <c r="N1092">
        <v>3.92</v>
      </c>
      <c r="O1092" s="6">
        <v>15.6</v>
      </c>
      <c r="P1092" s="7">
        <v>2.2000000000000002</v>
      </c>
      <c r="U1092" t="s">
        <v>84</v>
      </c>
      <c r="V1092" t="s">
        <v>1470</v>
      </c>
      <c r="W1092">
        <v>1.6</v>
      </c>
      <c r="X1092" t="s">
        <v>84</v>
      </c>
      <c r="Y1092" t="s">
        <v>187</v>
      </c>
      <c r="Z1092" t="s">
        <v>113</v>
      </c>
      <c r="AA1092" t="s">
        <v>114</v>
      </c>
      <c r="AB1092" t="s">
        <v>201</v>
      </c>
      <c r="AC1092">
        <v>393.49</v>
      </c>
      <c r="AD1092" s="8" t="b">
        <f>AND(
 H1092&gt;=Filters!$B$3,
 H1092&lt;=Filters!$B$4,
 I1092&gt;=Filters!$B$5,
 OR(Filters!$B$6="All",B1092=Filters!$B$6),
 F1092&gt;=Filters!$B$7,
 F1092&lt;=Filters!$B$8,
 OR(Filters!$B$9="All",G1092=Filters!$B$9)
)</f>
        <v>0</v>
      </c>
      <c r="AE1092">
        <f t="shared" si="221"/>
        <v>6</v>
      </c>
      <c r="AF1092">
        <f t="shared" si="222"/>
        <v>7</v>
      </c>
      <c r="AG1092">
        <f t="shared" si="223"/>
        <v>7</v>
      </c>
      <c r="AH1092" s="9" t="str">
        <f t="shared" si="224"/>
        <v/>
      </c>
      <c r="AI1092" s="9" t="str">
        <f t="shared" si="225"/>
        <v/>
      </c>
      <c r="AJ1092" s="9" t="str">
        <f t="shared" si="226"/>
        <v/>
      </c>
      <c r="AK1092" s="9" t="str">
        <f t="shared" si="227"/>
        <v/>
      </c>
      <c r="AL1092" s="9" t="str">
        <f t="shared" si="228"/>
        <v/>
      </c>
      <c r="AM1092" s="9" t="str">
        <f t="shared" si="229"/>
        <v/>
      </c>
      <c r="AN1092" s="9" t="str">
        <f t="shared" si="230"/>
        <v/>
      </c>
      <c r="AO1092" s="9" t="str">
        <f t="shared" si="231"/>
        <v/>
      </c>
      <c r="AP1092" s="9" t="str">
        <f t="shared" si="232"/>
        <v/>
      </c>
      <c r="AQ1092" s="10" t="str">
        <f t="shared" si="233"/>
        <v/>
      </c>
    </row>
    <row r="1093" spans="1:43">
      <c r="A1093">
        <v>1092</v>
      </c>
      <c r="B1093" t="s">
        <v>26</v>
      </c>
      <c r="C1093" t="s">
        <v>95</v>
      </c>
      <c r="D1093" t="s">
        <v>96</v>
      </c>
      <c r="E1093" t="s">
        <v>97</v>
      </c>
      <c r="G1093" t="s">
        <v>18</v>
      </c>
      <c r="H1093" s="4">
        <v>9341730</v>
      </c>
      <c r="I1093" s="5">
        <v>0</v>
      </c>
      <c r="J1093" s="5">
        <v>1024</v>
      </c>
      <c r="K1093" s="5">
        <v>4</v>
      </c>
      <c r="L1093">
        <v>4</v>
      </c>
      <c r="M1093">
        <v>3.5</v>
      </c>
      <c r="N1093">
        <v>3.92</v>
      </c>
      <c r="O1093" s="6">
        <v>15.6</v>
      </c>
      <c r="P1093" s="7">
        <v>1.86</v>
      </c>
      <c r="U1093" t="s">
        <v>84</v>
      </c>
      <c r="V1093" t="s">
        <v>129</v>
      </c>
      <c r="W1093">
        <v>2</v>
      </c>
      <c r="X1093" t="s">
        <v>84</v>
      </c>
      <c r="Y1093" t="s">
        <v>130</v>
      </c>
      <c r="Z1093" t="s">
        <v>146</v>
      </c>
      <c r="AA1093" t="s">
        <v>114</v>
      </c>
      <c r="AB1093" t="s">
        <v>102</v>
      </c>
      <c r="AC1093">
        <v>345.99</v>
      </c>
      <c r="AD1093" s="8" t="b">
        <f>AND(
 H1093&gt;=Filters!$B$3,
 H1093&lt;=Filters!$B$4,
 I1093&gt;=Filters!$B$5,
 OR(Filters!$B$6="All",B1093=Filters!$B$6),
 F1093&gt;=Filters!$B$7,
 F1093&lt;=Filters!$B$8,
 OR(Filters!$B$9="All",G1093=Filters!$B$9)
)</f>
        <v>0</v>
      </c>
      <c r="AE1093">
        <f t="shared" si="221"/>
        <v>6</v>
      </c>
      <c r="AF1093">
        <f t="shared" si="222"/>
        <v>7</v>
      </c>
      <c r="AG1093">
        <f t="shared" si="223"/>
        <v>7</v>
      </c>
      <c r="AH1093" s="9" t="str">
        <f t="shared" si="224"/>
        <v/>
      </c>
      <c r="AI1093" s="9" t="str">
        <f t="shared" si="225"/>
        <v/>
      </c>
      <c r="AJ1093" s="9" t="str">
        <f t="shared" si="226"/>
        <v/>
      </c>
      <c r="AK1093" s="9" t="str">
        <f t="shared" si="227"/>
        <v/>
      </c>
      <c r="AL1093" s="9" t="str">
        <f t="shared" si="228"/>
        <v/>
      </c>
      <c r="AM1093" s="9" t="str">
        <f t="shared" si="229"/>
        <v/>
      </c>
      <c r="AN1093" s="9" t="str">
        <f t="shared" si="230"/>
        <v/>
      </c>
      <c r="AO1093" s="9" t="str">
        <f t="shared" si="231"/>
        <v/>
      </c>
      <c r="AP1093" s="9" t="str">
        <f t="shared" si="232"/>
        <v/>
      </c>
      <c r="AQ1093" s="10" t="str">
        <f t="shared" si="233"/>
        <v/>
      </c>
    </row>
    <row r="1094" spans="1:43">
      <c r="A1094">
        <v>1093</v>
      </c>
      <c r="B1094" t="s">
        <v>21</v>
      </c>
      <c r="C1094" t="s">
        <v>1471</v>
      </c>
      <c r="D1094" t="s">
        <v>1472</v>
      </c>
      <c r="E1094" t="s">
        <v>158</v>
      </c>
      <c r="G1094" t="s">
        <v>18</v>
      </c>
      <c r="H1094" s="4">
        <v>43173000</v>
      </c>
      <c r="I1094" s="5">
        <v>256</v>
      </c>
      <c r="J1094" s="5">
        <v>1024</v>
      </c>
      <c r="K1094" s="5">
        <v>8</v>
      </c>
      <c r="L1094">
        <v>9.6</v>
      </c>
      <c r="M1094">
        <v>9.1999999999999993</v>
      </c>
      <c r="N1094">
        <v>6.24</v>
      </c>
      <c r="O1094" s="6">
        <v>17.3</v>
      </c>
      <c r="P1094" s="7">
        <v>2.7</v>
      </c>
      <c r="U1094" t="s">
        <v>84</v>
      </c>
      <c r="V1094" t="s">
        <v>210</v>
      </c>
      <c r="W1094">
        <v>2.8</v>
      </c>
      <c r="X1094" t="s">
        <v>122</v>
      </c>
      <c r="Y1094" t="s">
        <v>211</v>
      </c>
      <c r="Z1094" t="s">
        <v>212</v>
      </c>
      <c r="AA1094" t="s">
        <v>128</v>
      </c>
      <c r="AB1094" t="s">
        <v>115</v>
      </c>
      <c r="AC1094">
        <v>1599</v>
      </c>
      <c r="AD1094" s="8" t="b">
        <f>AND(
 H1094&gt;=Filters!$B$3,
 H1094&lt;=Filters!$B$4,
 I1094&gt;=Filters!$B$5,
 OR(Filters!$B$6="All",B1094=Filters!$B$6),
 F1094&gt;=Filters!$B$7,
 F1094&lt;=Filters!$B$8,
 OR(Filters!$B$9="All",G1094=Filters!$B$9)
)</f>
        <v>0</v>
      </c>
      <c r="AE1094">
        <f t="shared" si="221"/>
        <v>6</v>
      </c>
      <c r="AF1094">
        <f t="shared" si="222"/>
        <v>7</v>
      </c>
      <c r="AG1094">
        <f t="shared" si="223"/>
        <v>7</v>
      </c>
      <c r="AH1094" s="9" t="str">
        <f t="shared" si="224"/>
        <v/>
      </c>
      <c r="AI1094" s="9" t="str">
        <f t="shared" si="225"/>
        <v/>
      </c>
      <c r="AJ1094" s="9" t="str">
        <f t="shared" si="226"/>
        <v/>
      </c>
      <c r="AK1094" s="9" t="str">
        <f t="shared" si="227"/>
        <v/>
      </c>
      <c r="AL1094" s="9" t="str">
        <f t="shared" si="228"/>
        <v/>
      </c>
      <c r="AM1094" s="9" t="str">
        <f t="shared" si="229"/>
        <v/>
      </c>
      <c r="AN1094" s="9" t="str">
        <f t="shared" si="230"/>
        <v/>
      </c>
      <c r="AO1094" s="9" t="str">
        <f t="shared" si="231"/>
        <v/>
      </c>
      <c r="AP1094" s="9" t="str">
        <f t="shared" si="232"/>
        <v/>
      </c>
      <c r="AQ1094" s="10" t="str">
        <f t="shared" si="233"/>
        <v/>
      </c>
    </row>
    <row r="1095" spans="1:43">
      <c r="A1095">
        <v>1094</v>
      </c>
      <c r="B1095" t="s">
        <v>23</v>
      </c>
      <c r="C1095" t="s">
        <v>273</v>
      </c>
      <c r="D1095" t="s">
        <v>274</v>
      </c>
      <c r="E1095" t="s">
        <v>83</v>
      </c>
      <c r="G1095" t="s">
        <v>18</v>
      </c>
      <c r="H1095" s="4">
        <v>22095450</v>
      </c>
      <c r="I1095" s="5">
        <v>256</v>
      </c>
      <c r="J1095" s="5">
        <v>0</v>
      </c>
      <c r="K1095" s="5">
        <v>4</v>
      </c>
      <c r="L1095">
        <v>5.2</v>
      </c>
      <c r="M1095">
        <v>6.5</v>
      </c>
      <c r="N1095">
        <v>6.37</v>
      </c>
      <c r="O1095" s="6">
        <v>13.3</v>
      </c>
      <c r="P1095" s="7">
        <v>1.4</v>
      </c>
      <c r="U1095" t="s">
        <v>84</v>
      </c>
      <c r="V1095" t="s">
        <v>126</v>
      </c>
      <c r="W1095">
        <v>1.6</v>
      </c>
      <c r="X1095" t="s">
        <v>104</v>
      </c>
      <c r="Y1095" t="s">
        <v>176</v>
      </c>
      <c r="Z1095" t="s">
        <v>100</v>
      </c>
      <c r="AA1095" t="s">
        <v>128</v>
      </c>
      <c r="AB1095" t="s">
        <v>115</v>
      </c>
      <c r="AC1095">
        <v>818.35</v>
      </c>
      <c r="AD1095" s="8" t="b">
        <f>AND(
 H1095&gt;=Filters!$B$3,
 H1095&lt;=Filters!$B$4,
 I1095&gt;=Filters!$B$5,
 OR(Filters!$B$6="All",B1095=Filters!$B$6),
 F1095&gt;=Filters!$B$7,
 F1095&lt;=Filters!$B$8,
 OR(Filters!$B$9="All",G1095=Filters!$B$9)
)</f>
        <v>1</v>
      </c>
      <c r="AE1095">
        <f t="shared" si="221"/>
        <v>6</v>
      </c>
      <c r="AF1095">
        <f t="shared" si="222"/>
        <v>7</v>
      </c>
      <c r="AG1095">
        <f t="shared" si="223"/>
        <v>7</v>
      </c>
      <c r="AH1095" s="9">
        <f t="shared" si="224"/>
        <v>0.47619047619047616</v>
      </c>
      <c r="AI1095" s="9">
        <f t="shared" si="225"/>
        <v>0.33333333333333331</v>
      </c>
      <c r="AJ1095" s="9">
        <f t="shared" si="226"/>
        <v>0.63095238095238093</v>
      </c>
      <c r="AK1095" s="9">
        <f t="shared" si="227"/>
        <v>0.6154761904761904</v>
      </c>
      <c r="AL1095" s="9">
        <f t="shared" si="228"/>
        <v>0.97619047619047605</v>
      </c>
      <c r="AM1095" s="9">
        <f t="shared" si="229"/>
        <v>0.5714285714285714</v>
      </c>
      <c r="AN1095" s="9">
        <f t="shared" si="230"/>
        <v>0.69047619047619047</v>
      </c>
      <c r="AO1095" s="9">
        <f t="shared" si="231"/>
        <v>0.69047619047619047</v>
      </c>
      <c r="AP1095" s="9">
        <f t="shared" si="232"/>
        <v>0.56837269780726496</v>
      </c>
      <c r="AQ1095" s="10">
        <f t="shared" si="233"/>
        <v>0.56837379280726497</v>
      </c>
    </row>
    <row r="1096" spans="1:43">
      <c r="A1096">
        <v>1095</v>
      </c>
      <c r="B1096" t="s">
        <v>26</v>
      </c>
      <c r="C1096" t="s">
        <v>1295</v>
      </c>
      <c r="D1096" t="s">
        <v>623</v>
      </c>
      <c r="E1096" t="s">
        <v>152</v>
      </c>
      <c r="G1096" t="s">
        <v>18</v>
      </c>
      <c r="H1096" s="4">
        <v>43173000</v>
      </c>
      <c r="I1096" s="5">
        <v>128</v>
      </c>
      <c r="J1096" s="5">
        <v>0</v>
      </c>
      <c r="K1096" s="5">
        <v>4</v>
      </c>
      <c r="L1096">
        <v>6.6</v>
      </c>
      <c r="M1096">
        <v>3.5</v>
      </c>
      <c r="N1096">
        <v>3.92</v>
      </c>
      <c r="O1096" s="6">
        <v>12.5</v>
      </c>
      <c r="P1096" s="7">
        <v>2.4</v>
      </c>
      <c r="U1096" t="s">
        <v>84</v>
      </c>
      <c r="V1096" t="s">
        <v>375</v>
      </c>
      <c r="W1096">
        <v>2.2999999999999998</v>
      </c>
      <c r="X1096" t="s">
        <v>84</v>
      </c>
      <c r="Y1096" t="s">
        <v>130</v>
      </c>
      <c r="Z1096" t="s">
        <v>87</v>
      </c>
      <c r="AA1096" t="s">
        <v>114</v>
      </c>
      <c r="AB1096" t="s">
        <v>869</v>
      </c>
      <c r="AC1096">
        <v>1599</v>
      </c>
      <c r="AD1096" s="8" t="b">
        <f>AND(
 H1096&gt;=Filters!$B$3,
 H1096&lt;=Filters!$B$4,
 I1096&gt;=Filters!$B$5,
 OR(Filters!$B$6="All",B1096=Filters!$B$6),
 F1096&gt;=Filters!$B$7,
 F1096&lt;=Filters!$B$8,
 OR(Filters!$B$9="All",G1096=Filters!$B$9)
)</f>
        <v>0</v>
      </c>
      <c r="AE1096">
        <f t="shared" si="221"/>
        <v>6</v>
      </c>
      <c r="AF1096">
        <f t="shared" si="222"/>
        <v>7</v>
      </c>
      <c r="AG1096">
        <f t="shared" si="223"/>
        <v>7</v>
      </c>
      <c r="AH1096" s="9" t="str">
        <f t="shared" si="224"/>
        <v/>
      </c>
      <c r="AI1096" s="9" t="str">
        <f t="shared" si="225"/>
        <v/>
      </c>
      <c r="AJ1096" s="9" t="str">
        <f t="shared" si="226"/>
        <v/>
      </c>
      <c r="AK1096" s="9" t="str">
        <f t="shared" si="227"/>
        <v/>
      </c>
      <c r="AL1096" s="9" t="str">
        <f t="shared" si="228"/>
        <v/>
      </c>
      <c r="AM1096" s="9" t="str">
        <f t="shared" si="229"/>
        <v/>
      </c>
      <c r="AN1096" s="9" t="str">
        <f t="shared" si="230"/>
        <v/>
      </c>
      <c r="AO1096" s="9" t="str">
        <f t="shared" si="231"/>
        <v/>
      </c>
      <c r="AP1096" s="9" t="str">
        <f t="shared" si="232"/>
        <v/>
      </c>
      <c r="AQ1096" s="10" t="str">
        <f t="shared" si="233"/>
        <v/>
      </c>
    </row>
    <row r="1097" spans="1:43">
      <c r="A1097">
        <v>1096</v>
      </c>
      <c r="B1097" t="s">
        <v>17</v>
      </c>
      <c r="C1097" t="s">
        <v>1473</v>
      </c>
      <c r="D1097" t="s">
        <v>1474</v>
      </c>
      <c r="E1097" t="s">
        <v>97</v>
      </c>
      <c r="G1097" t="s">
        <v>18</v>
      </c>
      <c r="H1097" s="4">
        <v>21573000</v>
      </c>
      <c r="I1097" s="5">
        <v>256</v>
      </c>
      <c r="J1097" s="5">
        <v>1024</v>
      </c>
      <c r="K1097" s="5">
        <v>8</v>
      </c>
      <c r="L1097">
        <v>7</v>
      </c>
      <c r="M1097">
        <v>9.1999999999999993</v>
      </c>
      <c r="N1097">
        <v>5.92</v>
      </c>
      <c r="O1097" s="6">
        <v>15.6</v>
      </c>
      <c r="P1097" s="7">
        <v>2.4</v>
      </c>
      <c r="U1097" t="s">
        <v>84</v>
      </c>
      <c r="V1097" t="s">
        <v>98</v>
      </c>
      <c r="W1097">
        <v>2.5</v>
      </c>
      <c r="X1097" t="s">
        <v>122</v>
      </c>
      <c r="Y1097" t="s">
        <v>492</v>
      </c>
      <c r="Z1097" t="s">
        <v>212</v>
      </c>
      <c r="AA1097" t="s">
        <v>101</v>
      </c>
      <c r="AB1097" t="s">
        <v>115</v>
      </c>
      <c r="AC1097">
        <v>799</v>
      </c>
      <c r="AD1097" s="8" t="b">
        <f>AND(
 H1097&gt;=Filters!$B$3,
 H1097&lt;=Filters!$B$4,
 I1097&gt;=Filters!$B$5,
 OR(Filters!$B$6="All",B1097=Filters!$B$6),
 F1097&gt;=Filters!$B$7,
 F1097&lt;=Filters!$B$8,
 OR(Filters!$B$9="All",G1097=Filters!$B$9)
)</f>
        <v>1</v>
      </c>
      <c r="AE1097">
        <f t="shared" si="221"/>
        <v>6</v>
      </c>
      <c r="AF1097">
        <f t="shared" si="222"/>
        <v>7</v>
      </c>
      <c r="AG1097">
        <f t="shared" si="223"/>
        <v>7</v>
      </c>
      <c r="AH1097" s="9">
        <f t="shared" si="224"/>
        <v>0.69047619047619047</v>
      </c>
      <c r="AI1097" s="9">
        <f t="shared" si="225"/>
        <v>0.80952380952380942</v>
      </c>
      <c r="AJ1097" s="9">
        <f t="shared" si="226"/>
        <v>0.95238095238095222</v>
      </c>
      <c r="AK1097" s="9">
        <f t="shared" si="227"/>
        <v>0.56190476190476191</v>
      </c>
      <c r="AL1097" s="9">
        <f t="shared" si="228"/>
        <v>0.85714285714285698</v>
      </c>
      <c r="AM1097" s="9">
        <f t="shared" si="229"/>
        <v>0.5714285714285714</v>
      </c>
      <c r="AN1097" s="9">
        <f t="shared" si="230"/>
        <v>0.69047619047619047</v>
      </c>
      <c r="AO1097" s="9">
        <f t="shared" si="231"/>
        <v>0.69047619047619047</v>
      </c>
      <c r="AP1097" s="9">
        <f t="shared" si="232"/>
        <v>0.71053438541428993</v>
      </c>
      <c r="AQ1097" s="10">
        <f t="shared" si="233"/>
        <v>0.71053548241428988</v>
      </c>
    </row>
    <row r="1098" spans="1:43">
      <c r="A1098">
        <v>1097</v>
      </c>
      <c r="B1098" t="s">
        <v>23</v>
      </c>
      <c r="C1098" t="s">
        <v>356</v>
      </c>
      <c r="D1098" t="s">
        <v>357</v>
      </c>
      <c r="E1098" t="s">
        <v>97</v>
      </c>
      <c r="G1098" t="s">
        <v>18</v>
      </c>
      <c r="H1098" s="4">
        <v>17247600</v>
      </c>
      <c r="I1098" s="5">
        <v>0</v>
      </c>
      <c r="J1098" s="5">
        <v>1024</v>
      </c>
      <c r="K1098" s="5">
        <v>8</v>
      </c>
      <c r="L1098">
        <v>7</v>
      </c>
      <c r="M1098">
        <v>6.5</v>
      </c>
      <c r="N1098">
        <v>5.92</v>
      </c>
      <c r="O1098" s="6">
        <v>15.6</v>
      </c>
      <c r="P1098" s="7">
        <v>2.36</v>
      </c>
      <c r="U1098" t="s">
        <v>84</v>
      </c>
      <c r="V1098" t="s">
        <v>98</v>
      </c>
      <c r="W1098">
        <v>2.5</v>
      </c>
      <c r="X1098" t="s">
        <v>104</v>
      </c>
      <c r="Y1098" t="s">
        <v>358</v>
      </c>
      <c r="Z1098" t="s">
        <v>146</v>
      </c>
      <c r="AA1098" t="s">
        <v>101</v>
      </c>
      <c r="AB1098" t="s">
        <v>115</v>
      </c>
      <c r="AC1098">
        <v>638.79999999999995</v>
      </c>
      <c r="AD1098" s="8" t="b">
        <f>AND(
 H1098&gt;=Filters!$B$3,
 H1098&lt;=Filters!$B$4,
 I1098&gt;=Filters!$B$5,
 OR(Filters!$B$6="All",B1098=Filters!$B$6),
 F1098&gt;=Filters!$B$7,
 F1098&lt;=Filters!$B$8,
 OR(Filters!$B$9="All",G1098=Filters!$B$9)
)</f>
        <v>0</v>
      </c>
      <c r="AE1098">
        <f t="shared" si="221"/>
        <v>6</v>
      </c>
      <c r="AF1098">
        <f t="shared" si="222"/>
        <v>7</v>
      </c>
      <c r="AG1098">
        <f t="shared" si="223"/>
        <v>7</v>
      </c>
      <c r="AH1098" s="9" t="str">
        <f t="shared" si="224"/>
        <v/>
      </c>
      <c r="AI1098" s="9" t="str">
        <f t="shared" si="225"/>
        <v/>
      </c>
      <c r="AJ1098" s="9" t="str">
        <f t="shared" si="226"/>
        <v/>
      </c>
      <c r="AK1098" s="9" t="str">
        <f t="shared" si="227"/>
        <v/>
      </c>
      <c r="AL1098" s="9" t="str">
        <f t="shared" si="228"/>
        <v/>
      </c>
      <c r="AM1098" s="9" t="str">
        <f t="shared" si="229"/>
        <v/>
      </c>
      <c r="AN1098" s="9" t="str">
        <f t="shared" si="230"/>
        <v/>
      </c>
      <c r="AO1098" s="9" t="str">
        <f t="shared" si="231"/>
        <v/>
      </c>
      <c r="AP1098" s="9" t="str">
        <f t="shared" si="232"/>
        <v/>
      </c>
      <c r="AQ1098" s="10" t="str">
        <f t="shared" si="233"/>
        <v/>
      </c>
    </row>
    <row r="1099" spans="1:43">
      <c r="A1099">
        <v>1098</v>
      </c>
      <c r="B1099" t="s">
        <v>30</v>
      </c>
      <c r="C1099" t="s">
        <v>1475</v>
      </c>
      <c r="D1099" t="s">
        <v>1476</v>
      </c>
      <c r="E1099" t="s">
        <v>158</v>
      </c>
      <c r="G1099" t="s">
        <v>18</v>
      </c>
      <c r="H1099" s="4">
        <v>43173000</v>
      </c>
      <c r="I1099" s="5">
        <v>256</v>
      </c>
      <c r="J1099" s="5">
        <v>0</v>
      </c>
      <c r="K1099" s="5">
        <v>8</v>
      </c>
      <c r="L1099">
        <v>9.1999999999999993</v>
      </c>
      <c r="M1099">
        <v>9.1999999999999993</v>
      </c>
      <c r="N1099">
        <v>5.83</v>
      </c>
      <c r="O1099" s="6">
        <v>17.3</v>
      </c>
      <c r="P1099" s="7">
        <v>2.6</v>
      </c>
      <c r="U1099" t="s">
        <v>84</v>
      </c>
      <c r="V1099" t="s">
        <v>808</v>
      </c>
      <c r="W1099">
        <v>2.6</v>
      </c>
      <c r="X1099" t="s">
        <v>122</v>
      </c>
      <c r="Y1099" t="s">
        <v>832</v>
      </c>
      <c r="Z1099" t="s">
        <v>100</v>
      </c>
      <c r="AA1099" t="s">
        <v>101</v>
      </c>
      <c r="AB1099" t="s">
        <v>115</v>
      </c>
      <c r="AC1099">
        <v>1599</v>
      </c>
      <c r="AD1099" s="8" t="b">
        <f>AND(
 H1099&gt;=Filters!$B$3,
 H1099&lt;=Filters!$B$4,
 I1099&gt;=Filters!$B$5,
 OR(Filters!$B$6="All",B1099=Filters!$B$6),
 F1099&gt;=Filters!$B$7,
 F1099&lt;=Filters!$B$8,
 OR(Filters!$B$9="All",G1099=Filters!$B$9)
)</f>
        <v>0</v>
      </c>
      <c r="AE1099">
        <f t="shared" si="221"/>
        <v>6</v>
      </c>
      <c r="AF1099">
        <f t="shared" si="222"/>
        <v>7</v>
      </c>
      <c r="AG1099">
        <f t="shared" si="223"/>
        <v>7</v>
      </c>
      <c r="AH1099" s="9" t="str">
        <f t="shared" si="224"/>
        <v/>
      </c>
      <c r="AI1099" s="9" t="str">
        <f t="shared" si="225"/>
        <v/>
      </c>
      <c r="AJ1099" s="9" t="str">
        <f t="shared" si="226"/>
        <v/>
      </c>
      <c r="AK1099" s="9" t="str">
        <f t="shared" si="227"/>
        <v/>
      </c>
      <c r="AL1099" s="9" t="str">
        <f t="shared" si="228"/>
        <v/>
      </c>
      <c r="AM1099" s="9" t="str">
        <f t="shared" si="229"/>
        <v/>
      </c>
      <c r="AN1099" s="9" t="str">
        <f t="shared" si="230"/>
        <v/>
      </c>
      <c r="AO1099" s="9" t="str">
        <f t="shared" si="231"/>
        <v/>
      </c>
      <c r="AP1099" s="9" t="str">
        <f t="shared" si="232"/>
        <v/>
      </c>
      <c r="AQ1099" s="10" t="str">
        <f t="shared" si="233"/>
        <v/>
      </c>
    </row>
    <row r="1100" spans="1:43">
      <c r="A1100">
        <v>1099</v>
      </c>
      <c r="B1100" t="s">
        <v>26</v>
      </c>
      <c r="C1100" t="s">
        <v>1433</v>
      </c>
      <c r="D1100" t="s">
        <v>1434</v>
      </c>
      <c r="E1100" t="s">
        <v>97</v>
      </c>
      <c r="G1100" t="s">
        <v>18</v>
      </c>
      <c r="H1100" s="4">
        <v>13500000</v>
      </c>
      <c r="I1100" s="5">
        <v>0</v>
      </c>
      <c r="J1100" s="5">
        <v>1024</v>
      </c>
      <c r="K1100" s="5">
        <v>4</v>
      </c>
      <c r="L1100">
        <v>2.2000000000000002</v>
      </c>
      <c r="M1100">
        <v>3.5</v>
      </c>
      <c r="N1100">
        <v>3.92</v>
      </c>
      <c r="O1100" s="6">
        <v>15.6</v>
      </c>
      <c r="P1100" s="7">
        <v>1.96</v>
      </c>
      <c r="U1100" t="s">
        <v>84</v>
      </c>
      <c r="V1100" t="s">
        <v>611</v>
      </c>
      <c r="W1100">
        <v>1.6</v>
      </c>
      <c r="X1100" t="s">
        <v>84</v>
      </c>
      <c r="Y1100" t="s">
        <v>612</v>
      </c>
      <c r="Z1100" t="s">
        <v>146</v>
      </c>
      <c r="AA1100" t="s">
        <v>114</v>
      </c>
      <c r="AB1100" t="s">
        <v>115</v>
      </c>
      <c r="AC1100">
        <v>500</v>
      </c>
      <c r="AD1100" s="8" t="b">
        <f>AND(
 H1100&gt;=Filters!$B$3,
 H1100&lt;=Filters!$B$4,
 I1100&gt;=Filters!$B$5,
 OR(Filters!$B$6="All",B1100=Filters!$B$6),
 F1100&gt;=Filters!$B$7,
 F1100&lt;=Filters!$B$8,
 OR(Filters!$B$9="All",G1100=Filters!$B$9)
)</f>
        <v>0</v>
      </c>
      <c r="AE1100">
        <f t="shared" si="221"/>
        <v>6</v>
      </c>
      <c r="AF1100">
        <f t="shared" si="222"/>
        <v>7</v>
      </c>
      <c r="AG1100">
        <f t="shared" si="223"/>
        <v>7</v>
      </c>
      <c r="AH1100" s="9" t="str">
        <f t="shared" si="224"/>
        <v/>
      </c>
      <c r="AI1100" s="9" t="str">
        <f t="shared" si="225"/>
        <v/>
      </c>
      <c r="AJ1100" s="9" t="str">
        <f t="shared" si="226"/>
        <v/>
      </c>
      <c r="AK1100" s="9" t="str">
        <f t="shared" si="227"/>
        <v/>
      </c>
      <c r="AL1100" s="9" t="str">
        <f t="shared" si="228"/>
        <v/>
      </c>
      <c r="AM1100" s="9" t="str">
        <f t="shared" si="229"/>
        <v/>
      </c>
      <c r="AN1100" s="9" t="str">
        <f t="shared" si="230"/>
        <v/>
      </c>
      <c r="AO1100" s="9" t="str">
        <f t="shared" si="231"/>
        <v/>
      </c>
      <c r="AP1100" s="9" t="str">
        <f t="shared" si="232"/>
        <v/>
      </c>
      <c r="AQ1100" s="10" t="str">
        <f t="shared" si="233"/>
        <v/>
      </c>
    </row>
    <row r="1101" spans="1:43">
      <c r="A1101">
        <v>1100</v>
      </c>
      <c r="B1101" t="s">
        <v>21</v>
      </c>
      <c r="C1101" t="s">
        <v>1477</v>
      </c>
      <c r="D1101" t="s">
        <v>1478</v>
      </c>
      <c r="E1101" t="s">
        <v>158</v>
      </c>
      <c r="G1101" t="s">
        <v>18</v>
      </c>
      <c r="H1101" s="4">
        <v>62073000</v>
      </c>
      <c r="I1101" s="5">
        <v>128</v>
      </c>
      <c r="J1101" s="5">
        <v>1024</v>
      </c>
      <c r="K1101" s="5">
        <v>16</v>
      </c>
      <c r="L1101">
        <v>9.1999999999999993</v>
      </c>
      <c r="M1101">
        <v>9.1999999999999993</v>
      </c>
      <c r="N1101">
        <v>6.24</v>
      </c>
      <c r="O1101" s="6">
        <v>17.3</v>
      </c>
      <c r="P1101" s="7">
        <v>4.3</v>
      </c>
      <c r="U1101" t="s">
        <v>84</v>
      </c>
      <c r="V1101" t="s">
        <v>808</v>
      </c>
      <c r="W1101">
        <v>2.6</v>
      </c>
      <c r="X1101" t="s">
        <v>122</v>
      </c>
      <c r="Y1101" t="s">
        <v>526</v>
      </c>
      <c r="Z1101" t="s">
        <v>161</v>
      </c>
      <c r="AA1101" t="s">
        <v>128</v>
      </c>
      <c r="AB1101" t="s">
        <v>115</v>
      </c>
      <c r="AC1101">
        <v>2299</v>
      </c>
      <c r="AD1101" s="8" t="b">
        <f>AND(
 H1101&gt;=Filters!$B$3,
 H1101&lt;=Filters!$B$4,
 I1101&gt;=Filters!$B$5,
 OR(Filters!$B$6="All",B1101=Filters!$B$6),
 F1101&gt;=Filters!$B$7,
 F1101&lt;=Filters!$B$8,
 OR(Filters!$B$9="All",G1101=Filters!$B$9)
)</f>
        <v>0</v>
      </c>
      <c r="AE1101">
        <f t="shared" si="221"/>
        <v>6</v>
      </c>
      <c r="AF1101">
        <f t="shared" si="222"/>
        <v>7</v>
      </c>
      <c r="AG1101">
        <f t="shared" si="223"/>
        <v>7</v>
      </c>
      <c r="AH1101" s="9" t="str">
        <f t="shared" si="224"/>
        <v/>
      </c>
      <c r="AI1101" s="9" t="str">
        <f t="shared" si="225"/>
        <v/>
      </c>
      <c r="AJ1101" s="9" t="str">
        <f t="shared" si="226"/>
        <v/>
      </c>
      <c r="AK1101" s="9" t="str">
        <f t="shared" si="227"/>
        <v/>
      </c>
      <c r="AL1101" s="9" t="str">
        <f t="shared" si="228"/>
        <v/>
      </c>
      <c r="AM1101" s="9" t="str">
        <f t="shared" si="229"/>
        <v/>
      </c>
      <c r="AN1101" s="9" t="str">
        <f t="shared" si="230"/>
        <v/>
      </c>
      <c r="AO1101" s="9" t="str">
        <f t="shared" si="231"/>
        <v/>
      </c>
      <c r="AP1101" s="9" t="str">
        <f t="shared" si="232"/>
        <v/>
      </c>
      <c r="AQ1101" s="10" t="str">
        <f t="shared" si="233"/>
        <v/>
      </c>
    </row>
    <row r="1102" spans="1:43">
      <c r="A1102">
        <v>1101</v>
      </c>
      <c r="B1102" t="s">
        <v>23</v>
      </c>
      <c r="C1102" t="s">
        <v>1479</v>
      </c>
      <c r="D1102" t="s">
        <v>1480</v>
      </c>
      <c r="E1102" t="s">
        <v>83</v>
      </c>
      <c r="G1102" t="s">
        <v>18</v>
      </c>
      <c r="H1102" s="4">
        <v>30649050</v>
      </c>
      <c r="I1102" s="5">
        <v>0</v>
      </c>
      <c r="J1102" s="5">
        <v>500</v>
      </c>
      <c r="K1102" s="5">
        <v>4</v>
      </c>
      <c r="L1102">
        <v>4.5999999999999996</v>
      </c>
      <c r="M1102">
        <v>3.5</v>
      </c>
      <c r="N1102">
        <v>3.92</v>
      </c>
      <c r="O1102" s="6">
        <v>12.5</v>
      </c>
      <c r="P1102" s="7">
        <v>1.5</v>
      </c>
      <c r="U1102" t="s">
        <v>84</v>
      </c>
      <c r="V1102" t="s">
        <v>812</v>
      </c>
      <c r="W1102">
        <v>2.2999999999999998</v>
      </c>
      <c r="X1102" t="s">
        <v>84</v>
      </c>
      <c r="Y1102" t="s">
        <v>130</v>
      </c>
      <c r="Z1102" t="s">
        <v>113</v>
      </c>
      <c r="AA1102" t="s">
        <v>114</v>
      </c>
      <c r="AB1102" t="s">
        <v>869</v>
      </c>
      <c r="AC1102">
        <v>1135.1500000000001</v>
      </c>
      <c r="AD1102" s="8" t="b">
        <f>AND(
 H1102&gt;=Filters!$B$3,
 H1102&lt;=Filters!$B$4,
 I1102&gt;=Filters!$B$5,
 OR(Filters!$B$6="All",B1102=Filters!$B$6),
 F1102&gt;=Filters!$B$7,
 F1102&lt;=Filters!$B$8,
 OR(Filters!$B$9="All",G1102=Filters!$B$9)
)</f>
        <v>0</v>
      </c>
      <c r="AE1102">
        <f t="shared" si="221"/>
        <v>6</v>
      </c>
      <c r="AF1102">
        <f t="shared" si="222"/>
        <v>7</v>
      </c>
      <c r="AG1102">
        <f t="shared" si="223"/>
        <v>7</v>
      </c>
      <c r="AH1102" s="9" t="str">
        <f t="shared" si="224"/>
        <v/>
      </c>
      <c r="AI1102" s="9" t="str">
        <f t="shared" si="225"/>
        <v/>
      </c>
      <c r="AJ1102" s="9" t="str">
        <f t="shared" si="226"/>
        <v/>
      </c>
      <c r="AK1102" s="9" t="str">
        <f t="shared" si="227"/>
        <v/>
      </c>
      <c r="AL1102" s="9" t="str">
        <f t="shared" si="228"/>
        <v/>
      </c>
      <c r="AM1102" s="9" t="str">
        <f t="shared" si="229"/>
        <v/>
      </c>
      <c r="AN1102" s="9" t="str">
        <f t="shared" si="230"/>
        <v/>
      </c>
      <c r="AO1102" s="9" t="str">
        <f t="shared" si="231"/>
        <v/>
      </c>
      <c r="AP1102" s="9" t="str">
        <f t="shared" si="232"/>
        <v/>
      </c>
      <c r="AQ1102" s="10" t="str">
        <f t="shared" si="233"/>
        <v/>
      </c>
    </row>
    <row r="1103" spans="1:43">
      <c r="A1103">
        <v>1102</v>
      </c>
      <c r="B1103" t="s">
        <v>23</v>
      </c>
      <c r="C1103" t="s">
        <v>1479</v>
      </c>
      <c r="D1103" t="s">
        <v>1480</v>
      </c>
      <c r="E1103" t="s">
        <v>83</v>
      </c>
      <c r="G1103" t="s">
        <v>18</v>
      </c>
      <c r="H1103" s="4">
        <v>31508190</v>
      </c>
      <c r="I1103" s="5">
        <v>128</v>
      </c>
      <c r="J1103" s="5">
        <v>0</v>
      </c>
      <c r="K1103" s="5">
        <v>4</v>
      </c>
      <c r="L1103">
        <v>4.5999999999999996</v>
      </c>
      <c r="M1103">
        <v>3.5</v>
      </c>
      <c r="N1103">
        <v>3.92</v>
      </c>
      <c r="O1103" s="6">
        <v>12.5</v>
      </c>
      <c r="P1103" s="7">
        <v>1.5</v>
      </c>
      <c r="U1103" t="s">
        <v>84</v>
      </c>
      <c r="V1103" t="s">
        <v>812</v>
      </c>
      <c r="W1103">
        <v>2.2999999999999998</v>
      </c>
      <c r="X1103" t="s">
        <v>84</v>
      </c>
      <c r="Y1103" t="s">
        <v>130</v>
      </c>
      <c r="Z1103" t="s">
        <v>87</v>
      </c>
      <c r="AA1103" t="s">
        <v>114</v>
      </c>
      <c r="AB1103" t="s">
        <v>869</v>
      </c>
      <c r="AC1103">
        <v>1166.97</v>
      </c>
      <c r="AD1103" s="8" t="b">
        <f>AND(
 H1103&gt;=Filters!$B$3,
 H1103&lt;=Filters!$B$4,
 I1103&gt;=Filters!$B$5,
 OR(Filters!$B$6="All",B1103=Filters!$B$6),
 F1103&gt;=Filters!$B$7,
 F1103&lt;=Filters!$B$8,
 OR(Filters!$B$9="All",G1103=Filters!$B$9)
)</f>
        <v>0</v>
      </c>
      <c r="AE1103">
        <f t="shared" si="221"/>
        <v>6</v>
      </c>
      <c r="AF1103">
        <f t="shared" si="222"/>
        <v>7</v>
      </c>
      <c r="AG1103">
        <f t="shared" si="223"/>
        <v>7</v>
      </c>
      <c r="AH1103" s="9" t="str">
        <f t="shared" si="224"/>
        <v/>
      </c>
      <c r="AI1103" s="9" t="str">
        <f t="shared" si="225"/>
        <v/>
      </c>
      <c r="AJ1103" s="9" t="str">
        <f t="shared" si="226"/>
        <v/>
      </c>
      <c r="AK1103" s="9" t="str">
        <f t="shared" si="227"/>
        <v/>
      </c>
      <c r="AL1103" s="9" t="str">
        <f t="shared" si="228"/>
        <v/>
      </c>
      <c r="AM1103" s="9" t="str">
        <f t="shared" si="229"/>
        <v/>
      </c>
      <c r="AN1103" s="9" t="str">
        <f t="shared" si="230"/>
        <v/>
      </c>
      <c r="AO1103" s="9" t="str">
        <f t="shared" si="231"/>
        <v/>
      </c>
      <c r="AP1103" s="9" t="str">
        <f t="shared" si="232"/>
        <v/>
      </c>
      <c r="AQ1103" s="10" t="str">
        <f t="shared" si="233"/>
        <v/>
      </c>
    </row>
    <row r="1104" spans="1:43">
      <c r="A1104">
        <v>1103</v>
      </c>
      <c r="B1104" t="s">
        <v>17</v>
      </c>
      <c r="C1104" t="s">
        <v>1481</v>
      </c>
      <c r="D1104" t="s">
        <v>1482</v>
      </c>
      <c r="E1104" t="s">
        <v>97</v>
      </c>
      <c r="G1104" t="s">
        <v>18</v>
      </c>
      <c r="H1104" s="4">
        <v>5643000</v>
      </c>
      <c r="I1104" s="5">
        <v>16</v>
      </c>
      <c r="J1104" s="5">
        <v>0</v>
      </c>
      <c r="K1104" s="5">
        <v>4</v>
      </c>
      <c r="L1104">
        <v>1</v>
      </c>
      <c r="M1104">
        <v>3.5</v>
      </c>
      <c r="N1104">
        <v>3.92</v>
      </c>
      <c r="O1104" s="6">
        <v>15.6</v>
      </c>
      <c r="P1104" s="7">
        <v>2.2000000000000002</v>
      </c>
      <c r="U1104" t="s">
        <v>84</v>
      </c>
      <c r="V1104" t="s">
        <v>561</v>
      </c>
      <c r="W1104">
        <v>1.5</v>
      </c>
      <c r="X1104" t="s">
        <v>84</v>
      </c>
      <c r="Y1104" t="s">
        <v>187</v>
      </c>
      <c r="Z1104" t="s">
        <v>562</v>
      </c>
      <c r="AA1104" t="s">
        <v>114</v>
      </c>
      <c r="AB1104" t="s">
        <v>563</v>
      </c>
      <c r="AC1104">
        <v>209</v>
      </c>
      <c r="AD1104" s="8" t="b">
        <f>AND(
 H1104&gt;=Filters!$B$3,
 H1104&lt;=Filters!$B$4,
 I1104&gt;=Filters!$B$5,
 OR(Filters!$B$6="All",B1104=Filters!$B$6),
 F1104&gt;=Filters!$B$7,
 F1104&lt;=Filters!$B$8,
 OR(Filters!$B$9="All",G1104=Filters!$B$9)
)</f>
        <v>0</v>
      </c>
      <c r="AE1104">
        <f t="shared" si="221"/>
        <v>6</v>
      </c>
      <c r="AF1104">
        <f t="shared" si="222"/>
        <v>7</v>
      </c>
      <c r="AG1104">
        <f t="shared" si="223"/>
        <v>7</v>
      </c>
      <c r="AH1104" s="9" t="str">
        <f t="shared" si="224"/>
        <v/>
      </c>
      <c r="AI1104" s="9" t="str">
        <f t="shared" si="225"/>
        <v/>
      </c>
      <c r="AJ1104" s="9" t="str">
        <f t="shared" si="226"/>
        <v/>
      </c>
      <c r="AK1104" s="9" t="str">
        <f t="shared" si="227"/>
        <v/>
      </c>
      <c r="AL1104" s="9" t="str">
        <f t="shared" si="228"/>
        <v/>
      </c>
      <c r="AM1104" s="9" t="str">
        <f t="shared" si="229"/>
        <v/>
      </c>
      <c r="AN1104" s="9" t="str">
        <f t="shared" si="230"/>
        <v/>
      </c>
      <c r="AO1104" s="9" t="str">
        <f t="shared" si="231"/>
        <v/>
      </c>
      <c r="AP1104" s="9" t="str">
        <f t="shared" si="232"/>
        <v/>
      </c>
      <c r="AQ1104" s="10" t="str">
        <f t="shared" si="233"/>
        <v/>
      </c>
    </row>
    <row r="1105" spans="1:43">
      <c r="A1105">
        <v>1104</v>
      </c>
      <c r="B1105" t="s">
        <v>26</v>
      </c>
      <c r="C1105" t="s">
        <v>917</v>
      </c>
      <c r="D1105" t="s">
        <v>918</v>
      </c>
      <c r="E1105" t="s">
        <v>468</v>
      </c>
      <c r="G1105" t="s">
        <v>18</v>
      </c>
      <c r="H1105" s="4">
        <v>78273000</v>
      </c>
      <c r="I1105" s="5">
        <v>0</v>
      </c>
      <c r="J1105" s="5">
        <v>1024</v>
      </c>
      <c r="K1105" s="5">
        <v>8</v>
      </c>
      <c r="L1105">
        <v>9.1999999999999993</v>
      </c>
      <c r="M1105">
        <v>6.5</v>
      </c>
      <c r="N1105">
        <v>6.24</v>
      </c>
      <c r="O1105" s="6">
        <v>17.3</v>
      </c>
      <c r="P1105" s="7">
        <v>3</v>
      </c>
      <c r="U1105" t="s">
        <v>84</v>
      </c>
      <c r="V1105" t="s">
        <v>808</v>
      </c>
      <c r="W1105">
        <v>2.6</v>
      </c>
      <c r="X1105" t="s">
        <v>104</v>
      </c>
      <c r="Y1105" t="s">
        <v>1483</v>
      </c>
      <c r="Z1105" t="s">
        <v>146</v>
      </c>
      <c r="AA1105" t="s">
        <v>128</v>
      </c>
      <c r="AB1105" t="s">
        <v>869</v>
      </c>
      <c r="AC1105">
        <v>2899</v>
      </c>
      <c r="AD1105" s="8" t="b">
        <f>AND(
 H1105&gt;=Filters!$B$3,
 H1105&lt;=Filters!$B$4,
 I1105&gt;=Filters!$B$5,
 OR(Filters!$B$6="All",B1105=Filters!$B$6),
 F1105&gt;=Filters!$B$7,
 F1105&lt;=Filters!$B$8,
 OR(Filters!$B$9="All",G1105=Filters!$B$9)
)</f>
        <v>0</v>
      </c>
      <c r="AE1105">
        <f t="shared" si="221"/>
        <v>6</v>
      </c>
      <c r="AF1105">
        <f t="shared" si="222"/>
        <v>7</v>
      </c>
      <c r="AG1105">
        <f t="shared" si="223"/>
        <v>7</v>
      </c>
      <c r="AH1105" s="9" t="str">
        <f t="shared" si="224"/>
        <v/>
      </c>
      <c r="AI1105" s="9" t="str">
        <f t="shared" si="225"/>
        <v/>
      </c>
      <c r="AJ1105" s="9" t="str">
        <f t="shared" si="226"/>
        <v/>
      </c>
      <c r="AK1105" s="9" t="str">
        <f t="shared" si="227"/>
        <v/>
      </c>
      <c r="AL1105" s="9" t="str">
        <f t="shared" si="228"/>
        <v/>
      </c>
      <c r="AM1105" s="9" t="str">
        <f t="shared" si="229"/>
        <v/>
      </c>
      <c r="AN1105" s="9" t="str">
        <f t="shared" si="230"/>
        <v/>
      </c>
      <c r="AO1105" s="9" t="str">
        <f t="shared" si="231"/>
        <v/>
      </c>
      <c r="AP1105" s="9" t="str">
        <f t="shared" si="232"/>
        <v/>
      </c>
      <c r="AQ1105" s="10" t="str">
        <f t="shared" si="233"/>
        <v/>
      </c>
    </row>
    <row r="1106" spans="1:43">
      <c r="A1106">
        <v>1105</v>
      </c>
      <c r="B1106" t="s">
        <v>29</v>
      </c>
      <c r="C1106" t="s">
        <v>156</v>
      </c>
      <c r="D1106" t="s">
        <v>157</v>
      </c>
      <c r="E1106" t="s">
        <v>158</v>
      </c>
      <c r="G1106" t="s">
        <v>18</v>
      </c>
      <c r="H1106" s="4">
        <v>32373000</v>
      </c>
      <c r="I1106" s="5">
        <v>512</v>
      </c>
      <c r="J1106" s="5">
        <v>0</v>
      </c>
      <c r="K1106" s="5">
        <v>16</v>
      </c>
      <c r="L1106">
        <v>9.6</v>
      </c>
      <c r="M1106">
        <v>9.1999999999999993</v>
      </c>
      <c r="N1106">
        <v>5.92</v>
      </c>
      <c r="O1106" s="6">
        <v>15.6</v>
      </c>
      <c r="P1106" s="7">
        <v>2.4</v>
      </c>
      <c r="U1106" t="s">
        <v>84</v>
      </c>
      <c r="V1106" t="s">
        <v>210</v>
      </c>
      <c r="W1106">
        <v>2.8</v>
      </c>
      <c r="X1106" t="s">
        <v>122</v>
      </c>
      <c r="Y1106" t="s">
        <v>260</v>
      </c>
      <c r="Z1106" t="s">
        <v>106</v>
      </c>
      <c r="AA1106" t="s">
        <v>101</v>
      </c>
      <c r="AB1106" t="s">
        <v>115</v>
      </c>
      <c r="AC1106">
        <v>1199</v>
      </c>
      <c r="AD1106" s="8" t="b">
        <f>AND(
 H1106&gt;=Filters!$B$3,
 H1106&lt;=Filters!$B$4,
 I1106&gt;=Filters!$B$5,
 OR(Filters!$B$6="All",B1106=Filters!$B$6),
 F1106&gt;=Filters!$B$7,
 F1106&lt;=Filters!$B$8,
 OR(Filters!$B$9="All",G1106=Filters!$B$9)
)</f>
        <v>0</v>
      </c>
      <c r="AE1106">
        <f t="shared" si="221"/>
        <v>6</v>
      </c>
      <c r="AF1106">
        <f t="shared" si="222"/>
        <v>7</v>
      </c>
      <c r="AG1106">
        <f t="shared" si="223"/>
        <v>7</v>
      </c>
      <c r="AH1106" s="9" t="str">
        <f t="shared" si="224"/>
        <v/>
      </c>
      <c r="AI1106" s="9" t="str">
        <f t="shared" si="225"/>
        <v/>
      </c>
      <c r="AJ1106" s="9" t="str">
        <f t="shared" si="226"/>
        <v/>
      </c>
      <c r="AK1106" s="9" t="str">
        <f t="shared" si="227"/>
        <v/>
      </c>
      <c r="AL1106" s="9" t="str">
        <f t="shared" si="228"/>
        <v/>
      </c>
      <c r="AM1106" s="9" t="str">
        <f t="shared" si="229"/>
        <v/>
      </c>
      <c r="AN1106" s="9" t="str">
        <f t="shared" si="230"/>
        <v/>
      </c>
      <c r="AO1106" s="9" t="str">
        <f t="shared" si="231"/>
        <v/>
      </c>
      <c r="AP1106" s="9" t="str">
        <f t="shared" si="232"/>
        <v/>
      </c>
      <c r="AQ1106" s="10" t="str">
        <f t="shared" si="233"/>
        <v/>
      </c>
    </row>
    <row r="1107" spans="1:43">
      <c r="A1107">
        <v>1106</v>
      </c>
      <c r="B1107" t="s">
        <v>23</v>
      </c>
      <c r="C1107" t="s">
        <v>1479</v>
      </c>
      <c r="D1107" t="s">
        <v>1480</v>
      </c>
      <c r="E1107" t="s">
        <v>83</v>
      </c>
      <c r="G1107" t="s">
        <v>18</v>
      </c>
      <c r="H1107" s="4">
        <v>38153700</v>
      </c>
      <c r="I1107" s="5">
        <v>256</v>
      </c>
      <c r="J1107" s="5">
        <v>0</v>
      </c>
      <c r="K1107" s="5">
        <v>8</v>
      </c>
      <c r="L1107">
        <v>6.6</v>
      </c>
      <c r="M1107">
        <v>3.5</v>
      </c>
      <c r="N1107">
        <v>3.92</v>
      </c>
      <c r="O1107" s="6">
        <v>12.5</v>
      </c>
      <c r="P1107" s="7">
        <v>1.5</v>
      </c>
      <c r="U1107" t="s">
        <v>84</v>
      </c>
      <c r="V1107" t="s">
        <v>375</v>
      </c>
      <c r="W1107">
        <v>2.2999999999999998</v>
      </c>
      <c r="X1107" t="s">
        <v>84</v>
      </c>
      <c r="Y1107" t="s">
        <v>130</v>
      </c>
      <c r="Z1107" t="s">
        <v>100</v>
      </c>
      <c r="AA1107" t="s">
        <v>114</v>
      </c>
      <c r="AB1107" t="s">
        <v>869</v>
      </c>
      <c r="AC1107">
        <v>1413.1</v>
      </c>
      <c r="AD1107" s="8" t="b">
        <f>AND(
 H1107&gt;=Filters!$B$3,
 H1107&lt;=Filters!$B$4,
 I1107&gt;=Filters!$B$5,
 OR(Filters!$B$6="All",B1107=Filters!$B$6),
 F1107&gt;=Filters!$B$7,
 F1107&lt;=Filters!$B$8,
 OR(Filters!$B$9="All",G1107=Filters!$B$9)
)</f>
        <v>0</v>
      </c>
      <c r="AE1107">
        <f t="shared" si="221"/>
        <v>6</v>
      </c>
      <c r="AF1107">
        <f t="shared" si="222"/>
        <v>7</v>
      </c>
      <c r="AG1107">
        <f t="shared" si="223"/>
        <v>7</v>
      </c>
      <c r="AH1107" s="9" t="str">
        <f t="shared" si="224"/>
        <v/>
      </c>
      <c r="AI1107" s="9" t="str">
        <f t="shared" si="225"/>
        <v/>
      </c>
      <c r="AJ1107" s="9" t="str">
        <f t="shared" si="226"/>
        <v/>
      </c>
      <c r="AK1107" s="9" t="str">
        <f t="shared" si="227"/>
        <v/>
      </c>
      <c r="AL1107" s="9" t="str">
        <f t="shared" si="228"/>
        <v/>
      </c>
      <c r="AM1107" s="9" t="str">
        <f t="shared" si="229"/>
        <v/>
      </c>
      <c r="AN1107" s="9" t="str">
        <f t="shared" si="230"/>
        <v/>
      </c>
      <c r="AO1107" s="9" t="str">
        <f t="shared" si="231"/>
        <v/>
      </c>
      <c r="AP1107" s="9" t="str">
        <f t="shared" si="232"/>
        <v/>
      </c>
      <c r="AQ1107" s="10" t="str">
        <f t="shared" si="233"/>
        <v/>
      </c>
    </row>
    <row r="1108" spans="1:43">
      <c r="A1108">
        <v>1107</v>
      </c>
      <c r="B1108" t="s">
        <v>30</v>
      </c>
      <c r="C1108" t="s">
        <v>1484</v>
      </c>
      <c r="D1108" t="s">
        <v>1485</v>
      </c>
      <c r="E1108" t="s">
        <v>158</v>
      </c>
      <c r="G1108" t="s">
        <v>18</v>
      </c>
      <c r="H1108" s="4">
        <v>40802130</v>
      </c>
      <c r="I1108" s="5">
        <v>128</v>
      </c>
      <c r="J1108" s="5">
        <v>1024</v>
      </c>
      <c r="K1108" s="5">
        <v>8</v>
      </c>
      <c r="L1108">
        <v>9.1999999999999993</v>
      </c>
      <c r="M1108">
        <v>9.1999999999999993</v>
      </c>
      <c r="N1108">
        <v>5.83</v>
      </c>
      <c r="O1108" s="6">
        <v>17.3</v>
      </c>
      <c r="P1108" s="7">
        <v>2.9</v>
      </c>
      <c r="U1108" t="s">
        <v>84</v>
      </c>
      <c r="V1108" t="s">
        <v>808</v>
      </c>
      <c r="W1108">
        <v>2.6</v>
      </c>
      <c r="X1108" t="s">
        <v>122</v>
      </c>
      <c r="Y1108" t="s">
        <v>874</v>
      </c>
      <c r="Z1108" t="s">
        <v>161</v>
      </c>
      <c r="AA1108" t="s">
        <v>101</v>
      </c>
      <c r="AB1108" t="s">
        <v>115</v>
      </c>
      <c r="AC1108">
        <v>1511.19</v>
      </c>
      <c r="AD1108" s="8" t="b">
        <f>AND(
 H1108&gt;=Filters!$B$3,
 H1108&lt;=Filters!$B$4,
 I1108&gt;=Filters!$B$5,
 OR(Filters!$B$6="All",B1108=Filters!$B$6),
 F1108&gt;=Filters!$B$7,
 F1108&lt;=Filters!$B$8,
 OR(Filters!$B$9="All",G1108=Filters!$B$9)
)</f>
        <v>0</v>
      </c>
      <c r="AE1108">
        <f t="shared" si="221"/>
        <v>6</v>
      </c>
      <c r="AF1108">
        <f t="shared" si="222"/>
        <v>7</v>
      </c>
      <c r="AG1108">
        <f t="shared" si="223"/>
        <v>7</v>
      </c>
      <c r="AH1108" s="9" t="str">
        <f t="shared" si="224"/>
        <v/>
      </c>
      <c r="AI1108" s="9" t="str">
        <f t="shared" si="225"/>
        <v/>
      </c>
      <c r="AJ1108" s="9" t="str">
        <f t="shared" si="226"/>
        <v/>
      </c>
      <c r="AK1108" s="9" t="str">
        <f t="shared" si="227"/>
        <v/>
      </c>
      <c r="AL1108" s="9" t="str">
        <f t="shared" si="228"/>
        <v/>
      </c>
      <c r="AM1108" s="9" t="str">
        <f t="shared" si="229"/>
        <v/>
      </c>
      <c r="AN1108" s="9" t="str">
        <f t="shared" si="230"/>
        <v/>
      </c>
      <c r="AO1108" s="9" t="str">
        <f t="shared" si="231"/>
        <v/>
      </c>
      <c r="AP1108" s="9" t="str">
        <f t="shared" si="232"/>
        <v/>
      </c>
      <c r="AQ1108" s="10" t="str">
        <f t="shared" si="233"/>
        <v/>
      </c>
    </row>
    <row r="1109" spans="1:43">
      <c r="A1109">
        <v>1108</v>
      </c>
      <c r="B1109" t="s">
        <v>29</v>
      </c>
      <c r="C1109" t="s">
        <v>1413</v>
      </c>
      <c r="D1109" t="s">
        <v>1414</v>
      </c>
      <c r="E1109" t="s">
        <v>168</v>
      </c>
      <c r="G1109" t="s">
        <v>18</v>
      </c>
      <c r="H1109" s="4">
        <v>23409000</v>
      </c>
      <c r="I1109" s="5">
        <v>256</v>
      </c>
      <c r="J1109" s="5">
        <v>0</v>
      </c>
      <c r="K1109" s="5">
        <v>4</v>
      </c>
      <c r="L1109">
        <v>6.6</v>
      </c>
      <c r="M1109">
        <v>3.5</v>
      </c>
      <c r="N1109">
        <v>6.62</v>
      </c>
      <c r="O1109" s="6">
        <v>15.6</v>
      </c>
      <c r="P1109" s="7">
        <v>2.1</v>
      </c>
      <c r="U1109" t="s">
        <v>84</v>
      </c>
      <c r="V1109" t="s">
        <v>375</v>
      </c>
      <c r="W1109">
        <v>2.2999999999999998</v>
      </c>
      <c r="X1109" t="s">
        <v>84</v>
      </c>
      <c r="Y1109" t="s">
        <v>130</v>
      </c>
      <c r="Z1109" t="s">
        <v>100</v>
      </c>
      <c r="AA1109" t="s">
        <v>149</v>
      </c>
      <c r="AB1109" t="s">
        <v>115</v>
      </c>
      <c r="AC1109">
        <v>867</v>
      </c>
      <c r="AD1109" s="8" t="b">
        <f>AND(
 H1109&gt;=Filters!$B$3,
 H1109&lt;=Filters!$B$4,
 I1109&gt;=Filters!$B$5,
 OR(Filters!$B$6="All",B1109=Filters!$B$6),
 F1109&gt;=Filters!$B$7,
 F1109&lt;=Filters!$B$8,
 OR(Filters!$B$9="All",G1109=Filters!$B$9)
)</f>
        <v>1</v>
      </c>
      <c r="AE1109">
        <f t="shared" si="221"/>
        <v>6</v>
      </c>
      <c r="AF1109">
        <f t="shared" si="222"/>
        <v>7</v>
      </c>
      <c r="AG1109">
        <f t="shared" si="223"/>
        <v>7</v>
      </c>
      <c r="AH1109" s="9">
        <f t="shared" si="224"/>
        <v>0.64285714285714279</v>
      </c>
      <c r="AI1109" s="9">
        <f t="shared" si="225"/>
        <v>0.33333333333333331</v>
      </c>
      <c r="AJ1109" s="9">
        <f t="shared" si="226"/>
        <v>0.27380952380952378</v>
      </c>
      <c r="AK1109" s="9">
        <f t="shared" si="227"/>
        <v>0.64523809523809517</v>
      </c>
      <c r="AL1109" s="9">
        <f t="shared" si="228"/>
        <v>0.89285714285714279</v>
      </c>
      <c r="AM1109" s="9">
        <f t="shared" si="229"/>
        <v>0.5714285714285714</v>
      </c>
      <c r="AN1109" s="9">
        <f t="shared" si="230"/>
        <v>0.69047619047619047</v>
      </c>
      <c r="AO1109" s="9">
        <f t="shared" si="231"/>
        <v>0.69047619047619047</v>
      </c>
      <c r="AP1109" s="9">
        <f t="shared" si="232"/>
        <v>0.57792503420312746</v>
      </c>
      <c r="AQ1109" s="10">
        <f t="shared" si="233"/>
        <v>0.57792614320312752</v>
      </c>
    </row>
    <row r="1110" spans="1:43">
      <c r="A1110">
        <v>1109</v>
      </c>
      <c r="B1110" t="s">
        <v>26</v>
      </c>
      <c r="C1110" t="s">
        <v>1486</v>
      </c>
      <c r="D1110" t="s">
        <v>1487</v>
      </c>
      <c r="E1110" t="s">
        <v>97</v>
      </c>
      <c r="G1110" t="s">
        <v>18</v>
      </c>
      <c r="H1110" s="4">
        <v>10746000</v>
      </c>
      <c r="I1110" s="5">
        <v>0</v>
      </c>
      <c r="J1110" s="5">
        <v>1024</v>
      </c>
      <c r="K1110" s="5">
        <v>4</v>
      </c>
      <c r="L1110">
        <v>6</v>
      </c>
      <c r="M1110">
        <v>6.5</v>
      </c>
      <c r="N1110">
        <v>5.92</v>
      </c>
      <c r="O1110" s="6">
        <v>15.6</v>
      </c>
      <c r="P1110" s="7">
        <v>2.1</v>
      </c>
      <c r="U1110" t="s">
        <v>104</v>
      </c>
      <c r="V1110" t="s">
        <v>194</v>
      </c>
      <c r="W1110">
        <v>2.5</v>
      </c>
      <c r="X1110" t="s">
        <v>104</v>
      </c>
      <c r="Y1110" t="s">
        <v>764</v>
      </c>
      <c r="Z1110" t="s">
        <v>146</v>
      </c>
      <c r="AA1110" t="s">
        <v>101</v>
      </c>
      <c r="AB1110" t="s">
        <v>115</v>
      </c>
      <c r="AC1110">
        <v>398</v>
      </c>
      <c r="AD1110" s="8" t="b">
        <f>AND(
 H1110&gt;=Filters!$B$3,
 H1110&lt;=Filters!$B$4,
 I1110&gt;=Filters!$B$5,
 OR(Filters!$B$6="All",B1110=Filters!$B$6),
 F1110&gt;=Filters!$B$7,
 F1110&lt;=Filters!$B$8,
 OR(Filters!$B$9="All",G1110=Filters!$B$9)
)</f>
        <v>0</v>
      </c>
      <c r="AE1110">
        <f t="shared" si="221"/>
        <v>6</v>
      </c>
      <c r="AF1110">
        <f t="shared" si="222"/>
        <v>7</v>
      </c>
      <c r="AG1110">
        <f t="shared" si="223"/>
        <v>7</v>
      </c>
      <c r="AH1110" s="9" t="str">
        <f t="shared" si="224"/>
        <v/>
      </c>
      <c r="AI1110" s="9" t="str">
        <f t="shared" si="225"/>
        <v/>
      </c>
      <c r="AJ1110" s="9" t="str">
        <f t="shared" si="226"/>
        <v/>
      </c>
      <c r="AK1110" s="9" t="str">
        <f t="shared" si="227"/>
        <v/>
      </c>
      <c r="AL1110" s="9" t="str">
        <f t="shared" si="228"/>
        <v/>
      </c>
      <c r="AM1110" s="9" t="str">
        <f t="shared" si="229"/>
        <v/>
      </c>
      <c r="AN1110" s="9" t="str">
        <f t="shared" si="230"/>
        <v/>
      </c>
      <c r="AO1110" s="9" t="str">
        <f t="shared" si="231"/>
        <v/>
      </c>
      <c r="AP1110" s="9" t="str">
        <f t="shared" si="232"/>
        <v/>
      </c>
      <c r="AQ1110" s="10" t="str">
        <f t="shared" si="233"/>
        <v/>
      </c>
    </row>
    <row r="1111" spans="1:43">
      <c r="A1111">
        <v>1110</v>
      </c>
      <c r="B1111" t="s">
        <v>21</v>
      </c>
      <c r="C1111" t="s">
        <v>1488</v>
      </c>
      <c r="D1111" t="s">
        <v>1489</v>
      </c>
      <c r="E1111" t="s">
        <v>158</v>
      </c>
      <c r="G1111" t="s">
        <v>18</v>
      </c>
      <c r="H1111" s="4">
        <v>36153000</v>
      </c>
      <c r="I1111" s="5">
        <v>128</v>
      </c>
      <c r="J1111" s="5">
        <v>1024</v>
      </c>
      <c r="K1111" s="5">
        <v>16</v>
      </c>
      <c r="L1111">
        <v>9.1999999999999993</v>
      </c>
      <c r="M1111">
        <v>9.1999999999999993</v>
      </c>
      <c r="N1111">
        <v>6.32</v>
      </c>
      <c r="O1111" s="6">
        <v>15.6</v>
      </c>
      <c r="P1111" s="7">
        <v>2.59</v>
      </c>
      <c r="U1111" t="s">
        <v>84</v>
      </c>
      <c r="V1111" t="s">
        <v>808</v>
      </c>
      <c r="W1111">
        <v>2.6</v>
      </c>
      <c r="X1111" t="s">
        <v>122</v>
      </c>
      <c r="Y1111" t="s">
        <v>874</v>
      </c>
      <c r="Z1111" t="s">
        <v>161</v>
      </c>
      <c r="AA1111" t="s">
        <v>128</v>
      </c>
      <c r="AB1111" t="s">
        <v>115</v>
      </c>
      <c r="AC1111">
        <v>1339</v>
      </c>
      <c r="AD1111" s="8" t="b">
        <f>AND(
 H1111&gt;=Filters!$B$3,
 H1111&lt;=Filters!$B$4,
 I1111&gt;=Filters!$B$5,
 OR(Filters!$B$6="All",B1111=Filters!$B$6),
 F1111&gt;=Filters!$B$7,
 F1111&lt;=Filters!$B$8,
 OR(Filters!$B$9="All",G1111=Filters!$B$9)
)</f>
        <v>0</v>
      </c>
      <c r="AE1111">
        <f t="shared" si="221"/>
        <v>6</v>
      </c>
      <c r="AF1111">
        <f t="shared" si="222"/>
        <v>7</v>
      </c>
      <c r="AG1111">
        <f t="shared" si="223"/>
        <v>7</v>
      </c>
      <c r="AH1111" s="9" t="str">
        <f t="shared" si="224"/>
        <v/>
      </c>
      <c r="AI1111" s="9" t="str">
        <f t="shared" si="225"/>
        <v/>
      </c>
      <c r="AJ1111" s="9" t="str">
        <f t="shared" si="226"/>
        <v/>
      </c>
      <c r="AK1111" s="9" t="str">
        <f t="shared" si="227"/>
        <v/>
      </c>
      <c r="AL1111" s="9" t="str">
        <f t="shared" si="228"/>
        <v/>
      </c>
      <c r="AM1111" s="9" t="str">
        <f t="shared" si="229"/>
        <v/>
      </c>
      <c r="AN1111" s="9" t="str">
        <f t="shared" si="230"/>
        <v/>
      </c>
      <c r="AO1111" s="9" t="str">
        <f t="shared" si="231"/>
        <v/>
      </c>
      <c r="AP1111" s="9" t="str">
        <f t="shared" si="232"/>
        <v/>
      </c>
      <c r="AQ1111" s="10" t="str">
        <f t="shared" si="233"/>
        <v/>
      </c>
    </row>
    <row r="1112" spans="1:43">
      <c r="A1112">
        <v>1111</v>
      </c>
      <c r="B1112" t="s">
        <v>26</v>
      </c>
      <c r="C1112" t="s">
        <v>1490</v>
      </c>
      <c r="D1112" t="s">
        <v>908</v>
      </c>
      <c r="E1112" t="s">
        <v>97</v>
      </c>
      <c r="G1112" t="s">
        <v>18</v>
      </c>
      <c r="H1112" s="4">
        <v>45873000</v>
      </c>
      <c r="I1112" s="5">
        <v>256</v>
      </c>
      <c r="J1112" s="5">
        <v>0</v>
      </c>
      <c r="K1112" s="5">
        <v>8</v>
      </c>
      <c r="L1112">
        <v>3.2</v>
      </c>
      <c r="M1112">
        <v>3.5</v>
      </c>
      <c r="N1112">
        <v>8.4600000000000009</v>
      </c>
      <c r="O1112" s="6">
        <v>13.3</v>
      </c>
      <c r="P1112" s="7">
        <v>1.1599999999999999</v>
      </c>
      <c r="U1112" t="s">
        <v>84</v>
      </c>
      <c r="V1112" t="s">
        <v>1491</v>
      </c>
      <c r="W1112">
        <v>1.1000000000000001</v>
      </c>
      <c r="X1112" t="s">
        <v>84</v>
      </c>
      <c r="Y1112" t="s">
        <v>381</v>
      </c>
      <c r="Z1112" t="s">
        <v>100</v>
      </c>
      <c r="AA1112" t="s">
        <v>333</v>
      </c>
      <c r="AB1112" t="s">
        <v>115</v>
      </c>
      <c r="AC1112">
        <v>1699</v>
      </c>
      <c r="AD1112" s="8" t="b">
        <f>AND(
 H1112&gt;=Filters!$B$3,
 H1112&lt;=Filters!$B$4,
 I1112&gt;=Filters!$B$5,
 OR(Filters!$B$6="All",B1112=Filters!$B$6),
 F1112&gt;=Filters!$B$7,
 F1112&lt;=Filters!$B$8,
 OR(Filters!$B$9="All",G1112=Filters!$B$9)
)</f>
        <v>0</v>
      </c>
      <c r="AE1112">
        <f t="shared" si="221"/>
        <v>6</v>
      </c>
      <c r="AF1112">
        <f t="shared" si="222"/>
        <v>7</v>
      </c>
      <c r="AG1112">
        <f t="shared" si="223"/>
        <v>7</v>
      </c>
      <c r="AH1112" s="9" t="str">
        <f t="shared" si="224"/>
        <v/>
      </c>
      <c r="AI1112" s="9" t="str">
        <f t="shared" si="225"/>
        <v/>
      </c>
      <c r="AJ1112" s="9" t="str">
        <f t="shared" si="226"/>
        <v/>
      </c>
      <c r="AK1112" s="9" t="str">
        <f t="shared" si="227"/>
        <v/>
      </c>
      <c r="AL1112" s="9" t="str">
        <f t="shared" si="228"/>
        <v/>
      </c>
      <c r="AM1112" s="9" t="str">
        <f t="shared" si="229"/>
        <v/>
      </c>
      <c r="AN1112" s="9" t="str">
        <f t="shared" si="230"/>
        <v/>
      </c>
      <c r="AO1112" s="9" t="str">
        <f t="shared" si="231"/>
        <v/>
      </c>
      <c r="AP1112" s="9" t="str">
        <f t="shared" si="232"/>
        <v/>
      </c>
      <c r="AQ1112" s="10" t="str">
        <f t="shared" si="233"/>
        <v/>
      </c>
    </row>
    <row r="1113" spans="1:43">
      <c r="A1113">
        <v>1112</v>
      </c>
      <c r="B1113" t="s">
        <v>23</v>
      </c>
      <c r="C1113" t="s">
        <v>1492</v>
      </c>
      <c r="D1113" t="s">
        <v>1493</v>
      </c>
      <c r="E1113" t="s">
        <v>97</v>
      </c>
      <c r="G1113" t="s">
        <v>18</v>
      </c>
      <c r="H1113" s="4">
        <v>20767050</v>
      </c>
      <c r="I1113" s="5">
        <v>0</v>
      </c>
      <c r="J1113" s="5">
        <v>500</v>
      </c>
      <c r="K1113" s="5">
        <v>4</v>
      </c>
      <c r="L1113">
        <v>6.6</v>
      </c>
      <c r="M1113">
        <v>6.5</v>
      </c>
      <c r="N1113">
        <v>3.92</v>
      </c>
      <c r="O1113" s="6">
        <v>15.6</v>
      </c>
      <c r="P1113" s="7">
        <v>2.2400000000000002</v>
      </c>
      <c r="U1113" t="s">
        <v>84</v>
      </c>
      <c r="V1113" t="s">
        <v>375</v>
      </c>
      <c r="W1113">
        <v>2.2999999999999998</v>
      </c>
      <c r="X1113" t="s">
        <v>104</v>
      </c>
      <c r="Y1113" t="s">
        <v>1494</v>
      </c>
      <c r="Z1113" t="s">
        <v>113</v>
      </c>
      <c r="AA1113" t="s">
        <v>114</v>
      </c>
      <c r="AB1113" t="s">
        <v>869</v>
      </c>
      <c r="AC1113">
        <v>769.15</v>
      </c>
      <c r="AD1113" s="8" t="b">
        <f>AND(
 H1113&gt;=Filters!$B$3,
 H1113&lt;=Filters!$B$4,
 I1113&gt;=Filters!$B$5,
 OR(Filters!$B$6="All",B1113=Filters!$B$6),
 F1113&gt;=Filters!$B$7,
 F1113&lt;=Filters!$B$8,
 OR(Filters!$B$9="All",G1113=Filters!$B$9)
)</f>
        <v>0</v>
      </c>
      <c r="AE1113">
        <f t="shared" si="221"/>
        <v>6</v>
      </c>
      <c r="AF1113">
        <f t="shared" si="222"/>
        <v>7</v>
      </c>
      <c r="AG1113">
        <f t="shared" si="223"/>
        <v>7</v>
      </c>
      <c r="AH1113" s="9" t="str">
        <f t="shared" si="224"/>
        <v/>
      </c>
      <c r="AI1113" s="9" t="str">
        <f t="shared" si="225"/>
        <v/>
      </c>
      <c r="AJ1113" s="9" t="str">
        <f t="shared" si="226"/>
        <v/>
      </c>
      <c r="AK1113" s="9" t="str">
        <f t="shared" si="227"/>
        <v/>
      </c>
      <c r="AL1113" s="9" t="str">
        <f t="shared" si="228"/>
        <v/>
      </c>
      <c r="AM1113" s="9" t="str">
        <f t="shared" si="229"/>
        <v/>
      </c>
      <c r="AN1113" s="9" t="str">
        <f t="shared" si="230"/>
        <v/>
      </c>
      <c r="AO1113" s="9" t="str">
        <f t="shared" si="231"/>
        <v/>
      </c>
      <c r="AP1113" s="9" t="str">
        <f t="shared" si="232"/>
        <v/>
      </c>
      <c r="AQ1113" s="10" t="str">
        <f t="shared" si="233"/>
        <v/>
      </c>
    </row>
    <row r="1114" spans="1:43">
      <c r="A1114">
        <v>1113</v>
      </c>
      <c r="B1114" t="s">
        <v>29</v>
      </c>
      <c r="C1114" t="s">
        <v>1495</v>
      </c>
      <c r="D1114" t="s">
        <v>1496</v>
      </c>
      <c r="E1114" t="s">
        <v>97</v>
      </c>
      <c r="G1114" t="s">
        <v>18</v>
      </c>
      <c r="H1114" s="4">
        <v>11583000</v>
      </c>
      <c r="I1114" s="5">
        <v>128</v>
      </c>
      <c r="J1114" s="5">
        <v>0</v>
      </c>
      <c r="K1114" s="5">
        <v>4</v>
      </c>
      <c r="L1114">
        <v>4</v>
      </c>
      <c r="M1114">
        <v>3.5</v>
      </c>
      <c r="N1114">
        <v>3.92</v>
      </c>
      <c r="O1114" s="6">
        <v>15.6</v>
      </c>
      <c r="P1114" s="7">
        <v>2.1</v>
      </c>
      <c r="U1114" t="s">
        <v>84</v>
      </c>
      <c r="V1114" t="s">
        <v>129</v>
      </c>
      <c r="W1114">
        <v>2</v>
      </c>
      <c r="X1114" t="s">
        <v>84</v>
      </c>
      <c r="Y1114" t="s">
        <v>130</v>
      </c>
      <c r="Z1114" t="s">
        <v>87</v>
      </c>
      <c r="AA1114" t="s">
        <v>114</v>
      </c>
      <c r="AB1114" t="s">
        <v>115</v>
      </c>
      <c r="AC1114">
        <v>429</v>
      </c>
      <c r="AD1114" s="8" t="b">
        <f>AND(
 H1114&gt;=Filters!$B$3,
 H1114&lt;=Filters!$B$4,
 I1114&gt;=Filters!$B$5,
 OR(Filters!$B$6="All",B1114=Filters!$B$6),
 F1114&gt;=Filters!$B$7,
 F1114&lt;=Filters!$B$8,
 OR(Filters!$B$9="All",G1114=Filters!$B$9)
)</f>
        <v>0</v>
      </c>
      <c r="AE1114">
        <f t="shared" si="221"/>
        <v>6</v>
      </c>
      <c r="AF1114">
        <f t="shared" si="222"/>
        <v>7</v>
      </c>
      <c r="AG1114">
        <f t="shared" si="223"/>
        <v>7</v>
      </c>
      <c r="AH1114" s="9" t="str">
        <f t="shared" si="224"/>
        <v/>
      </c>
      <c r="AI1114" s="9" t="str">
        <f t="shared" si="225"/>
        <v/>
      </c>
      <c r="AJ1114" s="9" t="str">
        <f t="shared" si="226"/>
        <v/>
      </c>
      <c r="AK1114" s="9" t="str">
        <f t="shared" si="227"/>
        <v/>
      </c>
      <c r="AL1114" s="9" t="str">
        <f t="shared" si="228"/>
        <v/>
      </c>
      <c r="AM1114" s="9" t="str">
        <f t="shared" si="229"/>
        <v/>
      </c>
      <c r="AN1114" s="9" t="str">
        <f t="shared" si="230"/>
        <v/>
      </c>
      <c r="AO1114" s="9" t="str">
        <f t="shared" si="231"/>
        <v/>
      </c>
      <c r="AP1114" s="9" t="str">
        <f t="shared" si="232"/>
        <v/>
      </c>
      <c r="AQ1114" s="10" t="str">
        <f t="shared" si="233"/>
        <v/>
      </c>
    </row>
    <row r="1115" spans="1:43">
      <c r="A1115">
        <v>1114</v>
      </c>
      <c r="B1115" t="s">
        <v>26</v>
      </c>
      <c r="C1115" t="s">
        <v>1497</v>
      </c>
      <c r="D1115" t="s">
        <v>1498</v>
      </c>
      <c r="E1115" t="s">
        <v>83</v>
      </c>
      <c r="G1115" t="s">
        <v>18</v>
      </c>
      <c r="H1115" s="4">
        <v>53163000</v>
      </c>
      <c r="I1115" s="5">
        <v>512</v>
      </c>
      <c r="J1115" s="5">
        <v>0</v>
      </c>
      <c r="K1115" s="5">
        <v>8</v>
      </c>
      <c r="L1115">
        <v>9</v>
      </c>
      <c r="M1115">
        <v>3.5</v>
      </c>
      <c r="N1115">
        <v>5.96</v>
      </c>
      <c r="O1115" s="6">
        <v>13.3</v>
      </c>
      <c r="P1115" s="7">
        <v>1.1599999999999999</v>
      </c>
      <c r="U1115" t="s">
        <v>84</v>
      </c>
      <c r="V1115" t="s">
        <v>485</v>
      </c>
      <c r="W1115">
        <v>2.5</v>
      </c>
      <c r="X1115" t="s">
        <v>84</v>
      </c>
      <c r="Y1115" t="s">
        <v>130</v>
      </c>
      <c r="Z1115" t="s">
        <v>106</v>
      </c>
      <c r="AA1115" t="s">
        <v>101</v>
      </c>
      <c r="AB1115" t="s">
        <v>115</v>
      </c>
      <c r="AC1115">
        <v>1969</v>
      </c>
      <c r="AD1115" s="8" t="b">
        <f>AND(
 H1115&gt;=Filters!$B$3,
 H1115&lt;=Filters!$B$4,
 I1115&gt;=Filters!$B$5,
 OR(Filters!$B$6="All",B1115=Filters!$B$6),
 F1115&gt;=Filters!$B$7,
 F1115&lt;=Filters!$B$8,
 OR(Filters!$B$9="All",G1115=Filters!$B$9)
)</f>
        <v>0</v>
      </c>
      <c r="AE1115">
        <f t="shared" si="221"/>
        <v>6</v>
      </c>
      <c r="AF1115">
        <f t="shared" si="222"/>
        <v>7</v>
      </c>
      <c r="AG1115">
        <f t="shared" si="223"/>
        <v>7</v>
      </c>
      <c r="AH1115" s="9" t="str">
        <f t="shared" si="224"/>
        <v/>
      </c>
      <c r="AI1115" s="9" t="str">
        <f t="shared" si="225"/>
        <v/>
      </c>
      <c r="AJ1115" s="9" t="str">
        <f t="shared" si="226"/>
        <v/>
      </c>
      <c r="AK1115" s="9" t="str">
        <f t="shared" si="227"/>
        <v/>
      </c>
      <c r="AL1115" s="9" t="str">
        <f t="shared" si="228"/>
        <v/>
      </c>
      <c r="AM1115" s="9" t="str">
        <f t="shared" si="229"/>
        <v/>
      </c>
      <c r="AN1115" s="9" t="str">
        <f t="shared" si="230"/>
        <v/>
      </c>
      <c r="AO1115" s="9" t="str">
        <f t="shared" si="231"/>
        <v/>
      </c>
      <c r="AP1115" s="9" t="str">
        <f t="shared" si="232"/>
        <v/>
      </c>
      <c r="AQ1115" s="10" t="str">
        <f t="shared" si="233"/>
        <v/>
      </c>
    </row>
    <row r="1116" spans="1:43">
      <c r="A1116">
        <v>1115</v>
      </c>
      <c r="B1116" t="s">
        <v>29</v>
      </c>
      <c r="C1116" t="s">
        <v>231</v>
      </c>
      <c r="D1116" t="s">
        <v>232</v>
      </c>
      <c r="E1116" t="s">
        <v>168</v>
      </c>
      <c r="G1116" t="s">
        <v>18</v>
      </c>
      <c r="H1116" s="4">
        <v>14823000</v>
      </c>
      <c r="I1116" s="5">
        <v>64</v>
      </c>
      <c r="J1116" s="5">
        <v>0</v>
      </c>
      <c r="K1116" s="5">
        <v>4</v>
      </c>
      <c r="L1116">
        <v>1</v>
      </c>
      <c r="M1116">
        <v>3.5</v>
      </c>
      <c r="N1116">
        <v>7.5</v>
      </c>
      <c r="O1116" s="6">
        <v>10.1</v>
      </c>
      <c r="P1116" s="7">
        <v>0.69</v>
      </c>
      <c r="U1116" t="s">
        <v>84</v>
      </c>
      <c r="V1116" t="s">
        <v>233</v>
      </c>
      <c r="W1116">
        <v>1.44</v>
      </c>
      <c r="X1116" t="s">
        <v>84</v>
      </c>
      <c r="Y1116" t="s">
        <v>154</v>
      </c>
      <c r="Z1116" t="s">
        <v>188</v>
      </c>
      <c r="AA1116" t="s">
        <v>234</v>
      </c>
      <c r="AB1116" t="s">
        <v>235</v>
      </c>
      <c r="AC1116">
        <v>549</v>
      </c>
      <c r="AD1116" s="8" t="b">
        <f>AND(
 H1116&gt;=Filters!$B$3,
 H1116&lt;=Filters!$B$4,
 I1116&gt;=Filters!$B$5,
 OR(Filters!$B$6="All",B1116=Filters!$B$6),
 F1116&gt;=Filters!$B$7,
 F1116&lt;=Filters!$B$8,
 OR(Filters!$B$9="All",G1116=Filters!$B$9)
)</f>
        <v>0</v>
      </c>
      <c r="AE1116">
        <f t="shared" si="221"/>
        <v>6</v>
      </c>
      <c r="AF1116">
        <f t="shared" si="222"/>
        <v>7</v>
      </c>
      <c r="AG1116">
        <f t="shared" si="223"/>
        <v>7</v>
      </c>
      <c r="AH1116" s="9" t="str">
        <f t="shared" si="224"/>
        <v/>
      </c>
      <c r="AI1116" s="9" t="str">
        <f t="shared" si="225"/>
        <v/>
      </c>
      <c r="AJ1116" s="9" t="str">
        <f t="shared" si="226"/>
        <v/>
      </c>
      <c r="AK1116" s="9" t="str">
        <f t="shared" si="227"/>
        <v/>
      </c>
      <c r="AL1116" s="9" t="str">
        <f t="shared" si="228"/>
        <v/>
      </c>
      <c r="AM1116" s="9" t="str">
        <f t="shared" si="229"/>
        <v/>
      </c>
      <c r="AN1116" s="9" t="str">
        <f t="shared" si="230"/>
        <v/>
      </c>
      <c r="AO1116" s="9" t="str">
        <f t="shared" si="231"/>
        <v/>
      </c>
      <c r="AP1116" s="9" t="str">
        <f t="shared" si="232"/>
        <v/>
      </c>
      <c r="AQ1116" s="10" t="str">
        <f t="shared" si="233"/>
        <v/>
      </c>
    </row>
    <row r="1117" spans="1:43">
      <c r="A1117">
        <v>1116</v>
      </c>
      <c r="B1117" t="s">
        <v>23</v>
      </c>
      <c r="C1117" t="s">
        <v>147</v>
      </c>
      <c r="D1117" t="s">
        <v>148</v>
      </c>
      <c r="E1117" t="s">
        <v>83</v>
      </c>
      <c r="G1117" t="s">
        <v>18</v>
      </c>
      <c r="H1117" s="4">
        <v>37233000</v>
      </c>
      <c r="I1117" s="5">
        <v>256</v>
      </c>
      <c r="J1117" s="5">
        <v>0</v>
      </c>
      <c r="K1117" s="5">
        <v>8</v>
      </c>
      <c r="L1117">
        <v>8.8000000000000007</v>
      </c>
      <c r="M1117">
        <v>4.2</v>
      </c>
      <c r="N1117">
        <v>5.96</v>
      </c>
      <c r="O1117" s="6">
        <v>13.3</v>
      </c>
      <c r="P1117" s="7">
        <v>1.23</v>
      </c>
      <c r="U1117" t="s">
        <v>84</v>
      </c>
      <c r="V1117" t="s">
        <v>332</v>
      </c>
      <c r="W1117">
        <v>2.4</v>
      </c>
      <c r="X1117" t="s">
        <v>84</v>
      </c>
      <c r="Y1117" t="s">
        <v>86</v>
      </c>
      <c r="Z1117" t="s">
        <v>100</v>
      </c>
      <c r="AA1117" t="s">
        <v>101</v>
      </c>
      <c r="AB1117" t="s">
        <v>115</v>
      </c>
      <c r="AC1117">
        <v>1379</v>
      </c>
      <c r="AD1117" s="8" t="b">
        <f>AND(
 H1117&gt;=Filters!$B$3,
 H1117&lt;=Filters!$B$4,
 I1117&gt;=Filters!$B$5,
 OR(Filters!$B$6="All",B1117=Filters!$B$6),
 F1117&gt;=Filters!$B$7,
 F1117&lt;=Filters!$B$8,
 OR(Filters!$B$9="All",G1117=Filters!$B$9)
)</f>
        <v>0</v>
      </c>
      <c r="AE1117">
        <f t="shared" si="221"/>
        <v>6</v>
      </c>
      <c r="AF1117">
        <f t="shared" si="222"/>
        <v>7</v>
      </c>
      <c r="AG1117">
        <f t="shared" si="223"/>
        <v>7</v>
      </c>
      <c r="AH1117" s="9" t="str">
        <f t="shared" si="224"/>
        <v/>
      </c>
      <c r="AI1117" s="9" t="str">
        <f t="shared" si="225"/>
        <v/>
      </c>
      <c r="AJ1117" s="9" t="str">
        <f t="shared" si="226"/>
        <v/>
      </c>
      <c r="AK1117" s="9" t="str">
        <f t="shared" si="227"/>
        <v/>
      </c>
      <c r="AL1117" s="9" t="str">
        <f t="shared" si="228"/>
        <v/>
      </c>
      <c r="AM1117" s="9" t="str">
        <f t="shared" si="229"/>
        <v/>
      </c>
      <c r="AN1117" s="9" t="str">
        <f t="shared" si="230"/>
        <v/>
      </c>
      <c r="AO1117" s="9" t="str">
        <f t="shared" si="231"/>
        <v/>
      </c>
      <c r="AP1117" s="9" t="str">
        <f t="shared" si="232"/>
        <v/>
      </c>
      <c r="AQ1117" s="10" t="str">
        <f t="shared" si="233"/>
        <v/>
      </c>
    </row>
    <row r="1118" spans="1:43">
      <c r="A1118">
        <v>1117</v>
      </c>
      <c r="B1118" t="s">
        <v>29</v>
      </c>
      <c r="C1118" t="s">
        <v>1424</v>
      </c>
      <c r="D1118" t="s">
        <v>1425</v>
      </c>
      <c r="E1118" t="s">
        <v>158</v>
      </c>
      <c r="G1118" t="s">
        <v>18</v>
      </c>
      <c r="H1118" s="4">
        <v>74249730</v>
      </c>
      <c r="I1118" s="5">
        <v>256</v>
      </c>
      <c r="J1118" s="5">
        <v>0</v>
      </c>
      <c r="K1118" s="5">
        <v>16</v>
      </c>
      <c r="L1118">
        <v>9.4</v>
      </c>
      <c r="M1118">
        <v>9.1999999999999993</v>
      </c>
      <c r="N1118">
        <v>6.24</v>
      </c>
      <c r="O1118" s="6">
        <v>17.3</v>
      </c>
      <c r="P1118" s="7">
        <v>4.5999999999999996</v>
      </c>
      <c r="U1118" t="s">
        <v>84</v>
      </c>
      <c r="V1118" t="s">
        <v>932</v>
      </c>
      <c r="W1118">
        <v>2.7</v>
      </c>
      <c r="X1118" t="s">
        <v>122</v>
      </c>
      <c r="Y1118" t="s">
        <v>526</v>
      </c>
      <c r="Z1118" t="s">
        <v>1499</v>
      </c>
      <c r="AA1118" t="s">
        <v>128</v>
      </c>
      <c r="AB1118" t="s">
        <v>115</v>
      </c>
      <c r="AC1118">
        <v>2749.99</v>
      </c>
      <c r="AD1118" s="8" t="b">
        <f>AND(
 H1118&gt;=Filters!$B$3,
 H1118&lt;=Filters!$B$4,
 I1118&gt;=Filters!$B$5,
 OR(Filters!$B$6="All",B1118=Filters!$B$6),
 F1118&gt;=Filters!$B$7,
 F1118&lt;=Filters!$B$8,
 OR(Filters!$B$9="All",G1118=Filters!$B$9)
)</f>
        <v>0</v>
      </c>
      <c r="AE1118">
        <f t="shared" si="221"/>
        <v>6</v>
      </c>
      <c r="AF1118">
        <f t="shared" si="222"/>
        <v>7</v>
      </c>
      <c r="AG1118">
        <f t="shared" si="223"/>
        <v>7</v>
      </c>
      <c r="AH1118" s="9" t="str">
        <f t="shared" si="224"/>
        <v/>
      </c>
      <c r="AI1118" s="9" t="str">
        <f t="shared" si="225"/>
        <v/>
      </c>
      <c r="AJ1118" s="9" t="str">
        <f t="shared" si="226"/>
        <v/>
      </c>
      <c r="AK1118" s="9" t="str">
        <f t="shared" si="227"/>
        <v/>
      </c>
      <c r="AL1118" s="9" t="str">
        <f t="shared" si="228"/>
        <v/>
      </c>
      <c r="AM1118" s="9" t="str">
        <f t="shared" si="229"/>
        <v/>
      </c>
      <c r="AN1118" s="9" t="str">
        <f t="shared" si="230"/>
        <v/>
      </c>
      <c r="AO1118" s="9" t="str">
        <f t="shared" si="231"/>
        <v/>
      </c>
      <c r="AP1118" s="9" t="str">
        <f t="shared" si="232"/>
        <v/>
      </c>
      <c r="AQ1118" s="10" t="str">
        <f t="shared" si="233"/>
        <v/>
      </c>
    </row>
    <row r="1119" spans="1:43">
      <c r="A1119">
        <v>1118</v>
      </c>
      <c r="B1119" t="s">
        <v>33</v>
      </c>
      <c r="C1119" t="s">
        <v>1216</v>
      </c>
      <c r="D1119" t="s">
        <v>1217</v>
      </c>
      <c r="E1119" t="s">
        <v>83</v>
      </c>
      <c r="G1119" t="s">
        <v>18</v>
      </c>
      <c r="H1119" s="4">
        <v>27783000</v>
      </c>
      <c r="I1119" s="5">
        <v>256</v>
      </c>
      <c r="J1119" s="5">
        <v>0</v>
      </c>
      <c r="K1119" s="5">
        <v>8</v>
      </c>
      <c r="L1119">
        <v>9</v>
      </c>
      <c r="M1119">
        <v>3.5</v>
      </c>
      <c r="N1119">
        <v>9.73</v>
      </c>
      <c r="O1119" s="6">
        <v>12.5</v>
      </c>
      <c r="P1119" s="7">
        <v>1.25</v>
      </c>
      <c r="U1119" t="s">
        <v>84</v>
      </c>
      <c r="V1119" t="s">
        <v>485</v>
      </c>
      <c r="W1119">
        <v>2.5</v>
      </c>
      <c r="X1119" t="s">
        <v>84</v>
      </c>
      <c r="Y1119" t="s">
        <v>130</v>
      </c>
      <c r="Z1119" t="s">
        <v>100</v>
      </c>
      <c r="AA1119" t="s">
        <v>1500</v>
      </c>
      <c r="AB1119" t="s">
        <v>115</v>
      </c>
      <c r="AC1119">
        <v>1029</v>
      </c>
      <c r="AD1119" s="8" t="b">
        <f>AND(
 H1119&gt;=Filters!$B$3,
 H1119&lt;=Filters!$B$4,
 I1119&gt;=Filters!$B$5,
 OR(Filters!$B$6="All",B1119=Filters!$B$6),
 F1119&gt;=Filters!$B$7,
 F1119&lt;=Filters!$B$8,
 OR(Filters!$B$9="All",G1119=Filters!$B$9)
)</f>
        <v>0</v>
      </c>
      <c r="AE1119">
        <f t="shared" si="221"/>
        <v>6</v>
      </c>
      <c r="AF1119">
        <f t="shared" si="222"/>
        <v>7</v>
      </c>
      <c r="AG1119">
        <f t="shared" si="223"/>
        <v>7</v>
      </c>
      <c r="AH1119" s="9" t="str">
        <f t="shared" si="224"/>
        <v/>
      </c>
      <c r="AI1119" s="9" t="str">
        <f t="shared" si="225"/>
        <v/>
      </c>
      <c r="AJ1119" s="9" t="str">
        <f t="shared" si="226"/>
        <v/>
      </c>
      <c r="AK1119" s="9" t="str">
        <f t="shared" si="227"/>
        <v/>
      </c>
      <c r="AL1119" s="9" t="str">
        <f t="shared" si="228"/>
        <v/>
      </c>
      <c r="AM1119" s="9" t="str">
        <f t="shared" si="229"/>
        <v/>
      </c>
      <c r="AN1119" s="9" t="str">
        <f t="shared" si="230"/>
        <v/>
      </c>
      <c r="AO1119" s="9" t="str">
        <f t="shared" si="231"/>
        <v/>
      </c>
      <c r="AP1119" s="9" t="str">
        <f t="shared" si="232"/>
        <v/>
      </c>
      <c r="AQ1119" s="10" t="str">
        <f t="shared" si="233"/>
        <v/>
      </c>
    </row>
    <row r="1120" spans="1:43">
      <c r="A1120">
        <v>1119</v>
      </c>
      <c r="B1120" t="s">
        <v>35</v>
      </c>
      <c r="C1120" t="s">
        <v>1501</v>
      </c>
      <c r="D1120" t="s">
        <v>1502</v>
      </c>
      <c r="E1120" t="s">
        <v>83</v>
      </c>
      <c r="G1120" t="s">
        <v>18</v>
      </c>
      <c r="H1120" s="4">
        <v>60102000</v>
      </c>
      <c r="I1120" s="5">
        <v>512</v>
      </c>
      <c r="J1120" s="5">
        <v>0</v>
      </c>
      <c r="K1120" s="5">
        <v>16</v>
      </c>
      <c r="L1120">
        <v>9.4</v>
      </c>
      <c r="M1120">
        <v>3.5</v>
      </c>
      <c r="N1120">
        <v>5.96</v>
      </c>
      <c r="O1120" s="6">
        <v>13.3</v>
      </c>
      <c r="P1120" s="7">
        <v>1.05</v>
      </c>
      <c r="U1120" t="s">
        <v>84</v>
      </c>
      <c r="V1120" t="s">
        <v>140</v>
      </c>
      <c r="W1120">
        <v>2.7</v>
      </c>
      <c r="X1120" t="s">
        <v>84</v>
      </c>
      <c r="Y1120" t="s">
        <v>99</v>
      </c>
      <c r="Z1120" t="s">
        <v>106</v>
      </c>
      <c r="AA1120" t="s">
        <v>101</v>
      </c>
      <c r="AB1120" t="s">
        <v>115</v>
      </c>
      <c r="AC1120">
        <v>2226</v>
      </c>
      <c r="AD1120" s="8" t="b">
        <f>AND(
 H1120&gt;=Filters!$B$3,
 H1120&lt;=Filters!$B$4,
 I1120&gt;=Filters!$B$5,
 OR(Filters!$B$6="All",B1120=Filters!$B$6),
 F1120&gt;=Filters!$B$7,
 F1120&lt;=Filters!$B$8,
 OR(Filters!$B$9="All",G1120=Filters!$B$9)
)</f>
        <v>0</v>
      </c>
      <c r="AE1120">
        <f t="shared" si="221"/>
        <v>6</v>
      </c>
      <c r="AF1120">
        <f t="shared" si="222"/>
        <v>7</v>
      </c>
      <c r="AG1120">
        <f t="shared" si="223"/>
        <v>7</v>
      </c>
      <c r="AH1120" s="9" t="str">
        <f t="shared" si="224"/>
        <v/>
      </c>
      <c r="AI1120" s="9" t="str">
        <f t="shared" si="225"/>
        <v/>
      </c>
      <c r="AJ1120" s="9" t="str">
        <f t="shared" si="226"/>
        <v/>
      </c>
      <c r="AK1120" s="9" t="str">
        <f t="shared" si="227"/>
        <v/>
      </c>
      <c r="AL1120" s="9" t="str">
        <f t="shared" si="228"/>
        <v/>
      </c>
      <c r="AM1120" s="9" t="str">
        <f t="shared" si="229"/>
        <v/>
      </c>
      <c r="AN1120" s="9" t="str">
        <f t="shared" si="230"/>
        <v/>
      </c>
      <c r="AO1120" s="9" t="str">
        <f t="shared" si="231"/>
        <v/>
      </c>
      <c r="AP1120" s="9" t="str">
        <f t="shared" si="232"/>
        <v/>
      </c>
      <c r="AQ1120" s="10" t="str">
        <f t="shared" si="233"/>
        <v/>
      </c>
    </row>
    <row r="1121" spans="1:43">
      <c r="A1121">
        <v>1120</v>
      </c>
      <c r="B1121" t="s">
        <v>21</v>
      </c>
      <c r="C1121" t="s">
        <v>1503</v>
      </c>
      <c r="D1121" t="s">
        <v>1504</v>
      </c>
      <c r="E1121" t="s">
        <v>158</v>
      </c>
      <c r="G1121" t="s">
        <v>18</v>
      </c>
      <c r="H1121" s="4">
        <v>35437230</v>
      </c>
      <c r="I1121" s="5">
        <v>128</v>
      </c>
      <c r="J1121" s="5">
        <v>1024</v>
      </c>
      <c r="K1121" s="5">
        <v>8</v>
      </c>
      <c r="L1121">
        <v>9.1999999999999993</v>
      </c>
      <c r="M1121">
        <v>9.1999999999999993</v>
      </c>
      <c r="N1121">
        <v>5.83</v>
      </c>
      <c r="O1121" s="6">
        <v>17.3</v>
      </c>
      <c r="P1121" s="7">
        <v>3.52</v>
      </c>
      <c r="U1121" t="s">
        <v>84</v>
      </c>
      <c r="V1121" t="s">
        <v>808</v>
      </c>
      <c r="W1121">
        <v>2.6</v>
      </c>
      <c r="X1121" t="s">
        <v>122</v>
      </c>
      <c r="Y1121" t="s">
        <v>874</v>
      </c>
      <c r="Z1121" t="s">
        <v>161</v>
      </c>
      <c r="AA1121" t="s">
        <v>101</v>
      </c>
      <c r="AB1121" t="s">
        <v>115</v>
      </c>
      <c r="AC1121">
        <v>1312.49</v>
      </c>
      <c r="AD1121" s="8" t="b">
        <f>AND(
 H1121&gt;=Filters!$B$3,
 H1121&lt;=Filters!$B$4,
 I1121&gt;=Filters!$B$5,
 OR(Filters!$B$6="All",B1121=Filters!$B$6),
 F1121&gt;=Filters!$B$7,
 F1121&lt;=Filters!$B$8,
 OR(Filters!$B$9="All",G1121=Filters!$B$9)
)</f>
        <v>0</v>
      </c>
      <c r="AE1121">
        <f t="shared" si="221"/>
        <v>6</v>
      </c>
      <c r="AF1121">
        <f t="shared" si="222"/>
        <v>7</v>
      </c>
      <c r="AG1121">
        <f t="shared" si="223"/>
        <v>7</v>
      </c>
      <c r="AH1121" s="9" t="str">
        <f t="shared" si="224"/>
        <v/>
      </c>
      <c r="AI1121" s="9" t="str">
        <f t="shared" si="225"/>
        <v/>
      </c>
      <c r="AJ1121" s="9" t="str">
        <f t="shared" si="226"/>
        <v/>
      </c>
      <c r="AK1121" s="9" t="str">
        <f t="shared" si="227"/>
        <v/>
      </c>
      <c r="AL1121" s="9" t="str">
        <f t="shared" si="228"/>
        <v/>
      </c>
      <c r="AM1121" s="9" t="str">
        <f t="shared" si="229"/>
        <v/>
      </c>
      <c r="AN1121" s="9" t="str">
        <f t="shared" si="230"/>
        <v/>
      </c>
      <c r="AO1121" s="9" t="str">
        <f t="shared" si="231"/>
        <v/>
      </c>
      <c r="AP1121" s="9" t="str">
        <f t="shared" si="232"/>
        <v/>
      </c>
      <c r="AQ1121" s="10" t="str">
        <f t="shared" si="233"/>
        <v/>
      </c>
    </row>
    <row r="1122" spans="1:43">
      <c r="A1122">
        <v>1121</v>
      </c>
      <c r="B1122" t="s">
        <v>36</v>
      </c>
      <c r="C1122" t="s">
        <v>1505</v>
      </c>
      <c r="D1122" t="s">
        <v>1506</v>
      </c>
      <c r="E1122" t="s">
        <v>97</v>
      </c>
      <c r="G1122" t="s">
        <v>18</v>
      </c>
      <c r="H1122" s="4">
        <v>5292000</v>
      </c>
      <c r="I1122" s="5">
        <v>32</v>
      </c>
      <c r="J1122" s="5">
        <v>0</v>
      </c>
      <c r="K1122" s="5">
        <v>4</v>
      </c>
      <c r="L1122">
        <v>1</v>
      </c>
      <c r="M1122">
        <v>3.5</v>
      </c>
      <c r="N1122">
        <v>5.96</v>
      </c>
      <c r="O1122" s="6">
        <v>13.3</v>
      </c>
      <c r="P1122" s="7">
        <v>1.35</v>
      </c>
      <c r="U1122" t="s">
        <v>84</v>
      </c>
      <c r="V1122" t="s">
        <v>1417</v>
      </c>
      <c r="W1122">
        <v>1.44</v>
      </c>
      <c r="X1122" t="s">
        <v>84</v>
      </c>
      <c r="Y1122" t="s">
        <v>154</v>
      </c>
      <c r="Z1122" t="s">
        <v>155</v>
      </c>
      <c r="AA1122" t="s">
        <v>101</v>
      </c>
      <c r="AB1122" t="s">
        <v>115</v>
      </c>
      <c r="AC1122">
        <v>196</v>
      </c>
      <c r="AD1122" s="8" t="b">
        <f>AND(
 H1122&gt;=Filters!$B$3,
 H1122&lt;=Filters!$B$4,
 I1122&gt;=Filters!$B$5,
 OR(Filters!$B$6="All",B1122=Filters!$B$6),
 F1122&gt;=Filters!$B$7,
 F1122&lt;=Filters!$B$8,
 OR(Filters!$B$9="All",G1122=Filters!$B$9)
)</f>
        <v>0</v>
      </c>
      <c r="AE1122">
        <f t="shared" si="221"/>
        <v>6</v>
      </c>
      <c r="AF1122">
        <f t="shared" si="222"/>
        <v>7</v>
      </c>
      <c r="AG1122">
        <f t="shared" si="223"/>
        <v>7</v>
      </c>
      <c r="AH1122" s="9" t="str">
        <f t="shared" si="224"/>
        <v/>
      </c>
      <c r="AI1122" s="9" t="str">
        <f t="shared" si="225"/>
        <v/>
      </c>
      <c r="AJ1122" s="9" t="str">
        <f t="shared" si="226"/>
        <v/>
      </c>
      <c r="AK1122" s="9" t="str">
        <f t="shared" si="227"/>
        <v/>
      </c>
      <c r="AL1122" s="9" t="str">
        <f t="shared" si="228"/>
        <v/>
      </c>
      <c r="AM1122" s="9" t="str">
        <f t="shared" si="229"/>
        <v/>
      </c>
      <c r="AN1122" s="9" t="str">
        <f t="shared" si="230"/>
        <v/>
      </c>
      <c r="AO1122" s="9" t="str">
        <f t="shared" si="231"/>
        <v/>
      </c>
      <c r="AP1122" s="9" t="str">
        <f t="shared" si="232"/>
        <v/>
      </c>
      <c r="AQ1122" s="10" t="str">
        <f t="shared" si="233"/>
        <v/>
      </c>
    </row>
    <row r="1123" spans="1:43">
      <c r="A1123">
        <v>1122</v>
      </c>
      <c r="B1123" t="s">
        <v>26</v>
      </c>
      <c r="C1123" t="s">
        <v>1507</v>
      </c>
      <c r="D1123" t="s">
        <v>1498</v>
      </c>
      <c r="E1123" t="s">
        <v>97</v>
      </c>
      <c r="G1123" t="s">
        <v>18</v>
      </c>
      <c r="H1123" s="4">
        <v>45630000</v>
      </c>
      <c r="I1123" s="5">
        <v>256</v>
      </c>
      <c r="J1123" s="5">
        <v>0</v>
      </c>
      <c r="K1123" s="5">
        <v>8</v>
      </c>
      <c r="L1123">
        <v>6.6</v>
      </c>
      <c r="M1123">
        <v>3.5</v>
      </c>
      <c r="N1123">
        <v>5.96</v>
      </c>
      <c r="O1123" s="6">
        <v>13.3</v>
      </c>
      <c r="P1123" s="7">
        <v>1.1599999999999999</v>
      </c>
      <c r="U1123" t="s">
        <v>84</v>
      </c>
      <c r="V1123" t="s">
        <v>375</v>
      </c>
      <c r="W1123">
        <v>2.2999999999999998</v>
      </c>
      <c r="X1123" t="s">
        <v>84</v>
      </c>
      <c r="Y1123" t="s">
        <v>130</v>
      </c>
      <c r="Z1123" t="s">
        <v>100</v>
      </c>
      <c r="AA1123" t="s">
        <v>101</v>
      </c>
      <c r="AB1123" t="s">
        <v>115</v>
      </c>
      <c r="AC1123">
        <v>1690</v>
      </c>
      <c r="AD1123" s="8" t="b">
        <f>AND(
 H1123&gt;=Filters!$B$3,
 H1123&lt;=Filters!$B$4,
 I1123&gt;=Filters!$B$5,
 OR(Filters!$B$6="All",B1123=Filters!$B$6),
 F1123&gt;=Filters!$B$7,
 F1123&lt;=Filters!$B$8,
 OR(Filters!$B$9="All",G1123=Filters!$B$9)
)</f>
        <v>0</v>
      </c>
      <c r="AE1123">
        <f t="shared" si="221"/>
        <v>6</v>
      </c>
      <c r="AF1123">
        <f t="shared" si="222"/>
        <v>7</v>
      </c>
      <c r="AG1123">
        <f t="shared" si="223"/>
        <v>7</v>
      </c>
      <c r="AH1123" s="9" t="str">
        <f t="shared" si="224"/>
        <v/>
      </c>
      <c r="AI1123" s="9" t="str">
        <f t="shared" si="225"/>
        <v/>
      </c>
      <c r="AJ1123" s="9" t="str">
        <f t="shared" si="226"/>
        <v/>
      </c>
      <c r="AK1123" s="9" t="str">
        <f t="shared" si="227"/>
        <v/>
      </c>
      <c r="AL1123" s="9" t="str">
        <f t="shared" si="228"/>
        <v/>
      </c>
      <c r="AM1123" s="9" t="str">
        <f t="shared" si="229"/>
        <v/>
      </c>
      <c r="AN1123" s="9" t="str">
        <f t="shared" si="230"/>
        <v/>
      </c>
      <c r="AO1123" s="9" t="str">
        <f t="shared" si="231"/>
        <v/>
      </c>
      <c r="AP1123" s="9" t="str">
        <f t="shared" si="232"/>
        <v/>
      </c>
      <c r="AQ1123" s="10" t="str">
        <f t="shared" si="233"/>
        <v/>
      </c>
    </row>
    <row r="1124" spans="1:43">
      <c r="A1124">
        <v>1123</v>
      </c>
      <c r="B1124" t="s">
        <v>26</v>
      </c>
      <c r="C1124" t="s">
        <v>1402</v>
      </c>
      <c r="D1124" t="s">
        <v>729</v>
      </c>
      <c r="E1124" t="s">
        <v>97</v>
      </c>
      <c r="G1124" t="s">
        <v>18</v>
      </c>
      <c r="H1124" s="4">
        <v>40851000</v>
      </c>
      <c r="I1124" s="5">
        <v>256</v>
      </c>
      <c r="J1124" s="5">
        <v>0</v>
      </c>
      <c r="K1124" s="5">
        <v>8</v>
      </c>
      <c r="L1124">
        <v>6.6</v>
      </c>
      <c r="M1124">
        <v>3.5</v>
      </c>
      <c r="N1124">
        <v>6</v>
      </c>
      <c r="O1124" s="6">
        <v>14</v>
      </c>
      <c r="P1124" s="7">
        <v>1.43</v>
      </c>
      <c r="U1124" t="s">
        <v>84</v>
      </c>
      <c r="V1124" t="s">
        <v>375</v>
      </c>
      <c r="W1124">
        <v>2.2999999999999998</v>
      </c>
      <c r="X1124" t="s">
        <v>84</v>
      </c>
      <c r="Y1124" t="s">
        <v>130</v>
      </c>
      <c r="Z1124" t="s">
        <v>100</v>
      </c>
      <c r="AA1124" t="s">
        <v>101</v>
      </c>
      <c r="AB1124" t="s">
        <v>869</v>
      </c>
      <c r="AC1124">
        <v>1513</v>
      </c>
      <c r="AD1124" s="8" t="b">
        <f>AND(
 H1124&gt;=Filters!$B$3,
 H1124&lt;=Filters!$B$4,
 I1124&gt;=Filters!$B$5,
 OR(Filters!$B$6="All",B1124=Filters!$B$6),
 F1124&gt;=Filters!$B$7,
 F1124&lt;=Filters!$B$8,
 OR(Filters!$B$9="All",G1124=Filters!$B$9)
)</f>
        <v>0</v>
      </c>
      <c r="AE1124">
        <f t="shared" si="221"/>
        <v>6</v>
      </c>
      <c r="AF1124">
        <f t="shared" si="222"/>
        <v>7</v>
      </c>
      <c r="AG1124">
        <f t="shared" si="223"/>
        <v>7</v>
      </c>
      <c r="AH1124" s="9" t="str">
        <f t="shared" si="224"/>
        <v/>
      </c>
      <c r="AI1124" s="9" t="str">
        <f t="shared" si="225"/>
        <v/>
      </c>
      <c r="AJ1124" s="9" t="str">
        <f t="shared" si="226"/>
        <v/>
      </c>
      <c r="AK1124" s="9" t="str">
        <f t="shared" si="227"/>
        <v/>
      </c>
      <c r="AL1124" s="9" t="str">
        <f t="shared" si="228"/>
        <v/>
      </c>
      <c r="AM1124" s="9" t="str">
        <f t="shared" si="229"/>
        <v/>
      </c>
      <c r="AN1124" s="9" t="str">
        <f t="shared" si="230"/>
        <v/>
      </c>
      <c r="AO1124" s="9" t="str">
        <f t="shared" si="231"/>
        <v/>
      </c>
      <c r="AP1124" s="9" t="str">
        <f t="shared" si="232"/>
        <v/>
      </c>
      <c r="AQ1124" s="10" t="str">
        <f t="shared" si="233"/>
        <v/>
      </c>
    </row>
    <row r="1125" spans="1:43">
      <c r="A1125">
        <v>1124</v>
      </c>
      <c r="B1125" t="s">
        <v>23</v>
      </c>
      <c r="C1125" t="s">
        <v>1409</v>
      </c>
      <c r="D1125" t="s">
        <v>1410</v>
      </c>
      <c r="E1125" t="s">
        <v>97</v>
      </c>
      <c r="G1125" t="s">
        <v>18</v>
      </c>
      <c r="H1125" s="4">
        <v>14138010</v>
      </c>
      <c r="I1125" s="5">
        <v>0</v>
      </c>
      <c r="J1125" s="5">
        <v>500</v>
      </c>
      <c r="K1125" s="5">
        <v>4</v>
      </c>
      <c r="L1125">
        <v>6.6</v>
      </c>
      <c r="M1125">
        <v>3.5</v>
      </c>
      <c r="N1125">
        <v>3.92</v>
      </c>
      <c r="O1125" s="6">
        <v>15.6</v>
      </c>
      <c r="P1125" s="7">
        <v>2.09</v>
      </c>
      <c r="U1125" t="s">
        <v>84</v>
      </c>
      <c r="V1125" t="s">
        <v>375</v>
      </c>
      <c r="W1125">
        <v>2.2999999999999998</v>
      </c>
      <c r="X1125" t="s">
        <v>84</v>
      </c>
      <c r="Y1125" t="s">
        <v>130</v>
      </c>
      <c r="Z1125" t="s">
        <v>113</v>
      </c>
      <c r="AA1125" t="s">
        <v>114</v>
      </c>
      <c r="AB1125" t="s">
        <v>201</v>
      </c>
      <c r="AC1125">
        <v>523.63</v>
      </c>
      <c r="AD1125" s="8" t="b">
        <f>AND(
 H1125&gt;=Filters!$B$3,
 H1125&lt;=Filters!$B$4,
 I1125&gt;=Filters!$B$5,
 OR(Filters!$B$6="All",B1125=Filters!$B$6),
 F1125&gt;=Filters!$B$7,
 F1125&lt;=Filters!$B$8,
 OR(Filters!$B$9="All",G1125=Filters!$B$9)
)</f>
        <v>0</v>
      </c>
      <c r="AE1125">
        <f t="shared" si="221"/>
        <v>6</v>
      </c>
      <c r="AF1125">
        <f t="shared" si="222"/>
        <v>7</v>
      </c>
      <c r="AG1125">
        <f t="shared" si="223"/>
        <v>7</v>
      </c>
      <c r="AH1125" s="9" t="str">
        <f t="shared" si="224"/>
        <v/>
      </c>
      <c r="AI1125" s="9" t="str">
        <f t="shared" si="225"/>
        <v/>
      </c>
      <c r="AJ1125" s="9" t="str">
        <f t="shared" si="226"/>
        <v/>
      </c>
      <c r="AK1125" s="9" t="str">
        <f t="shared" si="227"/>
        <v/>
      </c>
      <c r="AL1125" s="9" t="str">
        <f t="shared" si="228"/>
        <v/>
      </c>
      <c r="AM1125" s="9" t="str">
        <f t="shared" si="229"/>
        <v/>
      </c>
      <c r="AN1125" s="9" t="str">
        <f t="shared" si="230"/>
        <v/>
      </c>
      <c r="AO1125" s="9" t="str">
        <f t="shared" si="231"/>
        <v/>
      </c>
      <c r="AP1125" s="9" t="str">
        <f t="shared" si="232"/>
        <v/>
      </c>
      <c r="AQ1125" s="10" t="str">
        <f t="shared" si="233"/>
        <v/>
      </c>
    </row>
    <row r="1126" spans="1:43">
      <c r="A1126">
        <v>1125</v>
      </c>
      <c r="B1126" t="s">
        <v>21</v>
      </c>
      <c r="C1126" t="s">
        <v>244</v>
      </c>
      <c r="D1126" t="s">
        <v>245</v>
      </c>
      <c r="E1126" t="s">
        <v>97</v>
      </c>
      <c r="G1126" t="s">
        <v>18</v>
      </c>
      <c r="H1126" s="4">
        <v>11745000</v>
      </c>
      <c r="I1126" s="5">
        <v>0</v>
      </c>
      <c r="J1126" s="5">
        <v>1024</v>
      </c>
      <c r="K1126" s="5">
        <v>4</v>
      </c>
      <c r="L1126">
        <v>4.8</v>
      </c>
      <c r="M1126">
        <v>3.5</v>
      </c>
      <c r="N1126">
        <v>3.92</v>
      </c>
      <c r="O1126" s="6">
        <v>15.6</v>
      </c>
      <c r="P1126" s="7">
        <v>2</v>
      </c>
      <c r="U1126" t="s">
        <v>84</v>
      </c>
      <c r="V1126" t="s">
        <v>144</v>
      </c>
      <c r="W1126">
        <v>2.4</v>
      </c>
      <c r="X1126" t="s">
        <v>84</v>
      </c>
      <c r="Y1126" t="s">
        <v>99</v>
      </c>
      <c r="Z1126" t="s">
        <v>146</v>
      </c>
      <c r="AA1126" t="s">
        <v>114</v>
      </c>
      <c r="AB1126" t="s">
        <v>115</v>
      </c>
      <c r="AC1126">
        <v>435</v>
      </c>
      <c r="AD1126" s="8" t="b">
        <f>AND(
 H1126&gt;=Filters!$B$3,
 H1126&lt;=Filters!$B$4,
 I1126&gt;=Filters!$B$5,
 OR(Filters!$B$6="All",B1126=Filters!$B$6),
 F1126&gt;=Filters!$B$7,
 F1126&lt;=Filters!$B$8,
 OR(Filters!$B$9="All",G1126=Filters!$B$9)
)</f>
        <v>0</v>
      </c>
      <c r="AE1126">
        <f t="shared" si="221"/>
        <v>6</v>
      </c>
      <c r="AF1126">
        <f t="shared" si="222"/>
        <v>7</v>
      </c>
      <c r="AG1126">
        <f t="shared" si="223"/>
        <v>7</v>
      </c>
      <c r="AH1126" s="9" t="str">
        <f t="shared" si="224"/>
        <v/>
      </c>
      <c r="AI1126" s="9" t="str">
        <f t="shared" si="225"/>
        <v/>
      </c>
      <c r="AJ1126" s="9" t="str">
        <f t="shared" si="226"/>
        <v/>
      </c>
      <c r="AK1126" s="9" t="str">
        <f t="shared" si="227"/>
        <v/>
      </c>
      <c r="AL1126" s="9" t="str">
        <f t="shared" si="228"/>
        <v/>
      </c>
      <c r="AM1126" s="9" t="str">
        <f t="shared" si="229"/>
        <v/>
      </c>
      <c r="AN1126" s="9" t="str">
        <f t="shared" si="230"/>
        <v/>
      </c>
      <c r="AO1126" s="9" t="str">
        <f t="shared" si="231"/>
        <v/>
      </c>
      <c r="AP1126" s="9" t="str">
        <f t="shared" si="232"/>
        <v/>
      </c>
      <c r="AQ1126" s="10" t="str">
        <f t="shared" si="233"/>
        <v/>
      </c>
    </row>
    <row r="1127" spans="1:43">
      <c r="A1127">
        <v>1126</v>
      </c>
      <c r="B1127" t="s">
        <v>29</v>
      </c>
      <c r="C1127" t="s">
        <v>334</v>
      </c>
      <c r="D1127" t="s">
        <v>335</v>
      </c>
      <c r="E1127" t="s">
        <v>168</v>
      </c>
      <c r="G1127" t="s">
        <v>18</v>
      </c>
      <c r="H1127" s="4">
        <v>45063000</v>
      </c>
      <c r="I1127" s="5">
        <v>256</v>
      </c>
      <c r="J1127" s="5">
        <v>0</v>
      </c>
      <c r="K1127" s="5">
        <v>8</v>
      </c>
      <c r="L1127">
        <v>9</v>
      </c>
      <c r="M1127">
        <v>3.5</v>
      </c>
      <c r="N1127">
        <v>6.7</v>
      </c>
      <c r="O1127" s="6">
        <v>14</v>
      </c>
      <c r="P1127" s="7">
        <v>1.8</v>
      </c>
      <c r="U1127" t="s">
        <v>84</v>
      </c>
      <c r="V1127" t="s">
        <v>485</v>
      </c>
      <c r="W1127">
        <v>2.5</v>
      </c>
      <c r="X1127" t="s">
        <v>84</v>
      </c>
      <c r="Y1127" t="s">
        <v>130</v>
      </c>
      <c r="Z1127" t="s">
        <v>100</v>
      </c>
      <c r="AA1127" t="s">
        <v>149</v>
      </c>
      <c r="AB1127" t="s">
        <v>115</v>
      </c>
      <c r="AC1127">
        <v>1669</v>
      </c>
      <c r="AD1127" s="8" t="b">
        <f>AND(
 H1127&gt;=Filters!$B$3,
 H1127&lt;=Filters!$B$4,
 I1127&gt;=Filters!$B$5,
 OR(Filters!$B$6="All",B1127=Filters!$B$6),
 F1127&gt;=Filters!$B$7,
 F1127&lt;=Filters!$B$8,
 OR(Filters!$B$9="All",G1127=Filters!$B$9)
)</f>
        <v>0</v>
      </c>
      <c r="AE1127">
        <f t="shared" si="221"/>
        <v>6</v>
      </c>
      <c r="AF1127">
        <f t="shared" si="222"/>
        <v>7</v>
      </c>
      <c r="AG1127">
        <f t="shared" si="223"/>
        <v>7</v>
      </c>
      <c r="AH1127" s="9" t="str">
        <f t="shared" si="224"/>
        <v/>
      </c>
      <c r="AI1127" s="9" t="str">
        <f t="shared" si="225"/>
        <v/>
      </c>
      <c r="AJ1127" s="9" t="str">
        <f t="shared" si="226"/>
        <v/>
      </c>
      <c r="AK1127" s="9" t="str">
        <f t="shared" si="227"/>
        <v/>
      </c>
      <c r="AL1127" s="9" t="str">
        <f t="shared" si="228"/>
        <v/>
      </c>
      <c r="AM1127" s="9" t="str">
        <f t="shared" si="229"/>
        <v/>
      </c>
      <c r="AN1127" s="9" t="str">
        <f t="shared" si="230"/>
        <v/>
      </c>
      <c r="AO1127" s="9" t="str">
        <f t="shared" si="231"/>
        <v/>
      </c>
      <c r="AP1127" s="9" t="str">
        <f t="shared" si="232"/>
        <v/>
      </c>
      <c r="AQ1127" s="10" t="str">
        <f t="shared" si="233"/>
        <v/>
      </c>
    </row>
    <row r="1128" spans="1:43">
      <c r="A1128">
        <v>1127</v>
      </c>
      <c r="B1128" t="s">
        <v>29</v>
      </c>
      <c r="C1128" t="s">
        <v>231</v>
      </c>
      <c r="D1128" t="s">
        <v>232</v>
      </c>
      <c r="E1128" t="s">
        <v>168</v>
      </c>
      <c r="G1128" t="s">
        <v>18</v>
      </c>
      <c r="H1128" s="4">
        <v>12933000</v>
      </c>
      <c r="I1128" s="5">
        <v>64</v>
      </c>
      <c r="J1128" s="5">
        <v>0</v>
      </c>
      <c r="K1128" s="5">
        <v>4</v>
      </c>
      <c r="L1128">
        <v>1</v>
      </c>
      <c r="M1128">
        <v>3.5</v>
      </c>
      <c r="N1128">
        <v>7.5</v>
      </c>
      <c r="O1128" s="6">
        <v>10.1</v>
      </c>
      <c r="P1128" s="7">
        <v>0.69</v>
      </c>
      <c r="U1128" t="s">
        <v>84</v>
      </c>
      <c r="V1128" t="s">
        <v>233</v>
      </c>
      <c r="W1128">
        <v>1.44</v>
      </c>
      <c r="X1128" t="s">
        <v>84</v>
      </c>
      <c r="Y1128" t="s">
        <v>154</v>
      </c>
      <c r="Z1128" t="s">
        <v>188</v>
      </c>
      <c r="AA1128" t="s">
        <v>234</v>
      </c>
      <c r="AB1128" t="s">
        <v>115</v>
      </c>
      <c r="AC1128">
        <v>479</v>
      </c>
      <c r="AD1128" s="8" t="b">
        <f>AND(
 H1128&gt;=Filters!$B$3,
 H1128&lt;=Filters!$B$4,
 I1128&gt;=Filters!$B$5,
 OR(Filters!$B$6="All",B1128=Filters!$B$6),
 F1128&gt;=Filters!$B$7,
 F1128&lt;=Filters!$B$8,
 OR(Filters!$B$9="All",G1128=Filters!$B$9)
)</f>
        <v>0</v>
      </c>
      <c r="AE1128">
        <f t="shared" si="221"/>
        <v>6</v>
      </c>
      <c r="AF1128">
        <f t="shared" si="222"/>
        <v>7</v>
      </c>
      <c r="AG1128">
        <f t="shared" si="223"/>
        <v>7</v>
      </c>
      <c r="AH1128" s="9" t="str">
        <f t="shared" si="224"/>
        <v/>
      </c>
      <c r="AI1128" s="9" t="str">
        <f t="shared" si="225"/>
        <v/>
      </c>
      <c r="AJ1128" s="9" t="str">
        <f t="shared" si="226"/>
        <v/>
      </c>
      <c r="AK1128" s="9" t="str">
        <f t="shared" si="227"/>
        <v/>
      </c>
      <c r="AL1128" s="9" t="str">
        <f t="shared" si="228"/>
        <v/>
      </c>
      <c r="AM1128" s="9" t="str">
        <f t="shared" si="229"/>
        <v/>
      </c>
      <c r="AN1128" s="9" t="str">
        <f t="shared" si="230"/>
        <v/>
      </c>
      <c r="AO1128" s="9" t="str">
        <f t="shared" si="231"/>
        <v/>
      </c>
      <c r="AP1128" s="9" t="str">
        <f t="shared" si="232"/>
        <v/>
      </c>
      <c r="AQ1128" s="10" t="str">
        <f t="shared" si="233"/>
        <v/>
      </c>
    </row>
    <row r="1129" spans="1:43">
      <c r="A1129">
        <v>1128</v>
      </c>
      <c r="B1129" t="s">
        <v>26</v>
      </c>
      <c r="C1129" t="s">
        <v>1165</v>
      </c>
      <c r="D1129" t="s">
        <v>1166</v>
      </c>
      <c r="E1129" t="s">
        <v>83</v>
      </c>
      <c r="G1129" t="s">
        <v>18</v>
      </c>
      <c r="H1129" s="4">
        <v>51165000</v>
      </c>
      <c r="I1129" s="5">
        <v>256</v>
      </c>
      <c r="J1129" s="5">
        <v>0</v>
      </c>
      <c r="K1129" s="5">
        <v>8</v>
      </c>
      <c r="L1129">
        <v>6.8</v>
      </c>
      <c r="M1129">
        <v>3.5</v>
      </c>
      <c r="N1129">
        <v>3.92</v>
      </c>
      <c r="O1129" s="6">
        <v>12.5</v>
      </c>
      <c r="P1129" s="7">
        <v>1.26</v>
      </c>
      <c r="U1129" t="s">
        <v>84</v>
      </c>
      <c r="V1129" t="s">
        <v>1024</v>
      </c>
      <c r="W1129">
        <v>2.4</v>
      </c>
      <c r="X1129" t="s">
        <v>84</v>
      </c>
      <c r="Y1129" t="s">
        <v>130</v>
      </c>
      <c r="Z1129" t="s">
        <v>100</v>
      </c>
      <c r="AA1129" t="s">
        <v>114</v>
      </c>
      <c r="AB1129" t="s">
        <v>869</v>
      </c>
      <c r="AC1129">
        <v>1895</v>
      </c>
      <c r="AD1129" s="8" t="b">
        <f>AND(
 H1129&gt;=Filters!$B$3,
 H1129&lt;=Filters!$B$4,
 I1129&gt;=Filters!$B$5,
 OR(Filters!$B$6="All",B1129=Filters!$B$6),
 F1129&gt;=Filters!$B$7,
 F1129&lt;=Filters!$B$8,
 OR(Filters!$B$9="All",G1129=Filters!$B$9)
)</f>
        <v>0</v>
      </c>
      <c r="AE1129">
        <f t="shared" si="221"/>
        <v>6</v>
      </c>
      <c r="AF1129">
        <f t="shared" si="222"/>
        <v>7</v>
      </c>
      <c r="AG1129">
        <f t="shared" si="223"/>
        <v>7</v>
      </c>
      <c r="AH1129" s="9" t="str">
        <f t="shared" si="224"/>
        <v/>
      </c>
      <c r="AI1129" s="9" t="str">
        <f t="shared" si="225"/>
        <v/>
      </c>
      <c r="AJ1129" s="9" t="str">
        <f t="shared" si="226"/>
        <v/>
      </c>
      <c r="AK1129" s="9" t="str">
        <f t="shared" si="227"/>
        <v/>
      </c>
      <c r="AL1129" s="9" t="str">
        <f t="shared" si="228"/>
        <v/>
      </c>
      <c r="AM1129" s="9" t="str">
        <f t="shared" si="229"/>
        <v/>
      </c>
      <c r="AN1129" s="9" t="str">
        <f t="shared" si="230"/>
        <v/>
      </c>
      <c r="AO1129" s="9" t="str">
        <f t="shared" si="231"/>
        <v/>
      </c>
      <c r="AP1129" s="9" t="str">
        <f t="shared" si="232"/>
        <v/>
      </c>
      <c r="AQ1129" s="10" t="str">
        <f t="shared" si="233"/>
        <v/>
      </c>
    </row>
    <row r="1130" spans="1:43">
      <c r="A1130">
        <v>1129</v>
      </c>
      <c r="B1130" t="s">
        <v>29</v>
      </c>
      <c r="C1130" t="s">
        <v>156</v>
      </c>
      <c r="D1130" t="s">
        <v>157</v>
      </c>
      <c r="E1130" t="s">
        <v>158</v>
      </c>
      <c r="G1130" t="s">
        <v>18</v>
      </c>
      <c r="H1130" s="4">
        <v>26703000</v>
      </c>
      <c r="I1130" s="5">
        <v>128</v>
      </c>
      <c r="J1130" s="5">
        <v>1024</v>
      </c>
      <c r="K1130" s="5">
        <v>8</v>
      </c>
      <c r="L1130">
        <v>7</v>
      </c>
      <c r="M1130">
        <v>9.1999999999999993</v>
      </c>
      <c r="N1130">
        <v>6.32</v>
      </c>
      <c r="O1130" s="6">
        <v>15.6</v>
      </c>
      <c r="P1130" s="7">
        <v>2.4</v>
      </c>
      <c r="U1130" t="s">
        <v>84</v>
      </c>
      <c r="V1130" t="s">
        <v>159</v>
      </c>
      <c r="W1130">
        <v>2.5</v>
      </c>
      <c r="X1130" t="s">
        <v>122</v>
      </c>
      <c r="Y1130" t="s">
        <v>211</v>
      </c>
      <c r="Z1130" t="s">
        <v>161</v>
      </c>
      <c r="AA1130" t="s">
        <v>128</v>
      </c>
      <c r="AB1130" t="s">
        <v>102</v>
      </c>
      <c r="AC1130">
        <v>989</v>
      </c>
      <c r="AD1130" s="8" t="b">
        <f>AND(
 H1130&gt;=Filters!$B$3,
 H1130&lt;=Filters!$B$4,
 I1130&gt;=Filters!$B$5,
 OR(Filters!$B$6="All",B1130=Filters!$B$6),
 F1130&gt;=Filters!$B$7,
 F1130&lt;=Filters!$B$8,
 OR(Filters!$B$9="All",G1130=Filters!$B$9)
)</f>
        <v>0</v>
      </c>
      <c r="AE1130">
        <f t="shared" si="221"/>
        <v>6</v>
      </c>
      <c r="AF1130">
        <f t="shared" si="222"/>
        <v>7</v>
      </c>
      <c r="AG1130">
        <f t="shared" si="223"/>
        <v>7</v>
      </c>
      <c r="AH1130" s="9" t="str">
        <f t="shared" si="224"/>
        <v/>
      </c>
      <c r="AI1130" s="9" t="str">
        <f t="shared" si="225"/>
        <v/>
      </c>
      <c r="AJ1130" s="9" t="str">
        <f t="shared" si="226"/>
        <v/>
      </c>
      <c r="AK1130" s="9" t="str">
        <f t="shared" si="227"/>
        <v/>
      </c>
      <c r="AL1130" s="9" t="str">
        <f t="shared" si="228"/>
        <v/>
      </c>
      <c r="AM1130" s="9" t="str">
        <f t="shared" si="229"/>
        <v/>
      </c>
      <c r="AN1130" s="9" t="str">
        <f t="shared" si="230"/>
        <v/>
      </c>
      <c r="AO1130" s="9" t="str">
        <f t="shared" si="231"/>
        <v/>
      </c>
      <c r="AP1130" s="9" t="str">
        <f t="shared" si="232"/>
        <v/>
      </c>
      <c r="AQ1130" s="10" t="str">
        <f t="shared" si="233"/>
        <v/>
      </c>
    </row>
    <row r="1131" spans="1:43">
      <c r="A1131">
        <v>1130</v>
      </c>
      <c r="B1131" t="s">
        <v>26</v>
      </c>
      <c r="C1131" t="s">
        <v>1508</v>
      </c>
      <c r="D1131" t="s">
        <v>1509</v>
      </c>
      <c r="E1131" t="s">
        <v>158</v>
      </c>
      <c r="G1131" t="s">
        <v>18</v>
      </c>
      <c r="H1131" s="4">
        <v>30483000</v>
      </c>
      <c r="I1131" s="5">
        <v>128</v>
      </c>
      <c r="J1131" s="5">
        <v>1024</v>
      </c>
      <c r="K1131" s="5">
        <v>8</v>
      </c>
      <c r="L1131">
        <v>6.6</v>
      </c>
      <c r="M1131">
        <v>9.1999999999999993</v>
      </c>
      <c r="N1131">
        <v>6.24</v>
      </c>
      <c r="O1131" s="6">
        <v>17.3</v>
      </c>
      <c r="P1131" s="7">
        <v>3.35</v>
      </c>
      <c r="U1131" t="s">
        <v>84</v>
      </c>
      <c r="V1131" t="s">
        <v>1094</v>
      </c>
      <c r="W1131">
        <v>2.2999999999999998</v>
      </c>
      <c r="X1131" t="s">
        <v>122</v>
      </c>
      <c r="Y1131" t="s">
        <v>211</v>
      </c>
      <c r="Z1131" t="s">
        <v>161</v>
      </c>
      <c r="AA1131" t="s">
        <v>128</v>
      </c>
      <c r="AB1131" t="s">
        <v>115</v>
      </c>
      <c r="AC1131">
        <v>1129</v>
      </c>
      <c r="AD1131" s="8" t="b">
        <f>AND(
 H1131&gt;=Filters!$B$3,
 H1131&lt;=Filters!$B$4,
 I1131&gt;=Filters!$B$5,
 OR(Filters!$B$6="All",B1131=Filters!$B$6),
 F1131&gt;=Filters!$B$7,
 F1131&lt;=Filters!$B$8,
 OR(Filters!$B$9="All",G1131=Filters!$B$9)
)</f>
        <v>0</v>
      </c>
      <c r="AE1131">
        <f t="shared" si="221"/>
        <v>6</v>
      </c>
      <c r="AF1131">
        <f t="shared" si="222"/>
        <v>7</v>
      </c>
      <c r="AG1131">
        <f t="shared" si="223"/>
        <v>7</v>
      </c>
      <c r="AH1131" s="9" t="str">
        <f t="shared" si="224"/>
        <v/>
      </c>
      <c r="AI1131" s="9" t="str">
        <f t="shared" si="225"/>
        <v/>
      </c>
      <c r="AJ1131" s="9" t="str">
        <f t="shared" si="226"/>
        <v/>
      </c>
      <c r="AK1131" s="9" t="str">
        <f t="shared" si="227"/>
        <v/>
      </c>
      <c r="AL1131" s="9" t="str">
        <f t="shared" si="228"/>
        <v/>
      </c>
      <c r="AM1131" s="9" t="str">
        <f t="shared" si="229"/>
        <v/>
      </c>
      <c r="AN1131" s="9" t="str">
        <f t="shared" si="230"/>
        <v/>
      </c>
      <c r="AO1131" s="9" t="str">
        <f t="shared" si="231"/>
        <v/>
      </c>
      <c r="AP1131" s="9" t="str">
        <f t="shared" si="232"/>
        <v/>
      </c>
      <c r="AQ1131" s="10" t="str">
        <f t="shared" si="233"/>
        <v/>
      </c>
    </row>
    <row r="1132" spans="1:43">
      <c r="A1132">
        <v>1131</v>
      </c>
      <c r="B1132" t="s">
        <v>26</v>
      </c>
      <c r="C1132" t="s">
        <v>1510</v>
      </c>
      <c r="D1132" t="s">
        <v>1511</v>
      </c>
      <c r="E1132" t="s">
        <v>97</v>
      </c>
      <c r="G1132" t="s">
        <v>18</v>
      </c>
      <c r="H1132" s="4">
        <v>16983000</v>
      </c>
      <c r="I1132" s="5">
        <v>0</v>
      </c>
      <c r="J1132" s="5">
        <v>2048</v>
      </c>
      <c r="K1132" s="5">
        <v>8</v>
      </c>
      <c r="L1132">
        <v>9.4</v>
      </c>
      <c r="M1132">
        <v>3.5</v>
      </c>
      <c r="N1132">
        <v>3.92</v>
      </c>
      <c r="O1132" s="6">
        <v>15.6</v>
      </c>
      <c r="P1132" s="7">
        <v>2.04</v>
      </c>
      <c r="U1132" t="s">
        <v>84</v>
      </c>
      <c r="V1132" t="s">
        <v>140</v>
      </c>
      <c r="W1132">
        <v>2.7</v>
      </c>
      <c r="X1132" t="s">
        <v>84</v>
      </c>
      <c r="Y1132" t="s">
        <v>99</v>
      </c>
      <c r="Z1132" t="s">
        <v>283</v>
      </c>
      <c r="AA1132" t="s">
        <v>114</v>
      </c>
      <c r="AB1132" t="s">
        <v>115</v>
      </c>
      <c r="AC1132">
        <v>629</v>
      </c>
      <c r="AD1132" s="8" t="b">
        <f>AND(
 H1132&gt;=Filters!$B$3,
 H1132&lt;=Filters!$B$4,
 I1132&gt;=Filters!$B$5,
 OR(Filters!$B$6="All",B1132=Filters!$B$6),
 F1132&gt;=Filters!$B$7,
 F1132&lt;=Filters!$B$8,
 OR(Filters!$B$9="All",G1132=Filters!$B$9)
)</f>
        <v>0</v>
      </c>
      <c r="AE1132">
        <f t="shared" si="221"/>
        <v>6</v>
      </c>
      <c r="AF1132">
        <f t="shared" si="222"/>
        <v>7</v>
      </c>
      <c r="AG1132">
        <f t="shared" si="223"/>
        <v>7</v>
      </c>
      <c r="AH1132" s="9" t="str">
        <f t="shared" si="224"/>
        <v/>
      </c>
      <c r="AI1132" s="9" t="str">
        <f t="shared" si="225"/>
        <v/>
      </c>
      <c r="AJ1132" s="9" t="str">
        <f t="shared" si="226"/>
        <v/>
      </c>
      <c r="AK1132" s="9" t="str">
        <f t="shared" si="227"/>
        <v/>
      </c>
      <c r="AL1132" s="9" t="str">
        <f t="shared" si="228"/>
        <v/>
      </c>
      <c r="AM1132" s="9" t="str">
        <f t="shared" si="229"/>
        <v/>
      </c>
      <c r="AN1132" s="9" t="str">
        <f t="shared" si="230"/>
        <v/>
      </c>
      <c r="AO1132" s="9" t="str">
        <f t="shared" si="231"/>
        <v/>
      </c>
      <c r="AP1132" s="9" t="str">
        <f t="shared" si="232"/>
        <v/>
      </c>
      <c r="AQ1132" s="10" t="str">
        <f t="shared" si="233"/>
        <v/>
      </c>
    </row>
    <row r="1133" spans="1:43">
      <c r="A1133">
        <v>1132</v>
      </c>
      <c r="B1133" t="s">
        <v>29</v>
      </c>
      <c r="C1133" t="s">
        <v>1512</v>
      </c>
      <c r="D1133" t="s">
        <v>1513</v>
      </c>
      <c r="E1133" t="s">
        <v>168</v>
      </c>
      <c r="G1133" t="s">
        <v>18</v>
      </c>
      <c r="H1133" s="4">
        <v>55360260</v>
      </c>
      <c r="I1133" s="5">
        <v>512</v>
      </c>
      <c r="J1133" s="5">
        <v>0</v>
      </c>
      <c r="K1133" s="5">
        <v>8</v>
      </c>
      <c r="L1133">
        <v>9.1999999999999993</v>
      </c>
      <c r="M1133">
        <v>8</v>
      </c>
      <c r="N1133">
        <v>6.7</v>
      </c>
      <c r="O1133" s="6">
        <v>14</v>
      </c>
      <c r="P1133" s="7">
        <v>1.8</v>
      </c>
      <c r="U1133" t="s">
        <v>84</v>
      </c>
      <c r="V1133" t="s">
        <v>548</v>
      </c>
      <c r="W1133">
        <v>2.6</v>
      </c>
      <c r="X1133" t="s">
        <v>122</v>
      </c>
      <c r="Y1133" t="s">
        <v>1514</v>
      </c>
      <c r="Z1133" t="s">
        <v>106</v>
      </c>
      <c r="AA1133" t="s">
        <v>149</v>
      </c>
      <c r="AB1133" t="s">
        <v>869</v>
      </c>
      <c r="AC1133">
        <v>2050.38</v>
      </c>
      <c r="AD1133" s="8" t="b">
        <f>AND(
 H1133&gt;=Filters!$B$3,
 H1133&lt;=Filters!$B$4,
 I1133&gt;=Filters!$B$5,
 OR(Filters!$B$6="All",B1133=Filters!$B$6),
 F1133&gt;=Filters!$B$7,
 F1133&lt;=Filters!$B$8,
 OR(Filters!$B$9="All",G1133=Filters!$B$9)
)</f>
        <v>0</v>
      </c>
      <c r="AE1133">
        <f t="shared" si="221"/>
        <v>6</v>
      </c>
      <c r="AF1133">
        <f t="shared" si="222"/>
        <v>7</v>
      </c>
      <c r="AG1133">
        <f t="shared" si="223"/>
        <v>7</v>
      </c>
      <c r="AH1133" s="9" t="str">
        <f t="shared" si="224"/>
        <v/>
      </c>
      <c r="AI1133" s="9" t="str">
        <f t="shared" si="225"/>
        <v/>
      </c>
      <c r="AJ1133" s="9" t="str">
        <f t="shared" si="226"/>
        <v/>
      </c>
      <c r="AK1133" s="9" t="str">
        <f t="shared" si="227"/>
        <v/>
      </c>
      <c r="AL1133" s="9" t="str">
        <f t="shared" si="228"/>
        <v/>
      </c>
      <c r="AM1133" s="9" t="str">
        <f t="shared" si="229"/>
        <v/>
      </c>
      <c r="AN1133" s="9" t="str">
        <f t="shared" si="230"/>
        <v/>
      </c>
      <c r="AO1133" s="9" t="str">
        <f t="shared" si="231"/>
        <v/>
      </c>
      <c r="AP1133" s="9" t="str">
        <f t="shared" si="232"/>
        <v/>
      </c>
      <c r="AQ1133" s="10" t="str">
        <f t="shared" si="233"/>
        <v/>
      </c>
    </row>
    <row r="1134" spans="1:43">
      <c r="A1134">
        <v>1133</v>
      </c>
      <c r="B1134" t="s">
        <v>21</v>
      </c>
      <c r="C1134" t="s">
        <v>1515</v>
      </c>
      <c r="D1134" t="s">
        <v>1516</v>
      </c>
      <c r="E1134" t="s">
        <v>97</v>
      </c>
      <c r="G1134" t="s">
        <v>18</v>
      </c>
      <c r="H1134" s="4">
        <v>7506000</v>
      </c>
      <c r="I1134" s="5">
        <v>32</v>
      </c>
      <c r="J1134" s="5">
        <v>0</v>
      </c>
      <c r="K1134" s="5">
        <v>4</v>
      </c>
      <c r="L1134">
        <v>1</v>
      </c>
      <c r="M1134">
        <v>3.5</v>
      </c>
      <c r="N1134">
        <v>4</v>
      </c>
      <c r="O1134" s="6">
        <v>14</v>
      </c>
      <c r="P1134" s="7">
        <v>1.5</v>
      </c>
      <c r="U1134" t="s">
        <v>84</v>
      </c>
      <c r="V1134" t="s">
        <v>198</v>
      </c>
      <c r="W1134">
        <v>1.1000000000000001</v>
      </c>
      <c r="X1134" t="s">
        <v>84</v>
      </c>
      <c r="Y1134" t="s">
        <v>199</v>
      </c>
      <c r="Z1134" t="s">
        <v>155</v>
      </c>
      <c r="AA1134" t="s">
        <v>114</v>
      </c>
      <c r="AB1134" t="s">
        <v>115</v>
      </c>
      <c r="AC1134">
        <v>278</v>
      </c>
      <c r="AD1134" s="8" t="b">
        <f>AND(
 H1134&gt;=Filters!$B$3,
 H1134&lt;=Filters!$B$4,
 I1134&gt;=Filters!$B$5,
 OR(Filters!$B$6="All",B1134=Filters!$B$6),
 F1134&gt;=Filters!$B$7,
 F1134&lt;=Filters!$B$8,
 OR(Filters!$B$9="All",G1134=Filters!$B$9)
)</f>
        <v>0</v>
      </c>
      <c r="AE1134">
        <f t="shared" si="221"/>
        <v>6</v>
      </c>
      <c r="AF1134">
        <f t="shared" si="222"/>
        <v>7</v>
      </c>
      <c r="AG1134">
        <f t="shared" si="223"/>
        <v>7</v>
      </c>
      <c r="AH1134" s="9" t="str">
        <f t="shared" si="224"/>
        <v/>
      </c>
      <c r="AI1134" s="9" t="str">
        <f t="shared" si="225"/>
        <v/>
      </c>
      <c r="AJ1134" s="9" t="str">
        <f t="shared" si="226"/>
        <v/>
      </c>
      <c r="AK1134" s="9" t="str">
        <f t="shared" si="227"/>
        <v/>
      </c>
      <c r="AL1134" s="9" t="str">
        <f t="shared" si="228"/>
        <v/>
      </c>
      <c r="AM1134" s="9" t="str">
        <f t="shared" si="229"/>
        <v/>
      </c>
      <c r="AN1134" s="9" t="str">
        <f t="shared" si="230"/>
        <v/>
      </c>
      <c r="AO1134" s="9" t="str">
        <f t="shared" si="231"/>
        <v/>
      </c>
      <c r="AP1134" s="9" t="str">
        <f t="shared" si="232"/>
        <v/>
      </c>
      <c r="AQ1134" s="10" t="str">
        <f t="shared" si="233"/>
        <v/>
      </c>
    </row>
    <row r="1135" spans="1:43">
      <c r="A1135">
        <v>1134</v>
      </c>
      <c r="B1135" t="s">
        <v>26</v>
      </c>
      <c r="C1135" t="s">
        <v>1517</v>
      </c>
      <c r="D1135" t="s">
        <v>96</v>
      </c>
      <c r="E1135" t="s">
        <v>83</v>
      </c>
      <c r="G1135" t="s">
        <v>18</v>
      </c>
      <c r="H1135" s="4">
        <v>20304000</v>
      </c>
      <c r="I1135" s="5">
        <v>256</v>
      </c>
      <c r="J1135" s="5">
        <v>0</v>
      </c>
      <c r="K1135" s="5">
        <v>8</v>
      </c>
      <c r="L1135">
        <v>9.4</v>
      </c>
      <c r="M1135">
        <v>3.5</v>
      </c>
      <c r="N1135">
        <v>5.92</v>
      </c>
      <c r="O1135" s="6">
        <v>15.6</v>
      </c>
      <c r="P1135" s="7">
        <v>1.84</v>
      </c>
      <c r="U1135" t="s">
        <v>84</v>
      </c>
      <c r="V1135" t="s">
        <v>140</v>
      </c>
      <c r="W1135">
        <v>2.7</v>
      </c>
      <c r="X1135" t="s">
        <v>84</v>
      </c>
      <c r="Y1135" t="s">
        <v>99</v>
      </c>
      <c r="Z1135" t="s">
        <v>100</v>
      </c>
      <c r="AA1135" t="s">
        <v>101</v>
      </c>
      <c r="AB1135" t="s">
        <v>115</v>
      </c>
      <c r="AC1135">
        <v>752</v>
      </c>
      <c r="AD1135" s="8" t="b">
        <f>AND(
 H1135&gt;=Filters!$B$3,
 H1135&lt;=Filters!$B$4,
 I1135&gt;=Filters!$B$5,
 OR(Filters!$B$6="All",B1135=Filters!$B$6),
 F1135&gt;=Filters!$B$7,
 F1135&lt;=Filters!$B$8,
 OR(Filters!$B$9="All",G1135=Filters!$B$9)
)</f>
        <v>1</v>
      </c>
      <c r="AE1135">
        <f t="shared" si="221"/>
        <v>6</v>
      </c>
      <c r="AF1135">
        <f t="shared" si="222"/>
        <v>7</v>
      </c>
      <c r="AG1135">
        <f t="shared" si="223"/>
        <v>7</v>
      </c>
      <c r="AH1135" s="9">
        <f t="shared" si="224"/>
        <v>0.97619047619047628</v>
      </c>
      <c r="AI1135" s="9">
        <f t="shared" si="225"/>
        <v>0.80952380952380942</v>
      </c>
      <c r="AJ1135" s="9">
        <f t="shared" si="226"/>
        <v>0.27380952380952378</v>
      </c>
      <c r="AK1135" s="9">
        <f t="shared" si="227"/>
        <v>0.56190476190476191</v>
      </c>
      <c r="AL1135" s="9">
        <f t="shared" si="228"/>
        <v>0.92380952380952375</v>
      </c>
      <c r="AM1135" s="9">
        <f t="shared" si="229"/>
        <v>0.5714285714285714</v>
      </c>
      <c r="AN1135" s="9">
        <f t="shared" si="230"/>
        <v>0.69047619047619047</v>
      </c>
      <c r="AO1135" s="9">
        <f t="shared" si="231"/>
        <v>0.69047619047619047</v>
      </c>
      <c r="AP1135" s="9">
        <f t="shared" si="232"/>
        <v>0.72897530367735075</v>
      </c>
      <c r="AQ1135" s="10">
        <f t="shared" si="233"/>
        <v>0.72897643867735074</v>
      </c>
    </row>
    <row r="1136" spans="1:43">
      <c r="A1136">
        <v>1135</v>
      </c>
      <c r="B1136" t="s">
        <v>17</v>
      </c>
      <c r="C1136" t="s">
        <v>462</v>
      </c>
      <c r="D1136" t="s">
        <v>463</v>
      </c>
      <c r="E1136" t="s">
        <v>97</v>
      </c>
      <c r="G1136" t="s">
        <v>18</v>
      </c>
      <c r="H1136" s="4">
        <v>16632000</v>
      </c>
      <c r="I1136" s="5">
        <v>0</v>
      </c>
      <c r="J1136" s="5">
        <v>1024</v>
      </c>
      <c r="K1136" s="5">
        <v>4</v>
      </c>
      <c r="L1136">
        <v>7</v>
      </c>
      <c r="M1136">
        <v>6.5</v>
      </c>
      <c r="N1136">
        <v>5.92</v>
      </c>
      <c r="O1136" s="6">
        <v>15.6</v>
      </c>
      <c r="P1136" s="7">
        <v>2.23</v>
      </c>
      <c r="U1136" t="s">
        <v>84</v>
      </c>
      <c r="V1136" t="s">
        <v>98</v>
      </c>
      <c r="W1136">
        <v>2.5</v>
      </c>
      <c r="X1136" t="s">
        <v>122</v>
      </c>
      <c r="Y1136" t="s">
        <v>145</v>
      </c>
      <c r="Z1136" t="s">
        <v>146</v>
      </c>
      <c r="AA1136" t="s">
        <v>101</v>
      </c>
      <c r="AB1136" t="s">
        <v>115</v>
      </c>
      <c r="AC1136">
        <v>616</v>
      </c>
      <c r="AD1136" s="8" t="b">
        <f>AND(
 H1136&gt;=Filters!$B$3,
 H1136&lt;=Filters!$B$4,
 I1136&gt;=Filters!$B$5,
 OR(Filters!$B$6="All",B1136=Filters!$B$6),
 F1136&gt;=Filters!$B$7,
 F1136&lt;=Filters!$B$8,
 OR(Filters!$B$9="All",G1136=Filters!$B$9)
)</f>
        <v>0</v>
      </c>
      <c r="AE1136">
        <f t="shared" si="221"/>
        <v>6</v>
      </c>
      <c r="AF1136">
        <f t="shared" si="222"/>
        <v>7</v>
      </c>
      <c r="AG1136">
        <f t="shared" si="223"/>
        <v>7</v>
      </c>
      <c r="AH1136" s="9" t="str">
        <f t="shared" si="224"/>
        <v/>
      </c>
      <c r="AI1136" s="9" t="str">
        <f t="shared" si="225"/>
        <v/>
      </c>
      <c r="AJ1136" s="9" t="str">
        <f t="shared" si="226"/>
        <v/>
      </c>
      <c r="AK1136" s="9" t="str">
        <f t="shared" si="227"/>
        <v/>
      </c>
      <c r="AL1136" s="9" t="str">
        <f t="shared" si="228"/>
        <v/>
      </c>
      <c r="AM1136" s="9" t="str">
        <f t="shared" si="229"/>
        <v/>
      </c>
      <c r="AN1136" s="9" t="str">
        <f t="shared" si="230"/>
        <v/>
      </c>
      <c r="AO1136" s="9" t="str">
        <f t="shared" si="231"/>
        <v/>
      </c>
      <c r="AP1136" s="9" t="str">
        <f t="shared" si="232"/>
        <v/>
      </c>
      <c r="AQ1136" s="10" t="str">
        <f t="shared" si="233"/>
        <v/>
      </c>
    </row>
    <row r="1137" spans="1:43">
      <c r="A1137">
        <v>1136</v>
      </c>
      <c r="B1137" t="s">
        <v>29</v>
      </c>
      <c r="C1137" t="s">
        <v>1518</v>
      </c>
      <c r="D1137" t="s">
        <v>1519</v>
      </c>
      <c r="E1137" t="s">
        <v>97</v>
      </c>
      <c r="G1137" t="s">
        <v>18</v>
      </c>
      <c r="H1137" s="4">
        <v>29673000</v>
      </c>
      <c r="I1137" s="5">
        <v>0</v>
      </c>
      <c r="J1137" s="5">
        <v>0</v>
      </c>
      <c r="K1137" s="5">
        <v>16</v>
      </c>
      <c r="L1137">
        <v>9</v>
      </c>
      <c r="M1137">
        <v>6.5</v>
      </c>
      <c r="N1137">
        <v>5.92</v>
      </c>
      <c r="O1137" s="6">
        <v>15.6</v>
      </c>
      <c r="P1137" s="7">
        <v>2.5</v>
      </c>
      <c r="U1137" t="s">
        <v>84</v>
      </c>
      <c r="V1137" t="s">
        <v>485</v>
      </c>
      <c r="W1137">
        <v>2.5</v>
      </c>
      <c r="X1137" t="s">
        <v>104</v>
      </c>
      <c r="Y1137" t="s">
        <v>1520</v>
      </c>
      <c r="Z1137" t="s">
        <v>393</v>
      </c>
      <c r="AA1137" t="s">
        <v>101</v>
      </c>
      <c r="AB1137" t="s">
        <v>115</v>
      </c>
      <c r="AC1137">
        <v>1099</v>
      </c>
      <c r="AD1137" s="8" t="b">
        <f>AND(
 H1137&gt;=Filters!$B$3,
 H1137&lt;=Filters!$B$4,
 I1137&gt;=Filters!$B$5,
 OR(Filters!$B$6="All",B1137=Filters!$B$6),
 F1137&gt;=Filters!$B$7,
 F1137&lt;=Filters!$B$8,
 OR(Filters!$B$9="All",G1137=Filters!$B$9)
)</f>
        <v>0</v>
      </c>
      <c r="AE1137">
        <f t="shared" si="221"/>
        <v>6</v>
      </c>
      <c r="AF1137">
        <f t="shared" si="222"/>
        <v>7</v>
      </c>
      <c r="AG1137">
        <f t="shared" si="223"/>
        <v>7</v>
      </c>
      <c r="AH1137" s="9" t="str">
        <f t="shared" si="224"/>
        <v/>
      </c>
      <c r="AI1137" s="9" t="str">
        <f t="shared" si="225"/>
        <v/>
      </c>
      <c r="AJ1137" s="9" t="str">
        <f t="shared" si="226"/>
        <v/>
      </c>
      <c r="AK1137" s="9" t="str">
        <f t="shared" si="227"/>
        <v/>
      </c>
      <c r="AL1137" s="9" t="str">
        <f t="shared" si="228"/>
        <v/>
      </c>
      <c r="AM1137" s="9" t="str">
        <f t="shared" si="229"/>
        <v/>
      </c>
      <c r="AN1137" s="9" t="str">
        <f t="shared" si="230"/>
        <v/>
      </c>
      <c r="AO1137" s="9" t="str">
        <f t="shared" si="231"/>
        <v/>
      </c>
      <c r="AP1137" s="9" t="str">
        <f t="shared" si="232"/>
        <v/>
      </c>
      <c r="AQ1137" s="10" t="str">
        <f t="shared" si="233"/>
        <v/>
      </c>
    </row>
    <row r="1138" spans="1:43">
      <c r="A1138">
        <v>1137</v>
      </c>
      <c r="B1138" t="s">
        <v>26</v>
      </c>
      <c r="C1138" t="s">
        <v>917</v>
      </c>
      <c r="D1138" t="s">
        <v>918</v>
      </c>
      <c r="E1138" t="s">
        <v>468</v>
      </c>
      <c r="G1138" t="s">
        <v>18</v>
      </c>
      <c r="H1138" s="4">
        <v>106633800</v>
      </c>
      <c r="I1138" s="5">
        <v>256</v>
      </c>
      <c r="J1138" s="5">
        <v>0</v>
      </c>
      <c r="K1138" s="5">
        <v>8</v>
      </c>
      <c r="L1138">
        <v>9.1999999999999993</v>
      </c>
      <c r="M1138">
        <v>8</v>
      </c>
      <c r="N1138">
        <v>6.24</v>
      </c>
      <c r="O1138" s="6">
        <v>17.3</v>
      </c>
      <c r="P1138" s="7">
        <v>3</v>
      </c>
      <c r="U1138" t="s">
        <v>84</v>
      </c>
      <c r="V1138" t="s">
        <v>808</v>
      </c>
      <c r="W1138">
        <v>2.6</v>
      </c>
      <c r="X1138" t="s">
        <v>122</v>
      </c>
      <c r="Y1138" t="s">
        <v>1521</v>
      </c>
      <c r="Z1138" t="s">
        <v>100</v>
      </c>
      <c r="AA1138" t="s">
        <v>128</v>
      </c>
      <c r="AB1138" t="s">
        <v>869</v>
      </c>
      <c r="AC1138">
        <v>3949.4</v>
      </c>
      <c r="AD1138" s="8" t="b">
        <f>AND(
 H1138&gt;=Filters!$B$3,
 H1138&lt;=Filters!$B$4,
 I1138&gt;=Filters!$B$5,
 OR(Filters!$B$6="All",B1138=Filters!$B$6),
 F1138&gt;=Filters!$B$7,
 F1138&lt;=Filters!$B$8,
 OR(Filters!$B$9="All",G1138=Filters!$B$9)
)</f>
        <v>0</v>
      </c>
      <c r="AE1138">
        <f t="shared" si="221"/>
        <v>6</v>
      </c>
      <c r="AF1138">
        <f t="shared" si="222"/>
        <v>7</v>
      </c>
      <c r="AG1138">
        <f t="shared" si="223"/>
        <v>7</v>
      </c>
      <c r="AH1138" s="9" t="str">
        <f t="shared" si="224"/>
        <v/>
      </c>
      <c r="AI1138" s="9" t="str">
        <f t="shared" si="225"/>
        <v/>
      </c>
      <c r="AJ1138" s="9" t="str">
        <f t="shared" si="226"/>
        <v/>
      </c>
      <c r="AK1138" s="9" t="str">
        <f t="shared" si="227"/>
        <v/>
      </c>
      <c r="AL1138" s="9" t="str">
        <f t="shared" si="228"/>
        <v/>
      </c>
      <c r="AM1138" s="9" t="str">
        <f t="shared" si="229"/>
        <v/>
      </c>
      <c r="AN1138" s="9" t="str">
        <f t="shared" si="230"/>
        <v/>
      </c>
      <c r="AO1138" s="9" t="str">
        <f t="shared" si="231"/>
        <v/>
      </c>
      <c r="AP1138" s="9" t="str">
        <f t="shared" si="232"/>
        <v/>
      </c>
      <c r="AQ1138" s="10" t="str">
        <f t="shared" si="233"/>
        <v/>
      </c>
    </row>
    <row r="1139" spans="1:43">
      <c r="A1139">
        <v>1138</v>
      </c>
      <c r="B1139" t="s">
        <v>23</v>
      </c>
      <c r="C1139" t="s">
        <v>356</v>
      </c>
      <c r="D1139" t="s">
        <v>357</v>
      </c>
      <c r="E1139" t="s">
        <v>97</v>
      </c>
      <c r="G1139" t="s">
        <v>18</v>
      </c>
      <c r="H1139" s="4">
        <v>21168000</v>
      </c>
      <c r="I1139" s="5">
        <v>0</v>
      </c>
      <c r="J1139" s="5">
        <v>1024</v>
      </c>
      <c r="K1139" s="5">
        <v>8</v>
      </c>
      <c r="L1139">
        <v>7</v>
      </c>
      <c r="M1139">
        <v>6.5</v>
      </c>
      <c r="N1139">
        <v>3.92</v>
      </c>
      <c r="O1139" s="6">
        <v>15.6</v>
      </c>
      <c r="P1139" s="7">
        <v>2.5</v>
      </c>
      <c r="U1139" t="s">
        <v>84</v>
      </c>
      <c r="V1139" t="s">
        <v>98</v>
      </c>
      <c r="W1139">
        <v>2.5</v>
      </c>
      <c r="X1139" t="s">
        <v>104</v>
      </c>
      <c r="Y1139" t="s">
        <v>358</v>
      </c>
      <c r="Z1139" t="s">
        <v>146</v>
      </c>
      <c r="AA1139" t="s">
        <v>114</v>
      </c>
      <c r="AB1139" t="s">
        <v>115</v>
      </c>
      <c r="AC1139">
        <v>784</v>
      </c>
      <c r="AD1139" s="8" t="b">
        <f>AND(
 H1139&gt;=Filters!$B$3,
 H1139&lt;=Filters!$B$4,
 I1139&gt;=Filters!$B$5,
 OR(Filters!$B$6="All",B1139=Filters!$B$6),
 F1139&gt;=Filters!$B$7,
 F1139&lt;=Filters!$B$8,
 OR(Filters!$B$9="All",G1139=Filters!$B$9)
)</f>
        <v>0</v>
      </c>
      <c r="AE1139">
        <f t="shared" si="221"/>
        <v>6</v>
      </c>
      <c r="AF1139">
        <f t="shared" si="222"/>
        <v>7</v>
      </c>
      <c r="AG1139">
        <f t="shared" si="223"/>
        <v>7</v>
      </c>
      <c r="AH1139" s="9" t="str">
        <f t="shared" si="224"/>
        <v/>
      </c>
      <c r="AI1139" s="9" t="str">
        <f t="shared" si="225"/>
        <v/>
      </c>
      <c r="AJ1139" s="9" t="str">
        <f t="shared" si="226"/>
        <v/>
      </c>
      <c r="AK1139" s="9" t="str">
        <f t="shared" si="227"/>
        <v/>
      </c>
      <c r="AL1139" s="9" t="str">
        <f t="shared" si="228"/>
        <v/>
      </c>
      <c r="AM1139" s="9" t="str">
        <f t="shared" si="229"/>
        <v/>
      </c>
      <c r="AN1139" s="9" t="str">
        <f t="shared" si="230"/>
        <v/>
      </c>
      <c r="AO1139" s="9" t="str">
        <f t="shared" si="231"/>
        <v/>
      </c>
      <c r="AP1139" s="9" t="str">
        <f t="shared" si="232"/>
        <v/>
      </c>
      <c r="AQ1139" s="10" t="str">
        <f t="shared" si="233"/>
        <v/>
      </c>
    </row>
    <row r="1140" spans="1:43">
      <c r="A1140">
        <v>1139</v>
      </c>
      <c r="B1140" t="s">
        <v>30</v>
      </c>
      <c r="C1140" t="s">
        <v>1422</v>
      </c>
      <c r="D1140" t="s">
        <v>1423</v>
      </c>
      <c r="E1140" t="s">
        <v>158</v>
      </c>
      <c r="G1140" t="s">
        <v>18</v>
      </c>
      <c r="H1140" s="4">
        <v>64773000</v>
      </c>
      <c r="I1140" s="5">
        <v>256</v>
      </c>
      <c r="J1140" s="5">
        <v>1024</v>
      </c>
      <c r="K1140" s="5">
        <v>16</v>
      </c>
      <c r="L1140">
        <v>9.4</v>
      </c>
      <c r="M1140">
        <v>9.1999999999999993</v>
      </c>
      <c r="N1140">
        <v>5.83</v>
      </c>
      <c r="O1140" s="6">
        <v>17.3</v>
      </c>
      <c r="P1140" s="7">
        <v>3.78</v>
      </c>
      <c r="U1140" t="s">
        <v>84</v>
      </c>
      <c r="V1140" t="s">
        <v>693</v>
      </c>
      <c r="W1140">
        <v>2.7</v>
      </c>
      <c r="X1140" t="s">
        <v>122</v>
      </c>
      <c r="Y1140" t="s">
        <v>526</v>
      </c>
      <c r="Z1140" t="s">
        <v>212</v>
      </c>
      <c r="AA1140" t="s">
        <v>101</v>
      </c>
      <c r="AB1140" t="s">
        <v>115</v>
      </c>
      <c r="AC1140">
        <v>2399</v>
      </c>
      <c r="AD1140" s="8" t="b">
        <f>AND(
 H1140&gt;=Filters!$B$3,
 H1140&lt;=Filters!$B$4,
 I1140&gt;=Filters!$B$5,
 OR(Filters!$B$6="All",B1140=Filters!$B$6),
 F1140&gt;=Filters!$B$7,
 F1140&lt;=Filters!$B$8,
 OR(Filters!$B$9="All",G1140=Filters!$B$9)
)</f>
        <v>0</v>
      </c>
      <c r="AE1140">
        <f t="shared" si="221"/>
        <v>6</v>
      </c>
      <c r="AF1140">
        <f t="shared" si="222"/>
        <v>7</v>
      </c>
      <c r="AG1140">
        <f t="shared" si="223"/>
        <v>7</v>
      </c>
      <c r="AH1140" s="9" t="str">
        <f t="shared" si="224"/>
        <v/>
      </c>
      <c r="AI1140" s="9" t="str">
        <f t="shared" si="225"/>
        <v/>
      </c>
      <c r="AJ1140" s="9" t="str">
        <f t="shared" si="226"/>
        <v/>
      </c>
      <c r="AK1140" s="9" t="str">
        <f t="shared" si="227"/>
        <v/>
      </c>
      <c r="AL1140" s="9" t="str">
        <f t="shared" si="228"/>
        <v/>
      </c>
      <c r="AM1140" s="9" t="str">
        <f t="shared" si="229"/>
        <v/>
      </c>
      <c r="AN1140" s="9" t="str">
        <f t="shared" si="230"/>
        <v/>
      </c>
      <c r="AO1140" s="9" t="str">
        <f t="shared" si="231"/>
        <v/>
      </c>
      <c r="AP1140" s="9" t="str">
        <f t="shared" si="232"/>
        <v/>
      </c>
      <c r="AQ1140" s="10" t="str">
        <f t="shared" si="233"/>
        <v/>
      </c>
    </row>
    <row r="1141" spans="1:43">
      <c r="A1141">
        <v>1140</v>
      </c>
      <c r="B1141" t="s">
        <v>26</v>
      </c>
      <c r="C1141" t="s">
        <v>978</v>
      </c>
      <c r="D1141" t="s">
        <v>958</v>
      </c>
      <c r="E1141" t="s">
        <v>83</v>
      </c>
      <c r="G1141" t="s">
        <v>18</v>
      </c>
      <c r="H1141" s="4">
        <v>58636440</v>
      </c>
      <c r="I1141" s="5">
        <v>256</v>
      </c>
      <c r="J1141" s="5">
        <v>0</v>
      </c>
      <c r="K1141" s="5">
        <v>8</v>
      </c>
      <c r="L1141">
        <v>9</v>
      </c>
      <c r="M1141">
        <v>3.5</v>
      </c>
      <c r="N1141">
        <v>5.92</v>
      </c>
      <c r="O1141" s="6">
        <v>15.6</v>
      </c>
      <c r="P1141" s="7">
        <v>1.88</v>
      </c>
      <c r="U1141" t="s">
        <v>84</v>
      </c>
      <c r="V1141" t="s">
        <v>485</v>
      </c>
      <c r="W1141">
        <v>2.5</v>
      </c>
      <c r="X1141" t="s">
        <v>84</v>
      </c>
      <c r="Y1141" t="s">
        <v>130</v>
      </c>
      <c r="Z1141" t="s">
        <v>100</v>
      </c>
      <c r="AA1141" t="s">
        <v>101</v>
      </c>
      <c r="AB1141" t="s">
        <v>869</v>
      </c>
      <c r="AC1141">
        <v>2171.7199999999998</v>
      </c>
      <c r="AD1141" s="8" t="b">
        <f>AND(
 H1141&gt;=Filters!$B$3,
 H1141&lt;=Filters!$B$4,
 I1141&gt;=Filters!$B$5,
 OR(Filters!$B$6="All",B1141=Filters!$B$6),
 F1141&gt;=Filters!$B$7,
 F1141&lt;=Filters!$B$8,
 OR(Filters!$B$9="All",G1141=Filters!$B$9)
)</f>
        <v>0</v>
      </c>
      <c r="AE1141">
        <f t="shared" si="221"/>
        <v>6</v>
      </c>
      <c r="AF1141">
        <f t="shared" si="222"/>
        <v>7</v>
      </c>
      <c r="AG1141">
        <f t="shared" si="223"/>
        <v>7</v>
      </c>
      <c r="AH1141" s="9" t="str">
        <f t="shared" si="224"/>
        <v/>
      </c>
      <c r="AI1141" s="9" t="str">
        <f t="shared" si="225"/>
        <v/>
      </c>
      <c r="AJ1141" s="9" t="str">
        <f t="shared" si="226"/>
        <v/>
      </c>
      <c r="AK1141" s="9" t="str">
        <f t="shared" si="227"/>
        <v/>
      </c>
      <c r="AL1141" s="9" t="str">
        <f t="shared" si="228"/>
        <v/>
      </c>
      <c r="AM1141" s="9" t="str">
        <f t="shared" si="229"/>
        <v/>
      </c>
      <c r="AN1141" s="9" t="str">
        <f t="shared" si="230"/>
        <v/>
      </c>
      <c r="AO1141" s="9" t="str">
        <f t="shared" si="231"/>
        <v/>
      </c>
      <c r="AP1141" s="9" t="str">
        <f t="shared" si="232"/>
        <v/>
      </c>
      <c r="AQ1141" s="10" t="str">
        <f t="shared" si="233"/>
        <v/>
      </c>
    </row>
    <row r="1142" spans="1:43">
      <c r="A1142">
        <v>1141</v>
      </c>
      <c r="B1142" t="s">
        <v>29</v>
      </c>
      <c r="C1142" t="s">
        <v>546</v>
      </c>
      <c r="D1142" t="s">
        <v>547</v>
      </c>
      <c r="E1142" t="s">
        <v>168</v>
      </c>
      <c r="G1142" t="s">
        <v>18</v>
      </c>
      <c r="H1142" s="4">
        <v>65880000</v>
      </c>
      <c r="I1142" s="5">
        <v>512</v>
      </c>
      <c r="J1142" s="5">
        <v>0</v>
      </c>
      <c r="K1142" s="5">
        <v>16</v>
      </c>
      <c r="L1142">
        <v>9.1999999999999993</v>
      </c>
      <c r="M1142">
        <v>3.5</v>
      </c>
      <c r="N1142">
        <v>7.7</v>
      </c>
      <c r="O1142" s="6">
        <v>14</v>
      </c>
      <c r="P1142" s="7">
        <v>2.8</v>
      </c>
      <c r="U1142" t="s">
        <v>84</v>
      </c>
      <c r="V1142" t="s">
        <v>548</v>
      </c>
      <c r="W1142">
        <v>2.6</v>
      </c>
      <c r="X1142" t="s">
        <v>84</v>
      </c>
      <c r="Y1142" t="s">
        <v>130</v>
      </c>
      <c r="Z1142" t="s">
        <v>106</v>
      </c>
      <c r="AA1142" t="s">
        <v>1199</v>
      </c>
      <c r="AB1142" t="s">
        <v>115</v>
      </c>
      <c r="AC1142">
        <v>2440</v>
      </c>
      <c r="AD1142" s="8" t="b">
        <f>AND(
 H1142&gt;=Filters!$B$3,
 H1142&lt;=Filters!$B$4,
 I1142&gt;=Filters!$B$5,
 OR(Filters!$B$6="All",B1142=Filters!$B$6),
 F1142&gt;=Filters!$B$7,
 F1142&lt;=Filters!$B$8,
 OR(Filters!$B$9="All",G1142=Filters!$B$9)
)</f>
        <v>0</v>
      </c>
      <c r="AE1142">
        <f t="shared" si="221"/>
        <v>6</v>
      </c>
      <c r="AF1142">
        <f t="shared" si="222"/>
        <v>7</v>
      </c>
      <c r="AG1142">
        <f t="shared" si="223"/>
        <v>7</v>
      </c>
      <c r="AH1142" s="9" t="str">
        <f t="shared" si="224"/>
        <v/>
      </c>
      <c r="AI1142" s="9" t="str">
        <f t="shared" si="225"/>
        <v/>
      </c>
      <c r="AJ1142" s="9" t="str">
        <f t="shared" si="226"/>
        <v/>
      </c>
      <c r="AK1142" s="9" t="str">
        <f t="shared" si="227"/>
        <v/>
      </c>
      <c r="AL1142" s="9" t="str">
        <f t="shared" si="228"/>
        <v/>
      </c>
      <c r="AM1142" s="9" t="str">
        <f t="shared" si="229"/>
        <v/>
      </c>
      <c r="AN1142" s="9" t="str">
        <f t="shared" si="230"/>
        <v/>
      </c>
      <c r="AO1142" s="9" t="str">
        <f t="shared" si="231"/>
        <v/>
      </c>
      <c r="AP1142" s="9" t="str">
        <f t="shared" si="232"/>
        <v/>
      </c>
      <c r="AQ1142" s="10" t="str">
        <f t="shared" si="233"/>
        <v/>
      </c>
    </row>
    <row r="1143" spans="1:43">
      <c r="A1143">
        <v>1142</v>
      </c>
      <c r="B1143" t="s">
        <v>30</v>
      </c>
      <c r="C1143" t="s">
        <v>1522</v>
      </c>
      <c r="D1143" t="s">
        <v>1523</v>
      </c>
      <c r="E1143" t="s">
        <v>158</v>
      </c>
      <c r="G1143" t="s">
        <v>18</v>
      </c>
      <c r="H1143" s="4">
        <v>30855600</v>
      </c>
      <c r="I1143" s="5">
        <v>128</v>
      </c>
      <c r="J1143" s="5">
        <v>1024</v>
      </c>
      <c r="K1143" s="5">
        <v>8</v>
      </c>
      <c r="L1143">
        <v>9.6</v>
      </c>
      <c r="M1143">
        <v>9.1999999999999993</v>
      </c>
      <c r="N1143">
        <v>5.92</v>
      </c>
      <c r="O1143" s="6">
        <v>15.6</v>
      </c>
      <c r="P1143" s="7">
        <v>2.4</v>
      </c>
      <c r="U1143" t="s">
        <v>84</v>
      </c>
      <c r="V1143" t="s">
        <v>210</v>
      </c>
      <c r="W1143">
        <v>2.8</v>
      </c>
      <c r="X1143" t="s">
        <v>122</v>
      </c>
      <c r="Y1143" t="s">
        <v>160</v>
      </c>
      <c r="Z1143" t="s">
        <v>161</v>
      </c>
      <c r="AA1143" t="s">
        <v>101</v>
      </c>
      <c r="AB1143" t="s">
        <v>115</v>
      </c>
      <c r="AC1143">
        <v>1142.8</v>
      </c>
      <c r="AD1143" s="8" t="b">
        <f>AND(
 H1143&gt;=Filters!$B$3,
 H1143&lt;=Filters!$B$4,
 I1143&gt;=Filters!$B$5,
 OR(Filters!$B$6="All",B1143=Filters!$B$6),
 F1143&gt;=Filters!$B$7,
 F1143&lt;=Filters!$B$8,
 OR(Filters!$B$9="All",G1143=Filters!$B$9)
)</f>
        <v>0</v>
      </c>
      <c r="AE1143">
        <f t="shared" si="221"/>
        <v>6</v>
      </c>
      <c r="AF1143">
        <f t="shared" si="222"/>
        <v>7</v>
      </c>
      <c r="AG1143">
        <f t="shared" si="223"/>
        <v>7</v>
      </c>
      <c r="AH1143" s="9" t="str">
        <f t="shared" si="224"/>
        <v/>
      </c>
      <c r="AI1143" s="9" t="str">
        <f t="shared" si="225"/>
        <v/>
      </c>
      <c r="AJ1143" s="9" t="str">
        <f t="shared" si="226"/>
        <v/>
      </c>
      <c r="AK1143" s="9" t="str">
        <f t="shared" si="227"/>
        <v/>
      </c>
      <c r="AL1143" s="9" t="str">
        <f t="shared" si="228"/>
        <v/>
      </c>
      <c r="AM1143" s="9" t="str">
        <f t="shared" si="229"/>
        <v/>
      </c>
      <c r="AN1143" s="9" t="str">
        <f t="shared" si="230"/>
        <v/>
      </c>
      <c r="AO1143" s="9" t="str">
        <f t="shared" si="231"/>
        <v/>
      </c>
      <c r="AP1143" s="9" t="str">
        <f t="shared" si="232"/>
        <v/>
      </c>
      <c r="AQ1143" s="10" t="str">
        <f t="shared" si="233"/>
        <v/>
      </c>
    </row>
    <row r="1144" spans="1:43">
      <c r="A1144">
        <v>1143</v>
      </c>
      <c r="B1144" t="s">
        <v>26</v>
      </c>
      <c r="C1144" t="s">
        <v>1524</v>
      </c>
      <c r="D1144" t="s">
        <v>1498</v>
      </c>
      <c r="E1144" t="s">
        <v>168</v>
      </c>
      <c r="G1144" t="s">
        <v>18</v>
      </c>
      <c r="H1144" s="4">
        <v>43983000</v>
      </c>
      <c r="I1144" s="5">
        <v>256</v>
      </c>
      <c r="J1144" s="5">
        <v>0</v>
      </c>
      <c r="K1144" s="5">
        <v>8</v>
      </c>
      <c r="L1144">
        <v>6.8</v>
      </c>
      <c r="M1144">
        <v>3.5</v>
      </c>
      <c r="N1144">
        <v>6.26</v>
      </c>
      <c r="O1144" s="6">
        <v>13.3</v>
      </c>
      <c r="P1144" s="7">
        <v>1.48</v>
      </c>
      <c r="U1144" t="s">
        <v>84</v>
      </c>
      <c r="V1144" t="s">
        <v>1024</v>
      </c>
      <c r="W1144">
        <v>2.4</v>
      </c>
      <c r="X1144" t="s">
        <v>84</v>
      </c>
      <c r="Y1144" t="s">
        <v>130</v>
      </c>
      <c r="Z1144" t="s">
        <v>100</v>
      </c>
      <c r="AA1144" t="s">
        <v>169</v>
      </c>
      <c r="AB1144" t="s">
        <v>115</v>
      </c>
      <c r="AC1144">
        <v>1629</v>
      </c>
      <c r="AD1144" s="8" t="b">
        <f>AND(
 H1144&gt;=Filters!$B$3,
 H1144&lt;=Filters!$B$4,
 I1144&gt;=Filters!$B$5,
 OR(Filters!$B$6="All",B1144=Filters!$B$6),
 F1144&gt;=Filters!$B$7,
 F1144&lt;=Filters!$B$8,
 OR(Filters!$B$9="All",G1144=Filters!$B$9)
)</f>
        <v>0</v>
      </c>
      <c r="AE1144">
        <f t="shared" si="221"/>
        <v>6</v>
      </c>
      <c r="AF1144">
        <f t="shared" si="222"/>
        <v>7</v>
      </c>
      <c r="AG1144">
        <f t="shared" si="223"/>
        <v>7</v>
      </c>
      <c r="AH1144" s="9" t="str">
        <f t="shared" si="224"/>
        <v/>
      </c>
      <c r="AI1144" s="9" t="str">
        <f t="shared" si="225"/>
        <v/>
      </c>
      <c r="AJ1144" s="9" t="str">
        <f t="shared" si="226"/>
        <v/>
      </c>
      <c r="AK1144" s="9" t="str">
        <f t="shared" si="227"/>
        <v/>
      </c>
      <c r="AL1144" s="9" t="str">
        <f t="shared" si="228"/>
        <v/>
      </c>
      <c r="AM1144" s="9" t="str">
        <f t="shared" si="229"/>
        <v/>
      </c>
      <c r="AN1144" s="9" t="str">
        <f t="shared" si="230"/>
        <v/>
      </c>
      <c r="AO1144" s="9" t="str">
        <f t="shared" si="231"/>
        <v/>
      </c>
      <c r="AP1144" s="9" t="str">
        <f t="shared" si="232"/>
        <v/>
      </c>
      <c r="AQ1144" s="10" t="str">
        <f t="shared" si="233"/>
        <v/>
      </c>
    </row>
    <row r="1145" spans="1:43">
      <c r="A1145">
        <v>1144</v>
      </c>
      <c r="B1145" t="s">
        <v>26</v>
      </c>
      <c r="C1145" t="s">
        <v>1120</v>
      </c>
      <c r="D1145" t="s">
        <v>1121</v>
      </c>
      <c r="E1145" t="s">
        <v>468</v>
      </c>
      <c r="G1145" t="s">
        <v>18</v>
      </c>
      <c r="H1145" s="4">
        <v>60183000</v>
      </c>
      <c r="I1145" s="5">
        <v>256</v>
      </c>
      <c r="J1145" s="5">
        <v>0</v>
      </c>
      <c r="K1145" s="5">
        <v>8</v>
      </c>
      <c r="L1145">
        <v>9.1999999999999993</v>
      </c>
      <c r="M1145">
        <v>8</v>
      </c>
      <c r="N1145">
        <v>6.32</v>
      </c>
      <c r="O1145" s="6">
        <v>15.6</v>
      </c>
      <c r="P1145" s="7">
        <v>2.59</v>
      </c>
      <c r="U1145" t="s">
        <v>84</v>
      </c>
      <c r="V1145" t="s">
        <v>808</v>
      </c>
      <c r="W1145">
        <v>2.6</v>
      </c>
      <c r="X1145" t="s">
        <v>122</v>
      </c>
      <c r="Y1145" t="s">
        <v>1151</v>
      </c>
      <c r="Z1145" t="s">
        <v>100</v>
      </c>
      <c r="AA1145" t="s">
        <v>128</v>
      </c>
      <c r="AB1145" t="s">
        <v>869</v>
      </c>
      <c r="AC1145">
        <v>2229</v>
      </c>
      <c r="AD1145" s="8" t="b">
        <f>AND(
 H1145&gt;=Filters!$B$3,
 H1145&lt;=Filters!$B$4,
 I1145&gt;=Filters!$B$5,
 OR(Filters!$B$6="All",B1145=Filters!$B$6),
 F1145&gt;=Filters!$B$7,
 F1145&lt;=Filters!$B$8,
 OR(Filters!$B$9="All",G1145=Filters!$B$9)
)</f>
        <v>0</v>
      </c>
      <c r="AE1145">
        <f t="shared" si="221"/>
        <v>6</v>
      </c>
      <c r="AF1145">
        <f t="shared" si="222"/>
        <v>7</v>
      </c>
      <c r="AG1145">
        <f t="shared" si="223"/>
        <v>7</v>
      </c>
      <c r="AH1145" s="9" t="str">
        <f t="shared" si="224"/>
        <v/>
      </c>
      <c r="AI1145" s="9" t="str">
        <f t="shared" si="225"/>
        <v/>
      </c>
      <c r="AJ1145" s="9" t="str">
        <f t="shared" si="226"/>
        <v/>
      </c>
      <c r="AK1145" s="9" t="str">
        <f t="shared" si="227"/>
        <v/>
      </c>
      <c r="AL1145" s="9" t="str">
        <f t="shared" si="228"/>
        <v/>
      </c>
      <c r="AM1145" s="9" t="str">
        <f t="shared" si="229"/>
        <v/>
      </c>
      <c r="AN1145" s="9" t="str">
        <f t="shared" si="230"/>
        <v/>
      </c>
      <c r="AO1145" s="9" t="str">
        <f t="shared" si="231"/>
        <v/>
      </c>
      <c r="AP1145" s="9" t="str">
        <f t="shared" si="232"/>
        <v/>
      </c>
      <c r="AQ1145" s="10" t="str">
        <f t="shared" si="233"/>
        <v/>
      </c>
    </row>
    <row r="1146" spans="1:43">
      <c r="A1146">
        <v>1145</v>
      </c>
      <c r="B1146" t="s">
        <v>26</v>
      </c>
      <c r="C1146" t="s">
        <v>1524</v>
      </c>
      <c r="D1146" t="s">
        <v>1498</v>
      </c>
      <c r="E1146" t="s">
        <v>168</v>
      </c>
      <c r="G1146" t="s">
        <v>18</v>
      </c>
      <c r="H1146" s="4">
        <v>48573000</v>
      </c>
      <c r="I1146" s="5">
        <v>256</v>
      </c>
      <c r="J1146" s="5">
        <v>0</v>
      </c>
      <c r="K1146" s="5">
        <v>8</v>
      </c>
      <c r="L1146">
        <v>9.1999999999999993</v>
      </c>
      <c r="M1146">
        <v>3.5</v>
      </c>
      <c r="N1146">
        <v>7.26</v>
      </c>
      <c r="O1146" s="6">
        <v>13.3</v>
      </c>
      <c r="P1146" s="7">
        <v>1.48</v>
      </c>
      <c r="U1146" t="s">
        <v>84</v>
      </c>
      <c r="V1146" t="s">
        <v>548</v>
      </c>
      <c r="W1146">
        <v>2.6</v>
      </c>
      <c r="X1146" t="s">
        <v>84</v>
      </c>
      <c r="Y1146" t="s">
        <v>130</v>
      </c>
      <c r="Z1146" t="s">
        <v>100</v>
      </c>
      <c r="AA1146" t="s">
        <v>446</v>
      </c>
      <c r="AB1146" t="s">
        <v>115</v>
      </c>
      <c r="AC1146">
        <v>1799</v>
      </c>
      <c r="AD1146" s="8" t="b">
        <f>AND(
 H1146&gt;=Filters!$B$3,
 H1146&lt;=Filters!$B$4,
 I1146&gt;=Filters!$B$5,
 OR(Filters!$B$6="All",B1146=Filters!$B$6),
 F1146&gt;=Filters!$B$7,
 F1146&lt;=Filters!$B$8,
 OR(Filters!$B$9="All",G1146=Filters!$B$9)
)</f>
        <v>0</v>
      </c>
      <c r="AE1146">
        <f t="shared" si="221"/>
        <v>6</v>
      </c>
      <c r="AF1146">
        <f t="shared" si="222"/>
        <v>7</v>
      </c>
      <c r="AG1146">
        <f t="shared" si="223"/>
        <v>7</v>
      </c>
      <c r="AH1146" s="9" t="str">
        <f t="shared" si="224"/>
        <v/>
      </c>
      <c r="AI1146" s="9" t="str">
        <f t="shared" si="225"/>
        <v/>
      </c>
      <c r="AJ1146" s="9" t="str">
        <f t="shared" si="226"/>
        <v/>
      </c>
      <c r="AK1146" s="9" t="str">
        <f t="shared" si="227"/>
        <v/>
      </c>
      <c r="AL1146" s="9" t="str">
        <f t="shared" si="228"/>
        <v/>
      </c>
      <c r="AM1146" s="9" t="str">
        <f t="shared" si="229"/>
        <v/>
      </c>
      <c r="AN1146" s="9" t="str">
        <f t="shared" si="230"/>
        <v/>
      </c>
      <c r="AO1146" s="9" t="str">
        <f t="shared" si="231"/>
        <v/>
      </c>
      <c r="AP1146" s="9" t="str">
        <f t="shared" si="232"/>
        <v/>
      </c>
      <c r="AQ1146" s="10" t="str">
        <f t="shared" si="233"/>
        <v/>
      </c>
    </row>
    <row r="1147" spans="1:43">
      <c r="A1147">
        <v>1146</v>
      </c>
      <c r="B1147" t="s">
        <v>26</v>
      </c>
      <c r="C1147" t="s">
        <v>1337</v>
      </c>
      <c r="D1147" t="s">
        <v>1338</v>
      </c>
      <c r="E1147" t="s">
        <v>468</v>
      </c>
      <c r="G1147" t="s">
        <v>18</v>
      </c>
      <c r="H1147" s="4">
        <v>51273000</v>
      </c>
      <c r="I1147" s="5">
        <v>256</v>
      </c>
      <c r="J1147" s="5">
        <v>0</v>
      </c>
      <c r="K1147" s="5">
        <v>8</v>
      </c>
      <c r="L1147">
        <v>9.1999999999999993</v>
      </c>
      <c r="M1147">
        <v>8</v>
      </c>
      <c r="N1147">
        <v>5.92</v>
      </c>
      <c r="O1147" s="6">
        <v>15.6</v>
      </c>
      <c r="P1147" s="7">
        <v>2</v>
      </c>
      <c r="U1147" t="s">
        <v>84</v>
      </c>
      <c r="V1147" t="s">
        <v>808</v>
      </c>
      <c r="W1147">
        <v>2.6</v>
      </c>
      <c r="X1147" t="s">
        <v>122</v>
      </c>
      <c r="Y1147" t="s">
        <v>1151</v>
      </c>
      <c r="Z1147" t="s">
        <v>100</v>
      </c>
      <c r="AA1147" t="s">
        <v>101</v>
      </c>
      <c r="AB1147" t="s">
        <v>869</v>
      </c>
      <c r="AC1147">
        <v>1899</v>
      </c>
      <c r="AD1147" s="8" t="b">
        <f>AND(
 H1147&gt;=Filters!$B$3,
 H1147&lt;=Filters!$B$4,
 I1147&gt;=Filters!$B$5,
 OR(Filters!$B$6="All",B1147=Filters!$B$6),
 F1147&gt;=Filters!$B$7,
 F1147&lt;=Filters!$B$8,
 OR(Filters!$B$9="All",G1147=Filters!$B$9)
)</f>
        <v>0</v>
      </c>
      <c r="AE1147">
        <f t="shared" si="221"/>
        <v>6</v>
      </c>
      <c r="AF1147">
        <f t="shared" si="222"/>
        <v>7</v>
      </c>
      <c r="AG1147">
        <f t="shared" si="223"/>
        <v>7</v>
      </c>
      <c r="AH1147" s="9" t="str">
        <f t="shared" si="224"/>
        <v/>
      </c>
      <c r="AI1147" s="9" t="str">
        <f t="shared" si="225"/>
        <v/>
      </c>
      <c r="AJ1147" s="9" t="str">
        <f t="shared" si="226"/>
        <v/>
      </c>
      <c r="AK1147" s="9" t="str">
        <f t="shared" si="227"/>
        <v/>
      </c>
      <c r="AL1147" s="9" t="str">
        <f t="shared" si="228"/>
        <v/>
      </c>
      <c r="AM1147" s="9" t="str">
        <f t="shared" si="229"/>
        <v/>
      </c>
      <c r="AN1147" s="9" t="str">
        <f t="shared" si="230"/>
        <v/>
      </c>
      <c r="AO1147" s="9" t="str">
        <f t="shared" si="231"/>
        <v/>
      </c>
      <c r="AP1147" s="9" t="str">
        <f t="shared" si="232"/>
        <v/>
      </c>
      <c r="AQ1147" s="10" t="str">
        <f t="shared" si="233"/>
        <v/>
      </c>
    </row>
    <row r="1148" spans="1:43">
      <c r="A1148">
        <v>1147</v>
      </c>
      <c r="B1148" t="s">
        <v>26</v>
      </c>
      <c r="C1148" t="s">
        <v>1165</v>
      </c>
      <c r="D1148" t="s">
        <v>1166</v>
      </c>
      <c r="E1148" t="s">
        <v>83</v>
      </c>
      <c r="G1148" t="s">
        <v>18</v>
      </c>
      <c r="H1148" s="4">
        <v>62017650</v>
      </c>
      <c r="I1148" s="5">
        <v>256</v>
      </c>
      <c r="J1148" s="5">
        <v>0</v>
      </c>
      <c r="K1148" s="5">
        <v>8</v>
      </c>
      <c r="L1148">
        <v>9</v>
      </c>
      <c r="M1148">
        <v>3.5</v>
      </c>
      <c r="N1148">
        <v>5.92</v>
      </c>
      <c r="O1148" s="6">
        <v>12.5</v>
      </c>
      <c r="P1148" s="7">
        <v>1.26</v>
      </c>
      <c r="U1148" t="s">
        <v>84</v>
      </c>
      <c r="V1148" t="s">
        <v>485</v>
      </c>
      <c r="W1148">
        <v>2.5</v>
      </c>
      <c r="X1148" t="s">
        <v>84</v>
      </c>
      <c r="Y1148" t="s">
        <v>130</v>
      </c>
      <c r="Z1148" t="s">
        <v>100</v>
      </c>
      <c r="AA1148" t="s">
        <v>101</v>
      </c>
      <c r="AB1148" t="s">
        <v>869</v>
      </c>
      <c r="AC1148">
        <v>2296.9499999999998</v>
      </c>
      <c r="AD1148" s="8" t="b">
        <f>AND(
 H1148&gt;=Filters!$B$3,
 H1148&lt;=Filters!$B$4,
 I1148&gt;=Filters!$B$5,
 OR(Filters!$B$6="All",B1148=Filters!$B$6),
 F1148&gt;=Filters!$B$7,
 F1148&lt;=Filters!$B$8,
 OR(Filters!$B$9="All",G1148=Filters!$B$9)
)</f>
        <v>0</v>
      </c>
      <c r="AE1148">
        <f t="shared" si="221"/>
        <v>6</v>
      </c>
      <c r="AF1148">
        <f t="shared" si="222"/>
        <v>7</v>
      </c>
      <c r="AG1148">
        <f t="shared" si="223"/>
        <v>7</v>
      </c>
      <c r="AH1148" s="9" t="str">
        <f t="shared" si="224"/>
        <v/>
      </c>
      <c r="AI1148" s="9" t="str">
        <f t="shared" si="225"/>
        <v/>
      </c>
      <c r="AJ1148" s="9" t="str">
        <f t="shared" si="226"/>
        <v/>
      </c>
      <c r="AK1148" s="9" t="str">
        <f t="shared" si="227"/>
        <v/>
      </c>
      <c r="AL1148" s="9" t="str">
        <f t="shared" si="228"/>
        <v/>
      </c>
      <c r="AM1148" s="9" t="str">
        <f t="shared" si="229"/>
        <v/>
      </c>
      <c r="AN1148" s="9" t="str">
        <f t="shared" si="230"/>
        <v/>
      </c>
      <c r="AO1148" s="9" t="str">
        <f t="shared" si="231"/>
        <v/>
      </c>
      <c r="AP1148" s="9" t="str">
        <f t="shared" si="232"/>
        <v/>
      </c>
      <c r="AQ1148" s="10" t="str">
        <f t="shared" si="233"/>
        <v/>
      </c>
    </row>
    <row r="1149" spans="1:43">
      <c r="A1149">
        <v>1148</v>
      </c>
      <c r="B1149" t="s">
        <v>23</v>
      </c>
      <c r="C1149" t="s">
        <v>853</v>
      </c>
      <c r="D1149" t="s">
        <v>854</v>
      </c>
      <c r="E1149" t="s">
        <v>97</v>
      </c>
      <c r="G1149" t="s">
        <v>18</v>
      </c>
      <c r="H1149" s="4">
        <v>27267300</v>
      </c>
      <c r="I1149" s="5">
        <v>256</v>
      </c>
      <c r="J1149" s="5">
        <v>0</v>
      </c>
      <c r="K1149" s="5">
        <v>8</v>
      </c>
      <c r="L1149">
        <v>9.4</v>
      </c>
      <c r="M1149">
        <v>6.5</v>
      </c>
      <c r="N1149">
        <v>5.92</v>
      </c>
      <c r="O1149" s="6">
        <v>15.6</v>
      </c>
      <c r="P1149" s="7">
        <v>2.1800000000000002</v>
      </c>
      <c r="U1149" t="s">
        <v>84</v>
      </c>
      <c r="V1149" t="s">
        <v>140</v>
      </c>
      <c r="W1149">
        <v>2.7</v>
      </c>
      <c r="X1149" t="s">
        <v>122</v>
      </c>
      <c r="Y1149" t="s">
        <v>145</v>
      </c>
      <c r="Z1149" t="s">
        <v>100</v>
      </c>
      <c r="AA1149" t="s">
        <v>101</v>
      </c>
      <c r="AB1149" t="s">
        <v>115</v>
      </c>
      <c r="AC1149">
        <v>1009.9</v>
      </c>
      <c r="AD1149" s="8" t="b">
        <f>AND(
 H1149&gt;=Filters!$B$3,
 H1149&lt;=Filters!$B$4,
 I1149&gt;=Filters!$B$5,
 OR(Filters!$B$6="All",B1149=Filters!$B$6),
 F1149&gt;=Filters!$B$7,
 F1149&lt;=Filters!$B$8,
 OR(Filters!$B$9="All",G1149=Filters!$B$9)
)</f>
        <v>0</v>
      </c>
      <c r="AE1149">
        <f t="shared" si="221"/>
        <v>6</v>
      </c>
      <c r="AF1149">
        <f t="shared" si="222"/>
        <v>7</v>
      </c>
      <c r="AG1149">
        <f t="shared" si="223"/>
        <v>7</v>
      </c>
      <c r="AH1149" s="9" t="str">
        <f t="shared" si="224"/>
        <v/>
      </c>
      <c r="AI1149" s="9" t="str">
        <f t="shared" si="225"/>
        <v/>
      </c>
      <c r="AJ1149" s="9" t="str">
        <f t="shared" si="226"/>
        <v/>
      </c>
      <c r="AK1149" s="9" t="str">
        <f t="shared" si="227"/>
        <v/>
      </c>
      <c r="AL1149" s="9" t="str">
        <f t="shared" si="228"/>
        <v/>
      </c>
      <c r="AM1149" s="9" t="str">
        <f t="shared" si="229"/>
        <v/>
      </c>
      <c r="AN1149" s="9" t="str">
        <f t="shared" si="230"/>
        <v/>
      </c>
      <c r="AO1149" s="9" t="str">
        <f t="shared" si="231"/>
        <v/>
      </c>
      <c r="AP1149" s="9" t="str">
        <f t="shared" si="232"/>
        <v/>
      </c>
      <c r="AQ1149" s="10" t="str">
        <f t="shared" si="233"/>
        <v/>
      </c>
    </row>
    <row r="1150" spans="1:43">
      <c r="A1150">
        <v>1149</v>
      </c>
      <c r="B1150" t="s">
        <v>26</v>
      </c>
      <c r="C1150" t="s">
        <v>957</v>
      </c>
      <c r="D1150" t="s">
        <v>958</v>
      </c>
      <c r="E1150" t="s">
        <v>97</v>
      </c>
      <c r="G1150" t="s">
        <v>18</v>
      </c>
      <c r="H1150" s="4">
        <v>42633000</v>
      </c>
      <c r="I1150" s="5">
        <v>256</v>
      </c>
      <c r="J1150" s="5">
        <v>0</v>
      </c>
      <c r="K1150" s="5">
        <v>8</v>
      </c>
      <c r="L1150">
        <v>6.6</v>
      </c>
      <c r="M1150">
        <v>3.5</v>
      </c>
      <c r="N1150">
        <v>5.92</v>
      </c>
      <c r="O1150" s="6">
        <v>15.6</v>
      </c>
      <c r="P1150" s="7">
        <v>1.88</v>
      </c>
      <c r="U1150" t="s">
        <v>84</v>
      </c>
      <c r="V1150" t="s">
        <v>375</v>
      </c>
      <c r="W1150">
        <v>2.2999999999999998</v>
      </c>
      <c r="X1150" t="s">
        <v>84</v>
      </c>
      <c r="Y1150" t="s">
        <v>130</v>
      </c>
      <c r="Z1150" t="s">
        <v>100</v>
      </c>
      <c r="AA1150" t="s">
        <v>101</v>
      </c>
      <c r="AB1150" t="s">
        <v>869</v>
      </c>
      <c r="AC1150">
        <v>1579</v>
      </c>
      <c r="AD1150" s="8" t="b">
        <f>AND(
 H1150&gt;=Filters!$B$3,
 H1150&lt;=Filters!$B$4,
 I1150&gt;=Filters!$B$5,
 OR(Filters!$B$6="All",B1150=Filters!$B$6),
 F1150&gt;=Filters!$B$7,
 F1150&lt;=Filters!$B$8,
 OR(Filters!$B$9="All",G1150=Filters!$B$9)
)</f>
        <v>0</v>
      </c>
      <c r="AE1150">
        <f t="shared" si="221"/>
        <v>6</v>
      </c>
      <c r="AF1150">
        <f t="shared" si="222"/>
        <v>7</v>
      </c>
      <c r="AG1150">
        <f t="shared" si="223"/>
        <v>7</v>
      </c>
      <c r="AH1150" s="9" t="str">
        <f t="shared" si="224"/>
        <v/>
      </c>
      <c r="AI1150" s="9" t="str">
        <f t="shared" si="225"/>
        <v/>
      </c>
      <c r="AJ1150" s="9" t="str">
        <f t="shared" si="226"/>
        <v/>
      </c>
      <c r="AK1150" s="9" t="str">
        <f t="shared" si="227"/>
        <v/>
      </c>
      <c r="AL1150" s="9" t="str">
        <f t="shared" si="228"/>
        <v/>
      </c>
      <c r="AM1150" s="9" t="str">
        <f t="shared" si="229"/>
        <v/>
      </c>
      <c r="AN1150" s="9" t="str">
        <f t="shared" si="230"/>
        <v/>
      </c>
      <c r="AO1150" s="9" t="str">
        <f t="shared" si="231"/>
        <v/>
      </c>
      <c r="AP1150" s="9" t="str">
        <f t="shared" si="232"/>
        <v/>
      </c>
      <c r="AQ1150" s="10" t="str">
        <f t="shared" si="233"/>
        <v/>
      </c>
    </row>
    <row r="1151" spans="1:43">
      <c r="A1151">
        <v>1150</v>
      </c>
      <c r="B1151" t="s">
        <v>29</v>
      </c>
      <c r="C1151" t="s">
        <v>546</v>
      </c>
      <c r="D1151" t="s">
        <v>547</v>
      </c>
      <c r="E1151" t="s">
        <v>168</v>
      </c>
      <c r="G1151" t="s">
        <v>18</v>
      </c>
      <c r="H1151" s="4">
        <v>63153000</v>
      </c>
      <c r="I1151" s="5">
        <v>256</v>
      </c>
      <c r="J1151" s="5">
        <v>0</v>
      </c>
      <c r="K1151" s="5">
        <v>8</v>
      </c>
      <c r="L1151">
        <v>9</v>
      </c>
      <c r="M1151">
        <v>3.5</v>
      </c>
      <c r="N1151">
        <v>7.7</v>
      </c>
      <c r="O1151" s="6">
        <v>14</v>
      </c>
      <c r="P1151" s="7">
        <v>1.27</v>
      </c>
      <c r="U1151" t="s">
        <v>84</v>
      </c>
      <c r="V1151" t="s">
        <v>485</v>
      </c>
      <c r="W1151">
        <v>2.5</v>
      </c>
      <c r="X1151" t="s">
        <v>84</v>
      </c>
      <c r="Y1151" t="s">
        <v>130</v>
      </c>
      <c r="Z1151" t="s">
        <v>100</v>
      </c>
      <c r="AA1151" t="s">
        <v>1199</v>
      </c>
      <c r="AB1151" t="s">
        <v>115</v>
      </c>
      <c r="AC1151">
        <v>2339</v>
      </c>
      <c r="AD1151" s="8" t="b">
        <f>AND(
 H1151&gt;=Filters!$B$3,
 H1151&lt;=Filters!$B$4,
 I1151&gt;=Filters!$B$5,
 OR(Filters!$B$6="All",B1151=Filters!$B$6),
 F1151&gt;=Filters!$B$7,
 F1151&lt;=Filters!$B$8,
 OR(Filters!$B$9="All",G1151=Filters!$B$9)
)</f>
        <v>0</v>
      </c>
      <c r="AE1151">
        <f t="shared" si="221"/>
        <v>6</v>
      </c>
      <c r="AF1151">
        <f t="shared" si="222"/>
        <v>7</v>
      </c>
      <c r="AG1151">
        <f t="shared" si="223"/>
        <v>7</v>
      </c>
      <c r="AH1151" s="9" t="str">
        <f t="shared" si="224"/>
        <v/>
      </c>
      <c r="AI1151" s="9" t="str">
        <f t="shared" si="225"/>
        <v/>
      </c>
      <c r="AJ1151" s="9" t="str">
        <f t="shared" si="226"/>
        <v/>
      </c>
      <c r="AK1151" s="9" t="str">
        <f t="shared" si="227"/>
        <v/>
      </c>
      <c r="AL1151" s="9" t="str">
        <f t="shared" si="228"/>
        <v/>
      </c>
      <c r="AM1151" s="9" t="str">
        <f t="shared" si="229"/>
        <v/>
      </c>
      <c r="AN1151" s="9" t="str">
        <f t="shared" si="230"/>
        <v/>
      </c>
      <c r="AO1151" s="9" t="str">
        <f t="shared" si="231"/>
        <v/>
      </c>
      <c r="AP1151" s="9" t="str">
        <f t="shared" si="232"/>
        <v/>
      </c>
      <c r="AQ1151" s="10" t="str">
        <f t="shared" si="233"/>
        <v/>
      </c>
    </row>
    <row r="1152" spans="1:43">
      <c r="A1152">
        <v>1151</v>
      </c>
      <c r="B1152" t="s">
        <v>29</v>
      </c>
      <c r="C1152" t="s">
        <v>1525</v>
      </c>
      <c r="D1152" t="s">
        <v>1526</v>
      </c>
      <c r="E1152" t="s">
        <v>97</v>
      </c>
      <c r="G1152" t="s">
        <v>18</v>
      </c>
      <c r="H1152" s="4">
        <v>9153000</v>
      </c>
      <c r="I1152" s="5">
        <v>0</v>
      </c>
      <c r="J1152" s="5">
        <v>1024</v>
      </c>
      <c r="K1152" s="5">
        <v>4</v>
      </c>
      <c r="L1152">
        <v>4</v>
      </c>
      <c r="M1152">
        <v>3.5</v>
      </c>
      <c r="N1152">
        <v>3.92</v>
      </c>
      <c r="O1152" s="6">
        <v>15.6</v>
      </c>
      <c r="P1152" s="7">
        <v>1.9</v>
      </c>
      <c r="U1152" t="s">
        <v>84</v>
      </c>
      <c r="V1152" t="s">
        <v>129</v>
      </c>
      <c r="W1152">
        <v>2</v>
      </c>
      <c r="X1152" t="s">
        <v>84</v>
      </c>
      <c r="Y1152" t="s">
        <v>130</v>
      </c>
      <c r="Z1152" t="s">
        <v>146</v>
      </c>
      <c r="AA1152" t="s">
        <v>114</v>
      </c>
      <c r="AB1152" t="s">
        <v>102</v>
      </c>
      <c r="AC1152">
        <v>339</v>
      </c>
      <c r="AD1152" s="8" t="b">
        <f>AND(
 H1152&gt;=Filters!$B$3,
 H1152&lt;=Filters!$B$4,
 I1152&gt;=Filters!$B$5,
 OR(Filters!$B$6="All",B1152=Filters!$B$6),
 F1152&gt;=Filters!$B$7,
 F1152&lt;=Filters!$B$8,
 OR(Filters!$B$9="All",G1152=Filters!$B$9)
)</f>
        <v>0</v>
      </c>
      <c r="AE1152">
        <f t="shared" si="221"/>
        <v>6</v>
      </c>
      <c r="AF1152">
        <f t="shared" si="222"/>
        <v>7</v>
      </c>
      <c r="AG1152">
        <f t="shared" si="223"/>
        <v>7</v>
      </c>
      <c r="AH1152" s="9" t="str">
        <f t="shared" si="224"/>
        <v/>
      </c>
      <c r="AI1152" s="9" t="str">
        <f t="shared" si="225"/>
        <v/>
      </c>
      <c r="AJ1152" s="9" t="str">
        <f t="shared" si="226"/>
        <v/>
      </c>
      <c r="AK1152" s="9" t="str">
        <f t="shared" si="227"/>
        <v/>
      </c>
      <c r="AL1152" s="9" t="str">
        <f t="shared" si="228"/>
        <v/>
      </c>
      <c r="AM1152" s="9" t="str">
        <f t="shared" si="229"/>
        <v/>
      </c>
      <c r="AN1152" s="9" t="str">
        <f t="shared" si="230"/>
        <v/>
      </c>
      <c r="AO1152" s="9" t="str">
        <f t="shared" si="231"/>
        <v/>
      </c>
      <c r="AP1152" s="9" t="str">
        <f t="shared" si="232"/>
        <v/>
      </c>
      <c r="AQ1152" s="10" t="str">
        <f t="shared" si="233"/>
        <v/>
      </c>
    </row>
    <row r="1153" spans="1:43">
      <c r="A1153">
        <v>1152</v>
      </c>
      <c r="B1153" t="s">
        <v>26</v>
      </c>
      <c r="C1153" t="s">
        <v>1527</v>
      </c>
      <c r="D1153" t="s">
        <v>1528</v>
      </c>
      <c r="E1153" t="s">
        <v>97</v>
      </c>
      <c r="G1153" t="s">
        <v>18</v>
      </c>
      <c r="H1153" s="4">
        <v>8019000</v>
      </c>
      <c r="I1153" s="5">
        <v>0</v>
      </c>
      <c r="J1153" s="5">
        <v>500</v>
      </c>
      <c r="K1153" s="5">
        <v>4</v>
      </c>
      <c r="L1153">
        <v>4.5999999999999996</v>
      </c>
      <c r="M1153">
        <v>6.5</v>
      </c>
      <c r="N1153">
        <v>3.92</v>
      </c>
      <c r="O1153" s="6">
        <v>15.6</v>
      </c>
      <c r="P1153" s="7">
        <v>1.86</v>
      </c>
      <c r="U1153" t="s">
        <v>104</v>
      </c>
      <c r="V1153" t="s">
        <v>887</v>
      </c>
      <c r="W1153">
        <v>1.8</v>
      </c>
      <c r="X1153" t="s">
        <v>104</v>
      </c>
      <c r="Y1153" t="s">
        <v>888</v>
      </c>
      <c r="Z1153" t="s">
        <v>113</v>
      </c>
      <c r="AA1153" t="s">
        <v>114</v>
      </c>
      <c r="AB1153" t="s">
        <v>115</v>
      </c>
      <c r="AC1153">
        <v>297</v>
      </c>
      <c r="AD1153" s="8" t="b">
        <f>AND(
 H1153&gt;=Filters!$B$3,
 H1153&lt;=Filters!$B$4,
 I1153&gt;=Filters!$B$5,
 OR(Filters!$B$6="All",B1153=Filters!$B$6),
 F1153&gt;=Filters!$B$7,
 F1153&lt;=Filters!$B$8,
 OR(Filters!$B$9="All",G1153=Filters!$B$9)
)</f>
        <v>0</v>
      </c>
      <c r="AE1153">
        <f t="shared" si="221"/>
        <v>6</v>
      </c>
      <c r="AF1153">
        <f t="shared" si="222"/>
        <v>7</v>
      </c>
      <c r="AG1153">
        <f t="shared" si="223"/>
        <v>7</v>
      </c>
      <c r="AH1153" s="9" t="str">
        <f t="shared" si="224"/>
        <v/>
      </c>
      <c r="AI1153" s="9" t="str">
        <f t="shared" si="225"/>
        <v/>
      </c>
      <c r="AJ1153" s="9" t="str">
        <f t="shared" si="226"/>
        <v/>
      </c>
      <c r="AK1153" s="9" t="str">
        <f t="shared" si="227"/>
        <v/>
      </c>
      <c r="AL1153" s="9" t="str">
        <f t="shared" si="228"/>
        <v/>
      </c>
      <c r="AM1153" s="9" t="str">
        <f t="shared" si="229"/>
        <v/>
      </c>
      <c r="AN1153" s="9" t="str">
        <f t="shared" si="230"/>
        <v/>
      </c>
      <c r="AO1153" s="9" t="str">
        <f t="shared" si="231"/>
        <v/>
      </c>
      <c r="AP1153" s="9" t="str">
        <f t="shared" si="232"/>
        <v/>
      </c>
      <c r="AQ1153" s="10" t="str">
        <f t="shared" si="233"/>
        <v/>
      </c>
    </row>
    <row r="1154" spans="1:43">
      <c r="A1154">
        <v>1153</v>
      </c>
      <c r="B1154" t="s">
        <v>29</v>
      </c>
      <c r="C1154" t="s">
        <v>1529</v>
      </c>
      <c r="D1154" t="s">
        <v>1530</v>
      </c>
      <c r="E1154" t="s">
        <v>97</v>
      </c>
      <c r="G1154" t="s">
        <v>18</v>
      </c>
      <c r="H1154" s="4">
        <v>16173000</v>
      </c>
      <c r="I1154" s="5">
        <v>0</v>
      </c>
      <c r="J1154" s="5">
        <v>1024</v>
      </c>
      <c r="K1154" s="5">
        <v>8</v>
      </c>
      <c r="L1154">
        <v>6.6</v>
      </c>
      <c r="M1154">
        <v>6.5</v>
      </c>
      <c r="N1154">
        <v>5.92</v>
      </c>
      <c r="O1154" s="6">
        <v>15.6</v>
      </c>
      <c r="P1154" s="7">
        <v>2.3199999999999998</v>
      </c>
      <c r="U1154" t="s">
        <v>84</v>
      </c>
      <c r="V1154" t="s">
        <v>375</v>
      </c>
      <c r="W1154">
        <v>2.2999999999999998</v>
      </c>
      <c r="X1154" t="s">
        <v>104</v>
      </c>
      <c r="Y1154" t="s">
        <v>1454</v>
      </c>
      <c r="Z1154" t="s">
        <v>146</v>
      </c>
      <c r="AA1154" t="s">
        <v>101</v>
      </c>
      <c r="AB1154" t="s">
        <v>102</v>
      </c>
      <c r="AC1154">
        <v>599</v>
      </c>
      <c r="AD1154" s="8" t="b">
        <f>AND(
 H1154&gt;=Filters!$B$3,
 H1154&lt;=Filters!$B$4,
 I1154&gt;=Filters!$B$5,
 OR(Filters!$B$6="All",B1154=Filters!$B$6),
 F1154&gt;=Filters!$B$7,
 F1154&lt;=Filters!$B$8,
 OR(Filters!$B$9="All",G1154=Filters!$B$9)
)</f>
        <v>0</v>
      </c>
      <c r="AE1154">
        <f t="shared" ref="AE1154:AE1217" si="234">IF(Q1154="",6,Q1154)</f>
        <v>6</v>
      </c>
      <c r="AF1154">
        <f t="shared" ref="AF1154:AF1217" si="235">IF(R1154="",7,R1154)</f>
        <v>7</v>
      </c>
      <c r="AG1154">
        <f t="shared" ref="AG1154:AG1217" si="236">IF(S1154="",7,S1154)</f>
        <v>7</v>
      </c>
      <c r="AH1154" s="9" t="str">
        <f t="shared" ref="AH1154:AH1217" si="237">IF(AD1154,IF(CPU_MAX=CPU_MIN,1,(L1154-CPU_MIN)/(CPU_MAX-CPU_MIN)),"")</f>
        <v/>
      </c>
      <c r="AI1154" s="9" t="str">
        <f t="shared" ref="AI1154:AI1217" si="238">IF(AD1154,IF(RAM_MAX=RAM_MIN,1,(K1154-RAM_MIN)/(RAM_MAX-RAM_MIN)),"")</f>
        <v/>
      </c>
      <c r="AJ1154" s="9" t="str">
        <f t="shared" ref="AJ1154:AJ1217" si="239">IF(AD1154,IF(GPU_MAX=GPU_MIN,1,(M1154-GPU_MIN)/(GPU_MAX-GPU_MIN)),"")</f>
        <v/>
      </c>
      <c r="AK1154" s="9" t="str">
        <f t="shared" ref="AK1154:AK1217" si="240">IF(AD1154,IF(SCREEN_MAX=SCREEN_MIN,1,(N1154-SCREEN_MIN)/(SCREEN_MAX-SCREEN_MIN)),"")</f>
        <v/>
      </c>
      <c r="AL1154" s="9" t="str">
        <f t="shared" ref="AL1154:AL1217" si="241">IF(AD1154,IF(WEIGHT_MAX=WEIGHT_MIN,1,(WEIGHT_MAX-P1154)/(WEIGHT_MAX-WEIGHT_MIN)),"")</f>
        <v/>
      </c>
      <c r="AM1154" s="9" t="str">
        <f t="shared" ref="AM1154:AM1217" si="242">IF(AD1154,IF(BATTERY_MAX=BATTERY_MIN,1,(AE1154-BATTERY_MIN)/(BATTERY_MAX-BATTERY_MIN)),"")</f>
        <v/>
      </c>
      <c r="AN1154" s="9" t="str">
        <f t="shared" ref="AN1154:AN1217" si="243">IF(AD1154,IF(DURABILITY_MAX=DURABILITY_MIN,1,(AF1154-DURABILITY_MIN)/(DURABILITY_MAX-DURABILITY_MIN)),"")</f>
        <v/>
      </c>
      <c r="AO1154" s="9" t="str">
        <f t="shared" ref="AO1154:AO1217" si="244">IF(AD1154,IF(UPGRADE_MAX=UPGRADE_MIN,1,(AG1154-UPGRADE_MIN)/(UPGRADE_MAX-UPGRADE_MIN)),"")</f>
        <v/>
      </c>
      <c r="AP1154" s="9" t="str">
        <f t="shared" ref="AP1154:AP1217" si="245">IF(AD1154,W_CPU*AH1154+W_RAM*AI1154+W_GPU*AJ1154+W_SCREEN*AK1154+W_WEIGHT*AL1154+W_BATTERY*AM1154+W_DURABILITY*AN1154+W_UPGRADE*AO1154,"" )</f>
        <v/>
      </c>
      <c r="AQ1154" s="10" t="str">
        <f t="shared" ref="AQ1154:AQ1217" si="246">IF(AP1154="","",AP1154+ROW()*0.000000001)</f>
        <v/>
      </c>
    </row>
    <row r="1155" spans="1:43">
      <c r="A1155">
        <v>1154</v>
      </c>
      <c r="B1155" t="s">
        <v>23</v>
      </c>
      <c r="C1155" t="s">
        <v>391</v>
      </c>
      <c r="D1155" t="s">
        <v>392</v>
      </c>
      <c r="E1155" t="s">
        <v>158</v>
      </c>
      <c r="G1155" t="s">
        <v>18</v>
      </c>
      <c r="H1155" s="4">
        <v>32373000</v>
      </c>
      <c r="I1155" s="5">
        <v>0</v>
      </c>
      <c r="J1155" s="5">
        <v>1024</v>
      </c>
      <c r="K1155" s="5">
        <v>8</v>
      </c>
      <c r="L1155">
        <v>9.6</v>
      </c>
      <c r="M1155">
        <v>9.1999999999999993</v>
      </c>
      <c r="N1155">
        <v>5.92</v>
      </c>
      <c r="O1155" s="6">
        <v>15.6</v>
      </c>
      <c r="P1155" s="7">
        <v>2.62</v>
      </c>
      <c r="U1155" t="s">
        <v>84</v>
      </c>
      <c r="V1155" t="s">
        <v>210</v>
      </c>
      <c r="W1155">
        <v>2.8</v>
      </c>
      <c r="X1155" t="s">
        <v>122</v>
      </c>
      <c r="Y1155" t="s">
        <v>1289</v>
      </c>
      <c r="Z1155" t="s">
        <v>146</v>
      </c>
      <c r="AA1155" t="s">
        <v>101</v>
      </c>
      <c r="AB1155" t="s">
        <v>115</v>
      </c>
      <c r="AC1155">
        <v>1199</v>
      </c>
      <c r="AD1155" s="8" t="b">
        <f>AND(
 H1155&gt;=Filters!$B$3,
 H1155&lt;=Filters!$B$4,
 I1155&gt;=Filters!$B$5,
 OR(Filters!$B$6="All",B1155=Filters!$B$6),
 F1155&gt;=Filters!$B$7,
 F1155&lt;=Filters!$B$8,
 OR(Filters!$B$9="All",G1155=Filters!$B$9)
)</f>
        <v>0</v>
      </c>
      <c r="AE1155">
        <f t="shared" si="234"/>
        <v>6</v>
      </c>
      <c r="AF1155">
        <f t="shared" si="235"/>
        <v>7</v>
      </c>
      <c r="AG1155">
        <f t="shared" si="236"/>
        <v>7</v>
      </c>
      <c r="AH1155" s="9" t="str">
        <f t="shared" si="237"/>
        <v/>
      </c>
      <c r="AI1155" s="9" t="str">
        <f t="shared" si="238"/>
        <v/>
      </c>
      <c r="AJ1155" s="9" t="str">
        <f t="shared" si="239"/>
        <v/>
      </c>
      <c r="AK1155" s="9" t="str">
        <f t="shared" si="240"/>
        <v/>
      </c>
      <c r="AL1155" s="9" t="str">
        <f t="shared" si="241"/>
        <v/>
      </c>
      <c r="AM1155" s="9" t="str">
        <f t="shared" si="242"/>
        <v/>
      </c>
      <c r="AN1155" s="9" t="str">
        <f t="shared" si="243"/>
        <v/>
      </c>
      <c r="AO1155" s="9" t="str">
        <f t="shared" si="244"/>
        <v/>
      </c>
      <c r="AP1155" s="9" t="str">
        <f t="shared" si="245"/>
        <v/>
      </c>
      <c r="AQ1155" s="10" t="str">
        <f t="shared" si="246"/>
        <v/>
      </c>
    </row>
    <row r="1156" spans="1:43">
      <c r="A1156">
        <v>1155</v>
      </c>
      <c r="B1156" t="s">
        <v>23</v>
      </c>
      <c r="C1156" t="s">
        <v>437</v>
      </c>
      <c r="D1156" t="s">
        <v>438</v>
      </c>
      <c r="E1156" t="s">
        <v>97</v>
      </c>
      <c r="G1156" t="s">
        <v>18</v>
      </c>
      <c r="H1156" s="4">
        <v>60768360</v>
      </c>
      <c r="I1156" s="5">
        <v>256</v>
      </c>
      <c r="J1156" s="5">
        <v>0</v>
      </c>
      <c r="K1156" s="5">
        <v>8</v>
      </c>
      <c r="L1156">
        <v>6.6</v>
      </c>
      <c r="M1156">
        <v>8.5</v>
      </c>
      <c r="N1156">
        <v>10</v>
      </c>
      <c r="O1156" s="6">
        <v>15.6</v>
      </c>
      <c r="P1156" s="7">
        <v>2.04</v>
      </c>
      <c r="U1156" t="s">
        <v>84</v>
      </c>
      <c r="V1156" t="s">
        <v>1094</v>
      </c>
      <c r="W1156">
        <v>2.2999999999999998</v>
      </c>
      <c r="X1156" t="s">
        <v>122</v>
      </c>
      <c r="Y1156" t="s">
        <v>1531</v>
      </c>
      <c r="Z1156" t="s">
        <v>100</v>
      </c>
      <c r="AA1156" t="s">
        <v>1160</v>
      </c>
      <c r="AB1156" t="s">
        <v>115</v>
      </c>
      <c r="AC1156">
        <v>2250.6799999999998</v>
      </c>
      <c r="AD1156" s="8" t="b">
        <f>AND(
 H1156&gt;=Filters!$B$3,
 H1156&lt;=Filters!$B$4,
 I1156&gt;=Filters!$B$5,
 OR(Filters!$B$6="All",B1156=Filters!$B$6),
 F1156&gt;=Filters!$B$7,
 F1156&lt;=Filters!$B$8,
 OR(Filters!$B$9="All",G1156=Filters!$B$9)
)</f>
        <v>0</v>
      </c>
      <c r="AE1156">
        <f t="shared" si="234"/>
        <v>6</v>
      </c>
      <c r="AF1156">
        <f t="shared" si="235"/>
        <v>7</v>
      </c>
      <c r="AG1156">
        <f t="shared" si="236"/>
        <v>7</v>
      </c>
      <c r="AH1156" s="9" t="str">
        <f t="shared" si="237"/>
        <v/>
      </c>
      <c r="AI1156" s="9" t="str">
        <f t="shared" si="238"/>
        <v/>
      </c>
      <c r="AJ1156" s="9" t="str">
        <f t="shared" si="239"/>
        <v/>
      </c>
      <c r="AK1156" s="9" t="str">
        <f t="shared" si="240"/>
        <v/>
      </c>
      <c r="AL1156" s="9" t="str">
        <f t="shared" si="241"/>
        <v/>
      </c>
      <c r="AM1156" s="9" t="str">
        <f t="shared" si="242"/>
        <v/>
      </c>
      <c r="AN1156" s="9" t="str">
        <f t="shared" si="243"/>
        <v/>
      </c>
      <c r="AO1156" s="9" t="str">
        <f t="shared" si="244"/>
        <v/>
      </c>
      <c r="AP1156" s="9" t="str">
        <f t="shared" si="245"/>
        <v/>
      </c>
      <c r="AQ1156" s="10" t="str">
        <f t="shared" si="246"/>
        <v/>
      </c>
    </row>
    <row r="1157" spans="1:43">
      <c r="A1157">
        <v>1156</v>
      </c>
      <c r="B1157" t="s">
        <v>26</v>
      </c>
      <c r="C1157" t="s">
        <v>1532</v>
      </c>
      <c r="D1157" t="s">
        <v>1533</v>
      </c>
      <c r="E1157" t="s">
        <v>97</v>
      </c>
      <c r="G1157" t="s">
        <v>18</v>
      </c>
      <c r="H1157" s="4">
        <v>12930030</v>
      </c>
      <c r="I1157" s="5">
        <v>256</v>
      </c>
      <c r="J1157" s="5">
        <v>0</v>
      </c>
      <c r="K1157" s="5">
        <v>4</v>
      </c>
      <c r="L1157">
        <v>6</v>
      </c>
      <c r="M1157">
        <v>6.5</v>
      </c>
      <c r="N1157">
        <v>5.92</v>
      </c>
      <c r="O1157" s="6">
        <v>15.6</v>
      </c>
      <c r="P1157" s="7">
        <v>1.91</v>
      </c>
      <c r="U1157" t="s">
        <v>104</v>
      </c>
      <c r="V1157" t="s">
        <v>533</v>
      </c>
      <c r="W1157">
        <v>2.5</v>
      </c>
      <c r="X1157" t="s">
        <v>104</v>
      </c>
      <c r="Y1157" t="s">
        <v>241</v>
      </c>
      <c r="Z1157" t="s">
        <v>100</v>
      </c>
      <c r="AA1157" t="s">
        <v>101</v>
      </c>
      <c r="AB1157" t="s">
        <v>115</v>
      </c>
      <c r="AC1157">
        <v>478.89</v>
      </c>
      <c r="AD1157" s="8" t="b">
        <f>AND(
 H1157&gt;=Filters!$B$3,
 H1157&lt;=Filters!$B$4,
 I1157&gt;=Filters!$B$5,
 OR(Filters!$B$6="All",B1157=Filters!$B$6),
 F1157&gt;=Filters!$B$7,
 F1157&lt;=Filters!$B$8,
 OR(Filters!$B$9="All",G1157=Filters!$B$9)
)</f>
        <v>1</v>
      </c>
      <c r="AE1157">
        <f t="shared" si="234"/>
        <v>6</v>
      </c>
      <c r="AF1157">
        <f t="shared" si="235"/>
        <v>7</v>
      </c>
      <c r="AG1157">
        <f t="shared" si="236"/>
        <v>7</v>
      </c>
      <c r="AH1157" s="9">
        <f t="shared" si="237"/>
        <v>0.5714285714285714</v>
      </c>
      <c r="AI1157" s="9">
        <f t="shared" si="238"/>
        <v>0.33333333333333331</v>
      </c>
      <c r="AJ1157" s="9">
        <f t="shared" si="239"/>
        <v>0.63095238095238093</v>
      </c>
      <c r="AK1157" s="9">
        <f t="shared" si="240"/>
        <v>0.56190476190476191</v>
      </c>
      <c r="AL1157" s="9">
        <f t="shared" si="241"/>
        <v>0.91547619047619033</v>
      </c>
      <c r="AM1157" s="9">
        <f t="shared" si="242"/>
        <v>0.5714285714285714</v>
      </c>
      <c r="AN1157" s="9">
        <f t="shared" si="243"/>
        <v>0.69047619047619047</v>
      </c>
      <c r="AO1157" s="9">
        <f t="shared" si="244"/>
        <v>0.69047619047619047</v>
      </c>
      <c r="AP1157" s="9">
        <f t="shared" si="245"/>
        <v>0.58078106068806012</v>
      </c>
      <c r="AQ1157" s="10">
        <f t="shared" si="246"/>
        <v>0.58078221768806015</v>
      </c>
    </row>
    <row r="1158" spans="1:43">
      <c r="A1158">
        <v>1157</v>
      </c>
      <c r="B1158" t="s">
        <v>30</v>
      </c>
      <c r="C1158" t="s">
        <v>1534</v>
      </c>
      <c r="D1158" t="s">
        <v>1535</v>
      </c>
      <c r="E1158" t="s">
        <v>158</v>
      </c>
      <c r="G1158" t="s">
        <v>18</v>
      </c>
      <c r="H1158" s="4">
        <v>40305600</v>
      </c>
      <c r="I1158" s="5">
        <v>256</v>
      </c>
      <c r="J1158" s="5">
        <v>1024</v>
      </c>
      <c r="K1158" s="5">
        <v>16</v>
      </c>
      <c r="L1158">
        <v>9.6</v>
      </c>
      <c r="M1158">
        <v>9.1999999999999993</v>
      </c>
      <c r="N1158">
        <v>5.83</v>
      </c>
      <c r="O1158" s="6">
        <v>17.3</v>
      </c>
      <c r="P1158" s="7">
        <v>2.7</v>
      </c>
      <c r="U1158" t="s">
        <v>84</v>
      </c>
      <c r="V1158" t="s">
        <v>210</v>
      </c>
      <c r="W1158">
        <v>2.8</v>
      </c>
      <c r="X1158" t="s">
        <v>122</v>
      </c>
      <c r="Y1158" t="s">
        <v>260</v>
      </c>
      <c r="Z1158" t="s">
        <v>212</v>
      </c>
      <c r="AA1158" t="s">
        <v>101</v>
      </c>
      <c r="AB1158" t="s">
        <v>115</v>
      </c>
      <c r="AC1158">
        <v>1492.8</v>
      </c>
      <c r="AD1158" s="8" t="b">
        <f>AND(
 H1158&gt;=Filters!$B$3,
 H1158&lt;=Filters!$B$4,
 I1158&gt;=Filters!$B$5,
 OR(Filters!$B$6="All",B1158=Filters!$B$6),
 F1158&gt;=Filters!$B$7,
 F1158&lt;=Filters!$B$8,
 OR(Filters!$B$9="All",G1158=Filters!$B$9)
)</f>
        <v>0</v>
      </c>
      <c r="AE1158">
        <f t="shared" si="234"/>
        <v>6</v>
      </c>
      <c r="AF1158">
        <f t="shared" si="235"/>
        <v>7</v>
      </c>
      <c r="AG1158">
        <f t="shared" si="236"/>
        <v>7</v>
      </c>
      <c r="AH1158" s="9" t="str">
        <f t="shared" si="237"/>
        <v/>
      </c>
      <c r="AI1158" s="9" t="str">
        <f t="shared" si="238"/>
        <v/>
      </c>
      <c r="AJ1158" s="9" t="str">
        <f t="shared" si="239"/>
        <v/>
      </c>
      <c r="AK1158" s="9" t="str">
        <f t="shared" si="240"/>
        <v/>
      </c>
      <c r="AL1158" s="9" t="str">
        <f t="shared" si="241"/>
        <v/>
      </c>
      <c r="AM1158" s="9" t="str">
        <f t="shared" si="242"/>
        <v/>
      </c>
      <c r="AN1158" s="9" t="str">
        <f t="shared" si="243"/>
        <v/>
      </c>
      <c r="AO1158" s="9" t="str">
        <f t="shared" si="244"/>
        <v/>
      </c>
      <c r="AP1158" s="9" t="str">
        <f t="shared" si="245"/>
        <v/>
      </c>
      <c r="AQ1158" s="10" t="str">
        <f t="shared" si="246"/>
        <v/>
      </c>
    </row>
    <row r="1159" spans="1:43">
      <c r="A1159">
        <v>1158</v>
      </c>
      <c r="B1159" t="s">
        <v>29</v>
      </c>
      <c r="C1159" t="s">
        <v>1536</v>
      </c>
      <c r="D1159" t="s">
        <v>1537</v>
      </c>
      <c r="E1159" t="s">
        <v>83</v>
      </c>
      <c r="G1159" t="s">
        <v>18</v>
      </c>
      <c r="H1159" s="4">
        <v>62073000</v>
      </c>
      <c r="I1159" s="5">
        <v>512</v>
      </c>
      <c r="J1159" s="5">
        <v>0</v>
      </c>
      <c r="K1159" s="5">
        <v>12</v>
      </c>
      <c r="L1159">
        <v>9.1999999999999993</v>
      </c>
      <c r="M1159">
        <v>3.5</v>
      </c>
      <c r="N1159">
        <v>6</v>
      </c>
      <c r="O1159" s="6">
        <v>14</v>
      </c>
      <c r="P1159" s="7">
        <v>1.4</v>
      </c>
      <c r="U1159" t="s">
        <v>84</v>
      </c>
      <c r="V1159" t="s">
        <v>548</v>
      </c>
      <c r="W1159">
        <v>2.6</v>
      </c>
      <c r="X1159" t="s">
        <v>84</v>
      </c>
      <c r="Y1159" t="s">
        <v>130</v>
      </c>
      <c r="Z1159" t="s">
        <v>106</v>
      </c>
      <c r="AA1159" t="s">
        <v>101</v>
      </c>
      <c r="AB1159" t="s">
        <v>869</v>
      </c>
      <c r="AC1159">
        <v>2299</v>
      </c>
      <c r="AD1159" s="8" t="b">
        <f>AND(
 H1159&gt;=Filters!$B$3,
 H1159&lt;=Filters!$B$4,
 I1159&gt;=Filters!$B$5,
 OR(Filters!$B$6="All",B1159=Filters!$B$6),
 F1159&gt;=Filters!$B$7,
 F1159&lt;=Filters!$B$8,
 OR(Filters!$B$9="All",G1159=Filters!$B$9)
)</f>
        <v>0</v>
      </c>
      <c r="AE1159">
        <f t="shared" si="234"/>
        <v>6</v>
      </c>
      <c r="AF1159">
        <f t="shared" si="235"/>
        <v>7</v>
      </c>
      <c r="AG1159">
        <f t="shared" si="236"/>
        <v>7</v>
      </c>
      <c r="AH1159" s="9" t="str">
        <f t="shared" si="237"/>
        <v/>
      </c>
      <c r="AI1159" s="9" t="str">
        <f t="shared" si="238"/>
        <v/>
      </c>
      <c r="AJ1159" s="9" t="str">
        <f t="shared" si="239"/>
        <v/>
      </c>
      <c r="AK1159" s="9" t="str">
        <f t="shared" si="240"/>
        <v/>
      </c>
      <c r="AL1159" s="9" t="str">
        <f t="shared" si="241"/>
        <v/>
      </c>
      <c r="AM1159" s="9" t="str">
        <f t="shared" si="242"/>
        <v/>
      </c>
      <c r="AN1159" s="9" t="str">
        <f t="shared" si="243"/>
        <v/>
      </c>
      <c r="AO1159" s="9" t="str">
        <f t="shared" si="244"/>
        <v/>
      </c>
      <c r="AP1159" s="9" t="str">
        <f t="shared" si="245"/>
        <v/>
      </c>
      <c r="AQ1159" s="10" t="str">
        <f t="shared" si="246"/>
        <v/>
      </c>
    </row>
    <row r="1160" spans="1:43">
      <c r="A1160">
        <v>1159</v>
      </c>
      <c r="B1160" t="s">
        <v>29</v>
      </c>
      <c r="C1160" t="s">
        <v>1538</v>
      </c>
      <c r="D1160" t="s">
        <v>1539</v>
      </c>
      <c r="E1160" t="s">
        <v>97</v>
      </c>
      <c r="G1160" t="s">
        <v>18</v>
      </c>
      <c r="H1160" s="4">
        <v>21289230</v>
      </c>
      <c r="I1160" s="5">
        <v>0</v>
      </c>
      <c r="J1160" s="5">
        <v>0</v>
      </c>
      <c r="K1160" s="5">
        <v>8</v>
      </c>
      <c r="L1160">
        <v>6.6</v>
      </c>
      <c r="M1160">
        <v>6.5</v>
      </c>
      <c r="N1160">
        <v>5.92</v>
      </c>
      <c r="O1160" s="6">
        <v>15.6</v>
      </c>
      <c r="P1160" s="7">
        <v>2.5</v>
      </c>
      <c r="U1160" t="s">
        <v>84</v>
      </c>
      <c r="V1160" t="s">
        <v>375</v>
      </c>
      <c r="W1160">
        <v>2.2999999999999998</v>
      </c>
      <c r="X1160" t="s">
        <v>104</v>
      </c>
      <c r="Y1160" t="s">
        <v>1454</v>
      </c>
      <c r="Z1160" t="s">
        <v>393</v>
      </c>
      <c r="AA1160" t="s">
        <v>101</v>
      </c>
      <c r="AB1160" t="s">
        <v>115</v>
      </c>
      <c r="AC1160">
        <v>788.49</v>
      </c>
      <c r="AD1160" s="8" t="b">
        <f>AND(
 H1160&gt;=Filters!$B$3,
 H1160&lt;=Filters!$B$4,
 I1160&gt;=Filters!$B$5,
 OR(Filters!$B$6="All",B1160=Filters!$B$6),
 F1160&gt;=Filters!$B$7,
 F1160&lt;=Filters!$B$8,
 OR(Filters!$B$9="All",G1160=Filters!$B$9)
)</f>
        <v>0</v>
      </c>
      <c r="AE1160">
        <f t="shared" si="234"/>
        <v>6</v>
      </c>
      <c r="AF1160">
        <f t="shared" si="235"/>
        <v>7</v>
      </c>
      <c r="AG1160">
        <f t="shared" si="236"/>
        <v>7</v>
      </c>
      <c r="AH1160" s="9" t="str">
        <f t="shared" si="237"/>
        <v/>
      </c>
      <c r="AI1160" s="9" t="str">
        <f t="shared" si="238"/>
        <v/>
      </c>
      <c r="AJ1160" s="9" t="str">
        <f t="shared" si="239"/>
        <v/>
      </c>
      <c r="AK1160" s="9" t="str">
        <f t="shared" si="240"/>
        <v/>
      </c>
      <c r="AL1160" s="9" t="str">
        <f t="shared" si="241"/>
        <v/>
      </c>
      <c r="AM1160" s="9" t="str">
        <f t="shared" si="242"/>
        <v/>
      </c>
      <c r="AN1160" s="9" t="str">
        <f t="shared" si="243"/>
        <v/>
      </c>
      <c r="AO1160" s="9" t="str">
        <f t="shared" si="244"/>
        <v/>
      </c>
      <c r="AP1160" s="9" t="str">
        <f t="shared" si="245"/>
        <v/>
      </c>
      <c r="AQ1160" s="10" t="str">
        <f t="shared" si="246"/>
        <v/>
      </c>
    </row>
    <row r="1161" spans="1:43">
      <c r="A1161">
        <v>1160</v>
      </c>
      <c r="B1161" t="s">
        <v>26</v>
      </c>
      <c r="C1161" t="s">
        <v>1524</v>
      </c>
      <c r="D1161" t="s">
        <v>1498</v>
      </c>
      <c r="E1161" t="s">
        <v>168</v>
      </c>
      <c r="G1161" t="s">
        <v>18</v>
      </c>
      <c r="H1161" s="4">
        <v>55107000</v>
      </c>
      <c r="I1161" s="5">
        <v>512</v>
      </c>
      <c r="J1161" s="5">
        <v>0</v>
      </c>
      <c r="K1161" s="5">
        <v>8</v>
      </c>
      <c r="L1161">
        <v>9.1999999999999993</v>
      </c>
      <c r="M1161">
        <v>3.5</v>
      </c>
      <c r="N1161">
        <v>7.26</v>
      </c>
      <c r="O1161" s="6">
        <v>13.3</v>
      </c>
      <c r="P1161" s="7">
        <v>1.48</v>
      </c>
      <c r="U1161" t="s">
        <v>84</v>
      </c>
      <c r="V1161" t="s">
        <v>548</v>
      </c>
      <c r="W1161">
        <v>2.6</v>
      </c>
      <c r="X1161" t="s">
        <v>84</v>
      </c>
      <c r="Y1161" t="s">
        <v>130</v>
      </c>
      <c r="Z1161" t="s">
        <v>106</v>
      </c>
      <c r="AA1161" t="s">
        <v>446</v>
      </c>
      <c r="AB1161" t="s">
        <v>115</v>
      </c>
      <c r="AC1161">
        <v>2041</v>
      </c>
      <c r="AD1161" s="8" t="b">
        <f>AND(
 H1161&gt;=Filters!$B$3,
 H1161&lt;=Filters!$B$4,
 I1161&gt;=Filters!$B$5,
 OR(Filters!$B$6="All",B1161=Filters!$B$6),
 F1161&gt;=Filters!$B$7,
 F1161&lt;=Filters!$B$8,
 OR(Filters!$B$9="All",G1161=Filters!$B$9)
)</f>
        <v>0</v>
      </c>
      <c r="AE1161">
        <f t="shared" si="234"/>
        <v>6</v>
      </c>
      <c r="AF1161">
        <f t="shared" si="235"/>
        <v>7</v>
      </c>
      <c r="AG1161">
        <f t="shared" si="236"/>
        <v>7</v>
      </c>
      <c r="AH1161" s="9" t="str">
        <f t="shared" si="237"/>
        <v/>
      </c>
      <c r="AI1161" s="9" t="str">
        <f t="shared" si="238"/>
        <v/>
      </c>
      <c r="AJ1161" s="9" t="str">
        <f t="shared" si="239"/>
        <v/>
      </c>
      <c r="AK1161" s="9" t="str">
        <f t="shared" si="240"/>
        <v/>
      </c>
      <c r="AL1161" s="9" t="str">
        <f t="shared" si="241"/>
        <v/>
      </c>
      <c r="AM1161" s="9" t="str">
        <f t="shared" si="242"/>
        <v/>
      </c>
      <c r="AN1161" s="9" t="str">
        <f t="shared" si="243"/>
        <v/>
      </c>
      <c r="AO1161" s="9" t="str">
        <f t="shared" si="244"/>
        <v/>
      </c>
      <c r="AP1161" s="9" t="str">
        <f t="shared" si="245"/>
        <v/>
      </c>
      <c r="AQ1161" s="10" t="str">
        <f t="shared" si="246"/>
        <v/>
      </c>
    </row>
    <row r="1162" spans="1:43">
      <c r="A1162">
        <v>1161</v>
      </c>
      <c r="B1162" t="s">
        <v>29</v>
      </c>
      <c r="C1162" t="s">
        <v>1540</v>
      </c>
      <c r="D1162" t="s">
        <v>1358</v>
      </c>
      <c r="E1162" t="s">
        <v>83</v>
      </c>
      <c r="G1162" t="s">
        <v>18</v>
      </c>
      <c r="H1162" s="4">
        <v>40473000</v>
      </c>
      <c r="I1162" s="5">
        <v>256</v>
      </c>
      <c r="J1162" s="5">
        <v>0</v>
      </c>
      <c r="K1162" s="5">
        <v>8</v>
      </c>
      <c r="L1162">
        <v>9.1999999999999993</v>
      </c>
      <c r="M1162">
        <v>3.5</v>
      </c>
      <c r="N1162">
        <v>6</v>
      </c>
      <c r="O1162" s="6">
        <v>14</v>
      </c>
      <c r="P1162" s="7">
        <v>1.7</v>
      </c>
      <c r="U1162" t="s">
        <v>84</v>
      </c>
      <c r="V1162" t="s">
        <v>548</v>
      </c>
      <c r="W1162">
        <v>2.6</v>
      </c>
      <c r="X1162" t="s">
        <v>84</v>
      </c>
      <c r="Y1162" t="s">
        <v>130</v>
      </c>
      <c r="Z1162" t="s">
        <v>100</v>
      </c>
      <c r="AA1162" t="s">
        <v>101</v>
      </c>
      <c r="AB1162" t="s">
        <v>869</v>
      </c>
      <c r="AC1162">
        <v>1499</v>
      </c>
      <c r="AD1162" s="8" t="b">
        <f>AND(
 H1162&gt;=Filters!$B$3,
 H1162&lt;=Filters!$B$4,
 I1162&gt;=Filters!$B$5,
 OR(Filters!$B$6="All",B1162=Filters!$B$6),
 F1162&gt;=Filters!$B$7,
 F1162&lt;=Filters!$B$8,
 OR(Filters!$B$9="All",G1162=Filters!$B$9)
)</f>
        <v>0</v>
      </c>
      <c r="AE1162">
        <f t="shared" si="234"/>
        <v>6</v>
      </c>
      <c r="AF1162">
        <f t="shared" si="235"/>
        <v>7</v>
      </c>
      <c r="AG1162">
        <f t="shared" si="236"/>
        <v>7</v>
      </c>
      <c r="AH1162" s="9" t="str">
        <f t="shared" si="237"/>
        <v/>
      </c>
      <c r="AI1162" s="9" t="str">
        <f t="shared" si="238"/>
        <v/>
      </c>
      <c r="AJ1162" s="9" t="str">
        <f t="shared" si="239"/>
        <v/>
      </c>
      <c r="AK1162" s="9" t="str">
        <f t="shared" si="240"/>
        <v/>
      </c>
      <c r="AL1162" s="9" t="str">
        <f t="shared" si="241"/>
        <v/>
      </c>
      <c r="AM1162" s="9" t="str">
        <f t="shared" si="242"/>
        <v/>
      </c>
      <c r="AN1162" s="9" t="str">
        <f t="shared" si="243"/>
        <v/>
      </c>
      <c r="AO1162" s="9" t="str">
        <f t="shared" si="244"/>
        <v/>
      </c>
      <c r="AP1162" s="9" t="str">
        <f t="shared" si="245"/>
        <v/>
      </c>
      <c r="AQ1162" s="10" t="str">
        <f t="shared" si="246"/>
        <v/>
      </c>
    </row>
    <row r="1163" spans="1:43">
      <c r="A1163">
        <v>1162</v>
      </c>
      <c r="B1163" t="s">
        <v>30</v>
      </c>
      <c r="C1163" t="s">
        <v>1541</v>
      </c>
      <c r="D1163" t="s">
        <v>1542</v>
      </c>
      <c r="E1163" t="s">
        <v>158</v>
      </c>
      <c r="G1163" t="s">
        <v>18</v>
      </c>
      <c r="H1163" s="4">
        <v>47763000</v>
      </c>
      <c r="I1163" s="5">
        <v>256</v>
      </c>
      <c r="J1163" s="5">
        <v>1024</v>
      </c>
      <c r="K1163" s="5">
        <v>16</v>
      </c>
      <c r="L1163">
        <v>9.1999999999999993</v>
      </c>
      <c r="M1163">
        <v>9.1999999999999993</v>
      </c>
      <c r="N1163">
        <v>6</v>
      </c>
      <c r="O1163" s="6">
        <v>14</v>
      </c>
      <c r="P1163" s="7">
        <v>1.7</v>
      </c>
      <c r="U1163" t="s">
        <v>84</v>
      </c>
      <c r="V1163" t="s">
        <v>808</v>
      </c>
      <c r="W1163">
        <v>2.6</v>
      </c>
      <c r="X1163" t="s">
        <v>122</v>
      </c>
      <c r="Y1163" t="s">
        <v>963</v>
      </c>
      <c r="Z1163" t="s">
        <v>212</v>
      </c>
      <c r="AA1163" t="s">
        <v>101</v>
      </c>
      <c r="AB1163" t="s">
        <v>115</v>
      </c>
      <c r="AC1163">
        <v>1769</v>
      </c>
      <c r="AD1163" s="8" t="b">
        <f>AND(
 H1163&gt;=Filters!$B$3,
 H1163&lt;=Filters!$B$4,
 I1163&gt;=Filters!$B$5,
 OR(Filters!$B$6="All",B1163=Filters!$B$6),
 F1163&gt;=Filters!$B$7,
 F1163&lt;=Filters!$B$8,
 OR(Filters!$B$9="All",G1163=Filters!$B$9)
)</f>
        <v>0</v>
      </c>
      <c r="AE1163">
        <f t="shared" si="234"/>
        <v>6</v>
      </c>
      <c r="AF1163">
        <f t="shared" si="235"/>
        <v>7</v>
      </c>
      <c r="AG1163">
        <f t="shared" si="236"/>
        <v>7</v>
      </c>
      <c r="AH1163" s="9" t="str">
        <f t="shared" si="237"/>
        <v/>
      </c>
      <c r="AI1163" s="9" t="str">
        <f t="shared" si="238"/>
        <v/>
      </c>
      <c r="AJ1163" s="9" t="str">
        <f t="shared" si="239"/>
        <v/>
      </c>
      <c r="AK1163" s="9" t="str">
        <f t="shared" si="240"/>
        <v/>
      </c>
      <c r="AL1163" s="9" t="str">
        <f t="shared" si="241"/>
        <v/>
      </c>
      <c r="AM1163" s="9" t="str">
        <f t="shared" si="242"/>
        <v/>
      </c>
      <c r="AN1163" s="9" t="str">
        <f t="shared" si="243"/>
        <v/>
      </c>
      <c r="AO1163" s="9" t="str">
        <f t="shared" si="244"/>
        <v/>
      </c>
      <c r="AP1163" s="9" t="str">
        <f t="shared" si="245"/>
        <v/>
      </c>
      <c r="AQ1163" s="10" t="str">
        <f t="shared" si="246"/>
        <v/>
      </c>
    </row>
    <row r="1164" spans="1:43">
      <c r="A1164">
        <v>1163</v>
      </c>
      <c r="B1164" t="s">
        <v>26</v>
      </c>
      <c r="C1164" t="s">
        <v>1543</v>
      </c>
      <c r="D1164" t="s">
        <v>1544</v>
      </c>
      <c r="E1164" t="s">
        <v>158</v>
      </c>
      <c r="G1164" t="s">
        <v>18</v>
      </c>
      <c r="H1164" s="4">
        <v>24273000</v>
      </c>
      <c r="I1164" s="5">
        <v>0</v>
      </c>
      <c r="J1164" s="5">
        <v>1024</v>
      </c>
      <c r="K1164" s="5">
        <v>8</v>
      </c>
      <c r="L1164">
        <v>9.6</v>
      </c>
      <c r="M1164">
        <v>9.1999999999999993</v>
      </c>
      <c r="N1164">
        <v>6.32</v>
      </c>
      <c r="O1164" s="6">
        <v>15.6</v>
      </c>
      <c r="P1164" s="7">
        <v>2.62</v>
      </c>
      <c r="U1164" t="s">
        <v>84</v>
      </c>
      <c r="V1164" t="s">
        <v>210</v>
      </c>
      <c r="W1164">
        <v>2.8</v>
      </c>
      <c r="X1164" t="s">
        <v>122</v>
      </c>
      <c r="Y1164" t="s">
        <v>160</v>
      </c>
      <c r="Z1164" t="s">
        <v>146</v>
      </c>
      <c r="AA1164" t="s">
        <v>128</v>
      </c>
      <c r="AB1164" t="s">
        <v>115</v>
      </c>
      <c r="AC1164">
        <v>899</v>
      </c>
      <c r="AD1164" s="8" t="b">
        <f>AND(
 H1164&gt;=Filters!$B$3,
 H1164&lt;=Filters!$B$4,
 I1164&gt;=Filters!$B$5,
 OR(Filters!$B$6="All",B1164=Filters!$B$6),
 F1164&gt;=Filters!$B$7,
 F1164&lt;=Filters!$B$8,
 OR(Filters!$B$9="All",G1164=Filters!$B$9)
)</f>
        <v>0</v>
      </c>
      <c r="AE1164">
        <f t="shared" si="234"/>
        <v>6</v>
      </c>
      <c r="AF1164">
        <f t="shared" si="235"/>
        <v>7</v>
      </c>
      <c r="AG1164">
        <f t="shared" si="236"/>
        <v>7</v>
      </c>
      <c r="AH1164" s="9" t="str">
        <f t="shared" si="237"/>
        <v/>
      </c>
      <c r="AI1164" s="9" t="str">
        <f t="shared" si="238"/>
        <v/>
      </c>
      <c r="AJ1164" s="9" t="str">
        <f t="shared" si="239"/>
        <v/>
      </c>
      <c r="AK1164" s="9" t="str">
        <f t="shared" si="240"/>
        <v/>
      </c>
      <c r="AL1164" s="9" t="str">
        <f t="shared" si="241"/>
        <v/>
      </c>
      <c r="AM1164" s="9" t="str">
        <f t="shared" si="242"/>
        <v/>
      </c>
      <c r="AN1164" s="9" t="str">
        <f t="shared" si="243"/>
        <v/>
      </c>
      <c r="AO1164" s="9" t="str">
        <f t="shared" si="244"/>
        <v/>
      </c>
      <c r="AP1164" s="9" t="str">
        <f t="shared" si="245"/>
        <v/>
      </c>
      <c r="AQ1164" s="10" t="str">
        <f t="shared" si="246"/>
        <v/>
      </c>
    </row>
    <row r="1165" spans="1:43">
      <c r="A1165">
        <v>1164</v>
      </c>
      <c r="B1165" t="s">
        <v>29</v>
      </c>
      <c r="C1165" t="s">
        <v>1545</v>
      </c>
      <c r="D1165" t="s">
        <v>1546</v>
      </c>
      <c r="E1165" t="s">
        <v>97</v>
      </c>
      <c r="G1165" t="s">
        <v>18</v>
      </c>
      <c r="H1165" s="4">
        <v>12393000</v>
      </c>
      <c r="I1165" s="5">
        <v>0</v>
      </c>
      <c r="J1165" s="5">
        <v>1024</v>
      </c>
      <c r="K1165" s="5">
        <v>8</v>
      </c>
      <c r="L1165">
        <v>4</v>
      </c>
      <c r="M1165">
        <v>3.5</v>
      </c>
      <c r="N1165">
        <v>3.92</v>
      </c>
      <c r="O1165" s="6">
        <v>15.6</v>
      </c>
      <c r="P1165" s="7">
        <v>2.2000000000000002</v>
      </c>
      <c r="U1165" t="s">
        <v>84</v>
      </c>
      <c r="V1165" t="s">
        <v>129</v>
      </c>
      <c r="W1165">
        <v>2</v>
      </c>
      <c r="X1165" t="s">
        <v>84</v>
      </c>
      <c r="Y1165" t="s">
        <v>130</v>
      </c>
      <c r="Z1165" t="s">
        <v>146</v>
      </c>
      <c r="AA1165" t="s">
        <v>114</v>
      </c>
      <c r="AB1165" t="s">
        <v>115</v>
      </c>
      <c r="AC1165">
        <v>459</v>
      </c>
      <c r="AD1165" s="8" t="b">
        <f>AND(
 H1165&gt;=Filters!$B$3,
 H1165&lt;=Filters!$B$4,
 I1165&gt;=Filters!$B$5,
 OR(Filters!$B$6="All",B1165=Filters!$B$6),
 F1165&gt;=Filters!$B$7,
 F1165&lt;=Filters!$B$8,
 OR(Filters!$B$9="All",G1165=Filters!$B$9)
)</f>
        <v>0</v>
      </c>
      <c r="AE1165">
        <f t="shared" si="234"/>
        <v>6</v>
      </c>
      <c r="AF1165">
        <f t="shared" si="235"/>
        <v>7</v>
      </c>
      <c r="AG1165">
        <f t="shared" si="236"/>
        <v>7</v>
      </c>
      <c r="AH1165" s="9" t="str">
        <f t="shared" si="237"/>
        <v/>
      </c>
      <c r="AI1165" s="9" t="str">
        <f t="shared" si="238"/>
        <v/>
      </c>
      <c r="AJ1165" s="9" t="str">
        <f t="shared" si="239"/>
        <v/>
      </c>
      <c r="AK1165" s="9" t="str">
        <f t="shared" si="240"/>
        <v/>
      </c>
      <c r="AL1165" s="9" t="str">
        <f t="shared" si="241"/>
        <v/>
      </c>
      <c r="AM1165" s="9" t="str">
        <f t="shared" si="242"/>
        <v/>
      </c>
      <c r="AN1165" s="9" t="str">
        <f t="shared" si="243"/>
        <v/>
      </c>
      <c r="AO1165" s="9" t="str">
        <f t="shared" si="244"/>
        <v/>
      </c>
      <c r="AP1165" s="9" t="str">
        <f t="shared" si="245"/>
        <v/>
      </c>
      <c r="AQ1165" s="10" t="str">
        <f t="shared" si="246"/>
        <v/>
      </c>
    </row>
    <row r="1166" spans="1:43">
      <c r="A1166">
        <v>1165</v>
      </c>
      <c r="B1166" t="s">
        <v>26</v>
      </c>
      <c r="C1166" t="s">
        <v>1547</v>
      </c>
      <c r="D1166" t="s">
        <v>1548</v>
      </c>
      <c r="E1166" t="s">
        <v>97</v>
      </c>
      <c r="G1166" t="s">
        <v>18</v>
      </c>
      <c r="H1166" s="4">
        <v>12878730</v>
      </c>
      <c r="I1166" s="5">
        <v>0</v>
      </c>
      <c r="J1166" s="5">
        <v>500</v>
      </c>
      <c r="K1166" s="5">
        <v>4</v>
      </c>
      <c r="L1166">
        <v>6.6</v>
      </c>
      <c r="M1166">
        <v>3.5</v>
      </c>
      <c r="N1166">
        <v>3.92</v>
      </c>
      <c r="O1166" s="6">
        <v>15.6</v>
      </c>
      <c r="P1166" s="7">
        <v>2.1</v>
      </c>
      <c r="U1166" t="s">
        <v>84</v>
      </c>
      <c r="V1166" t="s">
        <v>375</v>
      </c>
      <c r="W1166">
        <v>2.2999999999999998</v>
      </c>
      <c r="X1166" t="s">
        <v>84</v>
      </c>
      <c r="Y1166" t="s">
        <v>130</v>
      </c>
      <c r="Z1166" t="s">
        <v>113</v>
      </c>
      <c r="AA1166" t="s">
        <v>114</v>
      </c>
      <c r="AB1166" t="s">
        <v>102</v>
      </c>
      <c r="AC1166">
        <v>476.99</v>
      </c>
      <c r="AD1166" s="8" t="b">
        <f>AND(
 H1166&gt;=Filters!$B$3,
 H1166&lt;=Filters!$B$4,
 I1166&gt;=Filters!$B$5,
 OR(Filters!$B$6="All",B1166=Filters!$B$6),
 F1166&gt;=Filters!$B$7,
 F1166&lt;=Filters!$B$8,
 OR(Filters!$B$9="All",G1166=Filters!$B$9)
)</f>
        <v>0</v>
      </c>
      <c r="AE1166">
        <f t="shared" si="234"/>
        <v>6</v>
      </c>
      <c r="AF1166">
        <f t="shared" si="235"/>
        <v>7</v>
      </c>
      <c r="AG1166">
        <f t="shared" si="236"/>
        <v>7</v>
      </c>
      <c r="AH1166" s="9" t="str">
        <f t="shared" si="237"/>
        <v/>
      </c>
      <c r="AI1166" s="9" t="str">
        <f t="shared" si="238"/>
        <v/>
      </c>
      <c r="AJ1166" s="9" t="str">
        <f t="shared" si="239"/>
        <v/>
      </c>
      <c r="AK1166" s="9" t="str">
        <f t="shared" si="240"/>
        <v/>
      </c>
      <c r="AL1166" s="9" t="str">
        <f t="shared" si="241"/>
        <v/>
      </c>
      <c r="AM1166" s="9" t="str">
        <f t="shared" si="242"/>
        <v/>
      </c>
      <c r="AN1166" s="9" t="str">
        <f t="shared" si="243"/>
        <v/>
      </c>
      <c r="AO1166" s="9" t="str">
        <f t="shared" si="244"/>
        <v/>
      </c>
      <c r="AP1166" s="9" t="str">
        <f t="shared" si="245"/>
        <v/>
      </c>
      <c r="AQ1166" s="10" t="str">
        <f t="shared" si="246"/>
        <v/>
      </c>
    </row>
    <row r="1167" spans="1:43">
      <c r="A1167">
        <v>1166</v>
      </c>
      <c r="B1167" t="s">
        <v>23</v>
      </c>
      <c r="C1167" t="s">
        <v>391</v>
      </c>
      <c r="D1167" t="s">
        <v>392</v>
      </c>
      <c r="E1167" t="s">
        <v>158</v>
      </c>
      <c r="G1167" t="s">
        <v>18</v>
      </c>
      <c r="H1167" s="4">
        <v>40446000</v>
      </c>
      <c r="I1167" s="5">
        <v>128</v>
      </c>
      <c r="J1167" s="5">
        <v>1024</v>
      </c>
      <c r="K1167" s="5">
        <v>8</v>
      </c>
      <c r="L1167">
        <v>9.6</v>
      </c>
      <c r="M1167">
        <v>9.1999999999999993</v>
      </c>
      <c r="N1167">
        <v>9.42</v>
      </c>
      <c r="O1167" s="6">
        <v>15.6</v>
      </c>
      <c r="P1167" s="7">
        <v>2.62</v>
      </c>
      <c r="U1167" t="s">
        <v>84</v>
      </c>
      <c r="V1167" t="s">
        <v>210</v>
      </c>
      <c r="W1167">
        <v>2.8</v>
      </c>
      <c r="X1167" t="s">
        <v>122</v>
      </c>
      <c r="Y1167" t="s">
        <v>260</v>
      </c>
      <c r="Z1167" t="s">
        <v>161</v>
      </c>
      <c r="AA1167" t="s">
        <v>471</v>
      </c>
      <c r="AB1167" t="s">
        <v>115</v>
      </c>
      <c r="AC1167">
        <v>1498</v>
      </c>
      <c r="AD1167" s="8" t="b">
        <f>AND(
 H1167&gt;=Filters!$B$3,
 H1167&lt;=Filters!$B$4,
 I1167&gt;=Filters!$B$5,
 OR(Filters!$B$6="All",B1167=Filters!$B$6),
 F1167&gt;=Filters!$B$7,
 F1167&lt;=Filters!$B$8,
 OR(Filters!$B$9="All",G1167=Filters!$B$9)
)</f>
        <v>0</v>
      </c>
      <c r="AE1167">
        <f t="shared" si="234"/>
        <v>6</v>
      </c>
      <c r="AF1167">
        <f t="shared" si="235"/>
        <v>7</v>
      </c>
      <c r="AG1167">
        <f t="shared" si="236"/>
        <v>7</v>
      </c>
      <c r="AH1167" s="9" t="str">
        <f t="shared" si="237"/>
        <v/>
      </c>
      <c r="AI1167" s="9" t="str">
        <f t="shared" si="238"/>
        <v/>
      </c>
      <c r="AJ1167" s="9" t="str">
        <f t="shared" si="239"/>
        <v/>
      </c>
      <c r="AK1167" s="9" t="str">
        <f t="shared" si="240"/>
        <v/>
      </c>
      <c r="AL1167" s="9" t="str">
        <f t="shared" si="241"/>
        <v/>
      </c>
      <c r="AM1167" s="9" t="str">
        <f t="shared" si="242"/>
        <v/>
      </c>
      <c r="AN1167" s="9" t="str">
        <f t="shared" si="243"/>
        <v/>
      </c>
      <c r="AO1167" s="9" t="str">
        <f t="shared" si="244"/>
        <v/>
      </c>
      <c r="AP1167" s="9" t="str">
        <f t="shared" si="245"/>
        <v/>
      </c>
      <c r="AQ1167" s="10" t="str">
        <f t="shared" si="246"/>
        <v/>
      </c>
    </row>
    <row r="1168" spans="1:43">
      <c r="A1168">
        <v>1167</v>
      </c>
      <c r="B1168" t="s">
        <v>29</v>
      </c>
      <c r="C1168" t="s">
        <v>893</v>
      </c>
      <c r="D1168" t="s">
        <v>894</v>
      </c>
      <c r="E1168" t="s">
        <v>97</v>
      </c>
      <c r="G1168" t="s">
        <v>18</v>
      </c>
      <c r="H1168" s="4">
        <v>37530000</v>
      </c>
      <c r="I1168" s="5">
        <v>256</v>
      </c>
      <c r="J1168" s="5">
        <v>0</v>
      </c>
      <c r="K1168" s="5">
        <v>8</v>
      </c>
      <c r="L1168">
        <v>7</v>
      </c>
      <c r="M1168">
        <v>3.5</v>
      </c>
      <c r="N1168">
        <v>6.32</v>
      </c>
      <c r="O1168" s="6">
        <v>15.6</v>
      </c>
      <c r="P1168" s="7">
        <v>1.95</v>
      </c>
      <c r="U1168" t="s">
        <v>84</v>
      </c>
      <c r="V1168" t="s">
        <v>98</v>
      </c>
      <c r="W1168">
        <v>2.5</v>
      </c>
      <c r="X1168" t="s">
        <v>84</v>
      </c>
      <c r="Y1168" t="s">
        <v>99</v>
      </c>
      <c r="Z1168" t="s">
        <v>100</v>
      </c>
      <c r="AA1168" t="s">
        <v>128</v>
      </c>
      <c r="AB1168" t="s">
        <v>115</v>
      </c>
      <c r="AC1168">
        <v>1390</v>
      </c>
      <c r="AD1168" s="8" t="b">
        <f>AND(
 H1168&gt;=Filters!$B$3,
 H1168&lt;=Filters!$B$4,
 I1168&gt;=Filters!$B$5,
 OR(Filters!$B$6="All",B1168=Filters!$B$6),
 F1168&gt;=Filters!$B$7,
 F1168&lt;=Filters!$B$8,
 OR(Filters!$B$9="All",G1168=Filters!$B$9)
)</f>
        <v>0</v>
      </c>
      <c r="AE1168">
        <f t="shared" si="234"/>
        <v>6</v>
      </c>
      <c r="AF1168">
        <f t="shared" si="235"/>
        <v>7</v>
      </c>
      <c r="AG1168">
        <f t="shared" si="236"/>
        <v>7</v>
      </c>
      <c r="AH1168" s="9" t="str">
        <f t="shared" si="237"/>
        <v/>
      </c>
      <c r="AI1168" s="9" t="str">
        <f t="shared" si="238"/>
        <v/>
      </c>
      <c r="AJ1168" s="9" t="str">
        <f t="shared" si="239"/>
        <v/>
      </c>
      <c r="AK1168" s="9" t="str">
        <f t="shared" si="240"/>
        <v/>
      </c>
      <c r="AL1168" s="9" t="str">
        <f t="shared" si="241"/>
        <v/>
      </c>
      <c r="AM1168" s="9" t="str">
        <f t="shared" si="242"/>
        <v/>
      </c>
      <c r="AN1168" s="9" t="str">
        <f t="shared" si="243"/>
        <v/>
      </c>
      <c r="AO1168" s="9" t="str">
        <f t="shared" si="244"/>
        <v/>
      </c>
      <c r="AP1168" s="9" t="str">
        <f t="shared" si="245"/>
        <v/>
      </c>
      <c r="AQ1168" s="10" t="str">
        <f t="shared" si="246"/>
        <v/>
      </c>
    </row>
    <row r="1169" spans="1:43">
      <c r="A1169">
        <v>1168</v>
      </c>
      <c r="B1169" t="s">
        <v>29</v>
      </c>
      <c r="C1169" t="s">
        <v>1549</v>
      </c>
      <c r="D1169" t="s">
        <v>1550</v>
      </c>
      <c r="E1169" t="s">
        <v>97</v>
      </c>
      <c r="G1169" t="s">
        <v>18</v>
      </c>
      <c r="H1169" s="4">
        <v>12636000</v>
      </c>
      <c r="I1169" s="5">
        <v>0</v>
      </c>
      <c r="J1169" s="5">
        <v>1024</v>
      </c>
      <c r="K1169" s="5">
        <v>4</v>
      </c>
      <c r="L1169">
        <v>4</v>
      </c>
      <c r="M1169">
        <v>6.5</v>
      </c>
      <c r="N1169">
        <v>5.92</v>
      </c>
      <c r="O1169" s="6">
        <v>15.6</v>
      </c>
      <c r="P1169" s="7">
        <v>2.2000000000000002</v>
      </c>
      <c r="U1169" t="s">
        <v>84</v>
      </c>
      <c r="V1169" t="s">
        <v>129</v>
      </c>
      <c r="W1169">
        <v>2</v>
      </c>
      <c r="X1169" t="s">
        <v>122</v>
      </c>
      <c r="Y1169" t="s">
        <v>230</v>
      </c>
      <c r="Z1169" t="s">
        <v>146</v>
      </c>
      <c r="AA1169" t="s">
        <v>101</v>
      </c>
      <c r="AB1169" t="s">
        <v>115</v>
      </c>
      <c r="AC1169">
        <v>468</v>
      </c>
      <c r="AD1169" s="8" t="b">
        <f>AND(
 H1169&gt;=Filters!$B$3,
 H1169&lt;=Filters!$B$4,
 I1169&gt;=Filters!$B$5,
 OR(Filters!$B$6="All",B1169=Filters!$B$6),
 F1169&gt;=Filters!$B$7,
 F1169&lt;=Filters!$B$8,
 OR(Filters!$B$9="All",G1169=Filters!$B$9)
)</f>
        <v>0</v>
      </c>
      <c r="AE1169">
        <f t="shared" si="234"/>
        <v>6</v>
      </c>
      <c r="AF1169">
        <f t="shared" si="235"/>
        <v>7</v>
      </c>
      <c r="AG1169">
        <f t="shared" si="236"/>
        <v>7</v>
      </c>
      <c r="AH1169" s="9" t="str">
        <f t="shared" si="237"/>
        <v/>
      </c>
      <c r="AI1169" s="9" t="str">
        <f t="shared" si="238"/>
        <v/>
      </c>
      <c r="AJ1169" s="9" t="str">
        <f t="shared" si="239"/>
        <v/>
      </c>
      <c r="AK1169" s="9" t="str">
        <f t="shared" si="240"/>
        <v/>
      </c>
      <c r="AL1169" s="9" t="str">
        <f t="shared" si="241"/>
        <v/>
      </c>
      <c r="AM1169" s="9" t="str">
        <f t="shared" si="242"/>
        <v/>
      </c>
      <c r="AN1169" s="9" t="str">
        <f t="shared" si="243"/>
        <v/>
      </c>
      <c r="AO1169" s="9" t="str">
        <f t="shared" si="244"/>
        <v/>
      </c>
      <c r="AP1169" s="9" t="str">
        <f t="shared" si="245"/>
        <v/>
      </c>
      <c r="AQ1169" s="10" t="str">
        <f t="shared" si="246"/>
        <v/>
      </c>
    </row>
    <row r="1170" spans="1:43">
      <c r="A1170">
        <v>1169</v>
      </c>
      <c r="B1170" t="s">
        <v>26</v>
      </c>
      <c r="C1170" t="s">
        <v>1551</v>
      </c>
      <c r="D1170" t="s">
        <v>1552</v>
      </c>
      <c r="E1170" t="s">
        <v>97</v>
      </c>
      <c r="G1170" t="s">
        <v>18</v>
      </c>
      <c r="H1170" s="4">
        <v>6723000</v>
      </c>
      <c r="I1170" s="5">
        <v>32</v>
      </c>
      <c r="J1170" s="5">
        <v>0</v>
      </c>
      <c r="K1170" s="5">
        <v>2</v>
      </c>
      <c r="L1170">
        <v>1.2</v>
      </c>
      <c r="M1170">
        <v>3.5</v>
      </c>
      <c r="N1170">
        <v>4</v>
      </c>
      <c r="O1170" s="6">
        <v>14</v>
      </c>
      <c r="P1170" s="7">
        <v>1.44</v>
      </c>
      <c r="U1170" t="s">
        <v>84</v>
      </c>
      <c r="V1170" t="s">
        <v>263</v>
      </c>
      <c r="W1170">
        <v>1.6</v>
      </c>
      <c r="X1170" t="s">
        <v>84</v>
      </c>
      <c r="Y1170" t="s">
        <v>154</v>
      </c>
      <c r="Z1170" t="s">
        <v>155</v>
      </c>
      <c r="AA1170" t="s">
        <v>114</v>
      </c>
      <c r="AB1170" t="s">
        <v>115</v>
      </c>
      <c r="AC1170">
        <v>249</v>
      </c>
      <c r="AD1170" s="8" t="b">
        <f>AND(
 H1170&gt;=Filters!$B$3,
 H1170&lt;=Filters!$B$4,
 I1170&gt;=Filters!$B$5,
 OR(Filters!$B$6="All",B1170=Filters!$B$6),
 F1170&gt;=Filters!$B$7,
 F1170&lt;=Filters!$B$8,
 OR(Filters!$B$9="All",G1170=Filters!$B$9)
)</f>
        <v>0</v>
      </c>
      <c r="AE1170">
        <f t="shared" si="234"/>
        <v>6</v>
      </c>
      <c r="AF1170">
        <f t="shared" si="235"/>
        <v>7</v>
      </c>
      <c r="AG1170">
        <f t="shared" si="236"/>
        <v>7</v>
      </c>
      <c r="AH1170" s="9" t="str">
        <f t="shared" si="237"/>
        <v/>
      </c>
      <c r="AI1170" s="9" t="str">
        <f t="shared" si="238"/>
        <v/>
      </c>
      <c r="AJ1170" s="9" t="str">
        <f t="shared" si="239"/>
        <v/>
      </c>
      <c r="AK1170" s="9" t="str">
        <f t="shared" si="240"/>
        <v/>
      </c>
      <c r="AL1170" s="9" t="str">
        <f t="shared" si="241"/>
        <v/>
      </c>
      <c r="AM1170" s="9" t="str">
        <f t="shared" si="242"/>
        <v/>
      </c>
      <c r="AN1170" s="9" t="str">
        <f t="shared" si="243"/>
        <v/>
      </c>
      <c r="AO1170" s="9" t="str">
        <f t="shared" si="244"/>
        <v/>
      </c>
      <c r="AP1170" s="9" t="str">
        <f t="shared" si="245"/>
        <v/>
      </c>
      <c r="AQ1170" s="10" t="str">
        <f t="shared" si="246"/>
        <v/>
      </c>
    </row>
    <row r="1171" spans="1:43">
      <c r="A1171">
        <v>1170</v>
      </c>
      <c r="B1171" t="s">
        <v>30</v>
      </c>
      <c r="C1171" t="s">
        <v>1553</v>
      </c>
      <c r="D1171" t="s">
        <v>1554</v>
      </c>
      <c r="E1171" t="s">
        <v>158</v>
      </c>
      <c r="G1171" t="s">
        <v>18</v>
      </c>
      <c r="H1171" s="4">
        <v>22653000</v>
      </c>
      <c r="I1171" s="5">
        <v>0</v>
      </c>
      <c r="J1171" s="5">
        <v>1024</v>
      </c>
      <c r="K1171" s="5">
        <v>8</v>
      </c>
      <c r="L1171">
        <v>9.4</v>
      </c>
      <c r="M1171">
        <v>9.1999999999999993</v>
      </c>
      <c r="N1171">
        <v>6.32</v>
      </c>
      <c r="O1171" s="6">
        <v>15.6</v>
      </c>
      <c r="P1171" s="7">
        <v>2.2000000000000002</v>
      </c>
      <c r="U1171" t="s">
        <v>84</v>
      </c>
      <c r="V1171" t="s">
        <v>140</v>
      </c>
      <c r="W1171">
        <v>2.7</v>
      </c>
      <c r="X1171" t="s">
        <v>122</v>
      </c>
      <c r="Y1171" t="s">
        <v>160</v>
      </c>
      <c r="Z1171" t="s">
        <v>146</v>
      </c>
      <c r="AA1171" t="s">
        <v>128</v>
      </c>
      <c r="AB1171" t="s">
        <v>115</v>
      </c>
      <c r="AC1171">
        <v>839</v>
      </c>
      <c r="AD1171" s="8" t="b">
        <f>AND(
 H1171&gt;=Filters!$B$3,
 H1171&lt;=Filters!$B$4,
 I1171&gt;=Filters!$B$5,
 OR(Filters!$B$6="All",B1171=Filters!$B$6),
 F1171&gt;=Filters!$B$7,
 F1171&lt;=Filters!$B$8,
 OR(Filters!$B$9="All",G1171=Filters!$B$9)
)</f>
        <v>0</v>
      </c>
      <c r="AE1171">
        <f t="shared" si="234"/>
        <v>6</v>
      </c>
      <c r="AF1171">
        <f t="shared" si="235"/>
        <v>7</v>
      </c>
      <c r="AG1171">
        <f t="shared" si="236"/>
        <v>7</v>
      </c>
      <c r="AH1171" s="9" t="str">
        <f t="shared" si="237"/>
        <v/>
      </c>
      <c r="AI1171" s="9" t="str">
        <f t="shared" si="238"/>
        <v/>
      </c>
      <c r="AJ1171" s="9" t="str">
        <f t="shared" si="239"/>
        <v/>
      </c>
      <c r="AK1171" s="9" t="str">
        <f t="shared" si="240"/>
        <v/>
      </c>
      <c r="AL1171" s="9" t="str">
        <f t="shared" si="241"/>
        <v/>
      </c>
      <c r="AM1171" s="9" t="str">
        <f t="shared" si="242"/>
        <v/>
      </c>
      <c r="AN1171" s="9" t="str">
        <f t="shared" si="243"/>
        <v/>
      </c>
      <c r="AO1171" s="9" t="str">
        <f t="shared" si="244"/>
        <v/>
      </c>
      <c r="AP1171" s="9" t="str">
        <f t="shared" si="245"/>
        <v/>
      </c>
      <c r="AQ1171" s="10" t="str">
        <f t="shared" si="246"/>
        <v/>
      </c>
    </row>
    <row r="1172" spans="1:43">
      <c r="A1172">
        <v>1171</v>
      </c>
      <c r="B1172" t="s">
        <v>26</v>
      </c>
      <c r="C1172" t="s">
        <v>1433</v>
      </c>
      <c r="D1172" t="s">
        <v>1434</v>
      </c>
      <c r="E1172" t="s">
        <v>97</v>
      </c>
      <c r="G1172" t="s">
        <v>18</v>
      </c>
      <c r="H1172" s="4">
        <v>18333000</v>
      </c>
      <c r="I1172" s="5">
        <v>256</v>
      </c>
      <c r="J1172" s="5">
        <v>0</v>
      </c>
      <c r="K1172" s="5">
        <v>8</v>
      </c>
      <c r="L1172">
        <v>9</v>
      </c>
      <c r="M1172">
        <v>3.5</v>
      </c>
      <c r="N1172">
        <v>5.92</v>
      </c>
      <c r="O1172" s="6">
        <v>15.6</v>
      </c>
      <c r="P1172" s="7">
        <v>1.96</v>
      </c>
      <c r="U1172" t="s">
        <v>84</v>
      </c>
      <c r="V1172" t="s">
        <v>485</v>
      </c>
      <c r="W1172">
        <v>2.5</v>
      </c>
      <c r="X1172" t="s">
        <v>84</v>
      </c>
      <c r="Y1172" t="s">
        <v>130</v>
      </c>
      <c r="Z1172" t="s">
        <v>100</v>
      </c>
      <c r="AA1172" t="s">
        <v>101</v>
      </c>
      <c r="AB1172" t="s">
        <v>115</v>
      </c>
      <c r="AC1172">
        <v>679</v>
      </c>
      <c r="AD1172" s="8" t="b">
        <f>AND(
 H1172&gt;=Filters!$B$3,
 H1172&lt;=Filters!$B$4,
 I1172&gt;=Filters!$B$5,
 OR(Filters!$B$6="All",B1172=Filters!$B$6),
 F1172&gt;=Filters!$B$7,
 F1172&lt;=Filters!$B$8,
 OR(Filters!$B$9="All",G1172=Filters!$B$9)
)</f>
        <v>1</v>
      </c>
      <c r="AE1172">
        <f t="shared" si="234"/>
        <v>6</v>
      </c>
      <c r="AF1172">
        <f t="shared" si="235"/>
        <v>7</v>
      </c>
      <c r="AG1172">
        <f t="shared" si="236"/>
        <v>7</v>
      </c>
      <c r="AH1172" s="9">
        <f t="shared" si="237"/>
        <v>0.92857142857142849</v>
      </c>
      <c r="AI1172" s="9">
        <f t="shared" si="238"/>
        <v>0.80952380952380942</v>
      </c>
      <c r="AJ1172" s="9">
        <f t="shared" si="239"/>
        <v>0.27380952380952378</v>
      </c>
      <c r="AK1172" s="9">
        <f t="shared" si="240"/>
        <v>0.56190476190476191</v>
      </c>
      <c r="AL1172" s="9">
        <f t="shared" si="241"/>
        <v>0.9095238095238094</v>
      </c>
      <c r="AM1172" s="9">
        <f t="shared" si="242"/>
        <v>0.5714285714285714</v>
      </c>
      <c r="AN1172" s="9">
        <f t="shared" si="243"/>
        <v>0.69047619047619047</v>
      </c>
      <c r="AO1172" s="9">
        <f t="shared" si="244"/>
        <v>0.69047619047619047</v>
      </c>
      <c r="AP1172" s="9">
        <f t="shared" si="245"/>
        <v>0.71830387676928564</v>
      </c>
      <c r="AQ1172" s="10">
        <f t="shared" si="246"/>
        <v>0.71830504876928569</v>
      </c>
    </row>
    <row r="1173" spans="1:43">
      <c r="A1173">
        <v>1172</v>
      </c>
      <c r="B1173" t="s">
        <v>26</v>
      </c>
      <c r="C1173" t="s">
        <v>204</v>
      </c>
      <c r="D1173" t="s">
        <v>205</v>
      </c>
      <c r="E1173" t="s">
        <v>97</v>
      </c>
      <c r="G1173" t="s">
        <v>18</v>
      </c>
      <c r="H1173" s="4">
        <v>31293000</v>
      </c>
      <c r="I1173" s="5">
        <v>512</v>
      </c>
      <c r="J1173" s="5">
        <v>0</v>
      </c>
      <c r="K1173" s="5">
        <v>16</v>
      </c>
      <c r="L1173">
        <v>7.6</v>
      </c>
      <c r="M1173">
        <v>3.8</v>
      </c>
      <c r="N1173">
        <v>5.92</v>
      </c>
      <c r="O1173" s="6">
        <v>15.6</v>
      </c>
      <c r="P1173" s="7">
        <v>2.1</v>
      </c>
      <c r="U1173" t="s">
        <v>84</v>
      </c>
      <c r="V1173" t="s">
        <v>121</v>
      </c>
      <c r="W1173">
        <v>1.8</v>
      </c>
      <c r="X1173" t="s">
        <v>84</v>
      </c>
      <c r="Y1173" t="s">
        <v>127</v>
      </c>
      <c r="Z1173" t="s">
        <v>106</v>
      </c>
      <c r="AA1173" t="s">
        <v>101</v>
      </c>
      <c r="AB1173" t="s">
        <v>115</v>
      </c>
      <c r="AC1173">
        <v>1159</v>
      </c>
      <c r="AD1173" s="8" t="b">
        <f>AND(
 H1173&gt;=Filters!$B$3,
 H1173&lt;=Filters!$B$4,
 I1173&gt;=Filters!$B$5,
 OR(Filters!$B$6="All",B1173=Filters!$B$6),
 F1173&gt;=Filters!$B$7,
 F1173&lt;=Filters!$B$8,
 OR(Filters!$B$9="All",G1173=Filters!$B$9)
)</f>
        <v>0</v>
      </c>
      <c r="AE1173">
        <f t="shared" si="234"/>
        <v>6</v>
      </c>
      <c r="AF1173">
        <f t="shared" si="235"/>
        <v>7</v>
      </c>
      <c r="AG1173">
        <f t="shared" si="236"/>
        <v>7</v>
      </c>
      <c r="AH1173" s="9" t="str">
        <f t="shared" si="237"/>
        <v/>
      </c>
      <c r="AI1173" s="9" t="str">
        <f t="shared" si="238"/>
        <v/>
      </c>
      <c r="AJ1173" s="9" t="str">
        <f t="shared" si="239"/>
        <v/>
      </c>
      <c r="AK1173" s="9" t="str">
        <f t="shared" si="240"/>
        <v/>
      </c>
      <c r="AL1173" s="9" t="str">
        <f t="shared" si="241"/>
        <v/>
      </c>
      <c r="AM1173" s="9" t="str">
        <f t="shared" si="242"/>
        <v/>
      </c>
      <c r="AN1173" s="9" t="str">
        <f t="shared" si="243"/>
        <v/>
      </c>
      <c r="AO1173" s="9" t="str">
        <f t="shared" si="244"/>
        <v/>
      </c>
      <c r="AP1173" s="9" t="str">
        <f t="shared" si="245"/>
        <v/>
      </c>
      <c r="AQ1173" s="10" t="str">
        <f t="shared" si="246"/>
        <v/>
      </c>
    </row>
    <row r="1174" spans="1:43">
      <c r="A1174">
        <v>1173</v>
      </c>
      <c r="B1174" t="s">
        <v>21</v>
      </c>
      <c r="C1174" t="s">
        <v>1555</v>
      </c>
      <c r="D1174" t="s">
        <v>1556</v>
      </c>
      <c r="E1174" t="s">
        <v>97</v>
      </c>
      <c r="G1174" t="s">
        <v>18</v>
      </c>
      <c r="H1174" s="4">
        <v>9963000</v>
      </c>
      <c r="I1174" s="5">
        <v>0</v>
      </c>
      <c r="J1174" s="5">
        <v>500</v>
      </c>
      <c r="K1174" s="5">
        <v>4</v>
      </c>
      <c r="L1174">
        <v>1.2</v>
      </c>
      <c r="M1174">
        <v>3.5</v>
      </c>
      <c r="N1174">
        <v>3.92</v>
      </c>
      <c r="O1174" s="6">
        <v>15.6</v>
      </c>
      <c r="P1174" s="7">
        <v>2.2000000000000002</v>
      </c>
      <c r="U1174" t="s">
        <v>84</v>
      </c>
      <c r="V1174" t="s">
        <v>1075</v>
      </c>
      <c r="W1174">
        <v>1.6</v>
      </c>
      <c r="X1174" t="s">
        <v>84</v>
      </c>
      <c r="Y1174" t="s">
        <v>187</v>
      </c>
      <c r="Z1174" t="s">
        <v>113</v>
      </c>
      <c r="AA1174" t="s">
        <v>114</v>
      </c>
      <c r="AB1174" t="s">
        <v>115</v>
      </c>
      <c r="AC1174">
        <v>369</v>
      </c>
      <c r="AD1174" s="8" t="b">
        <f>AND(
 H1174&gt;=Filters!$B$3,
 H1174&lt;=Filters!$B$4,
 I1174&gt;=Filters!$B$5,
 OR(Filters!$B$6="All",B1174=Filters!$B$6),
 F1174&gt;=Filters!$B$7,
 F1174&lt;=Filters!$B$8,
 OR(Filters!$B$9="All",G1174=Filters!$B$9)
)</f>
        <v>0</v>
      </c>
      <c r="AE1174">
        <f t="shared" si="234"/>
        <v>6</v>
      </c>
      <c r="AF1174">
        <f t="shared" si="235"/>
        <v>7</v>
      </c>
      <c r="AG1174">
        <f t="shared" si="236"/>
        <v>7</v>
      </c>
      <c r="AH1174" s="9" t="str">
        <f t="shared" si="237"/>
        <v/>
      </c>
      <c r="AI1174" s="9" t="str">
        <f t="shared" si="238"/>
        <v/>
      </c>
      <c r="AJ1174" s="9" t="str">
        <f t="shared" si="239"/>
        <v/>
      </c>
      <c r="AK1174" s="9" t="str">
        <f t="shared" si="240"/>
        <v/>
      </c>
      <c r="AL1174" s="9" t="str">
        <f t="shared" si="241"/>
        <v/>
      </c>
      <c r="AM1174" s="9" t="str">
        <f t="shared" si="242"/>
        <v/>
      </c>
      <c r="AN1174" s="9" t="str">
        <f t="shared" si="243"/>
        <v/>
      </c>
      <c r="AO1174" s="9" t="str">
        <f t="shared" si="244"/>
        <v/>
      </c>
      <c r="AP1174" s="9" t="str">
        <f t="shared" si="245"/>
        <v/>
      </c>
      <c r="AQ1174" s="10" t="str">
        <f t="shared" si="246"/>
        <v/>
      </c>
    </row>
    <row r="1175" spans="1:43">
      <c r="A1175">
        <v>1174</v>
      </c>
      <c r="B1175" t="s">
        <v>29</v>
      </c>
      <c r="C1175" t="s">
        <v>1557</v>
      </c>
      <c r="D1175" t="s">
        <v>1558</v>
      </c>
      <c r="E1175" t="s">
        <v>97</v>
      </c>
      <c r="G1175" t="s">
        <v>18</v>
      </c>
      <c r="H1175" s="4">
        <v>10746000</v>
      </c>
      <c r="I1175" s="5">
        <v>0</v>
      </c>
      <c r="J1175" s="5">
        <v>500</v>
      </c>
      <c r="K1175" s="5">
        <v>4</v>
      </c>
      <c r="L1175">
        <v>6.6</v>
      </c>
      <c r="M1175">
        <v>3.5</v>
      </c>
      <c r="N1175">
        <v>3.92</v>
      </c>
      <c r="O1175" s="6">
        <v>15.6</v>
      </c>
      <c r="P1175" s="7">
        <v>2.1</v>
      </c>
      <c r="U1175" t="s">
        <v>84</v>
      </c>
      <c r="V1175" t="s">
        <v>375</v>
      </c>
      <c r="W1175">
        <v>2.2999999999999998</v>
      </c>
      <c r="X1175" t="s">
        <v>84</v>
      </c>
      <c r="Y1175" t="s">
        <v>130</v>
      </c>
      <c r="Z1175" t="s">
        <v>113</v>
      </c>
      <c r="AA1175" t="s">
        <v>114</v>
      </c>
      <c r="AB1175" t="s">
        <v>102</v>
      </c>
      <c r="AC1175">
        <v>398</v>
      </c>
      <c r="AD1175" s="8" t="b">
        <f>AND(
 H1175&gt;=Filters!$B$3,
 H1175&lt;=Filters!$B$4,
 I1175&gt;=Filters!$B$5,
 OR(Filters!$B$6="All",B1175=Filters!$B$6),
 F1175&gt;=Filters!$B$7,
 F1175&lt;=Filters!$B$8,
 OR(Filters!$B$9="All",G1175=Filters!$B$9)
)</f>
        <v>0</v>
      </c>
      <c r="AE1175">
        <f t="shared" si="234"/>
        <v>6</v>
      </c>
      <c r="AF1175">
        <f t="shared" si="235"/>
        <v>7</v>
      </c>
      <c r="AG1175">
        <f t="shared" si="236"/>
        <v>7</v>
      </c>
      <c r="AH1175" s="9" t="str">
        <f t="shared" si="237"/>
        <v/>
      </c>
      <c r="AI1175" s="9" t="str">
        <f t="shared" si="238"/>
        <v/>
      </c>
      <c r="AJ1175" s="9" t="str">
        <f t="shared" si="239"/>
        <v/>
      </c>
      <c r="AK1175" s="9" t="str">
        <f t="shared" si="240"/>
        <v/>
      </c>
      <c r="AL1175" s="9" t="str">
        <f t="shared" si="241"/>
        <v/>
      </c>
      <c r="AM1175" s="9" t="str">
        <f t="shared" si="242"/>
        <v/>
      </c>
      <c r="AN1175" s="9" t="str">
        <f t="shared" si="243"/>
        <v/>
      </c>
      <c r="AO1175" s="9" t="str">
        <f t="shared" si="244"/>
        <v/>
      </c>
      <c r="AP1175" s="9" t="str">
        <f t="shared" si="245"/>
        <v/>
      </c>
      <c r="AQ1175" s="10" t="str">
        <f t="shared" si="246"/>
        <v/>
      </c>
    </row>
    <row r="1176" spans="1:43">
      <c r="A1176">
        <v>1175</v>
      </c>
      <c r="B1176" t="s">
        <v>29</v>
      </c>
      <c r="C1176" t="s">
        <v>1304</v>
      </c>
      <c r="D1176" t="s">
        <v>1305</v>
      </c>
      <c r="E1176" t="s">
        <v>97</v>
      </c>
      <c r="G1176" t="s">
        <v>18</v>
      </c>
      <c r="H1176" s="4">
        <v>19143000</v>
      </c>
      <c r="I1176" s="5">
        <v>0</v>
      </c>
      <c r="J1176" s="5">
        <v>1024</v>
      </c>
      <c r="K1176" s="5">
        <v>8</v>
      </c>
      <c r="L1176">
        <v>9.4</v>
      </c>
      <c r="M1176">
        <v>6.5</v>
      </c>
      <c r="N1176">
        <v>5.92</v>
      </c>
      <c r="O1176" s="6">
        <v>15.6</v>
      </c>
      <c r="P1176" s="7">
        <v>2.2000000000000002</v>
      </c>
      <c r="U1176" t="s">
        <v>84</v>
      </c>
      <c r="V1176" t="s">
        <v>140</v>
      </c>
      <c r="W1176">
        <v>2.7</v>
      </c>
      <c r="X1176" t="s">
        <v>122</v>
      </c>
      <c r="Y1176" t="s">
        <v>145</v>
      </c>
      <c r="Z1176" t="s">
        <v>146</v>
      </c>
      <c r="AA1176" t="s">
        <v>101</v>
      </c>
      <c r="AB1176" t="s">
        <v>102</v>
      </c>
      <c r="AC1176">
        <v>709</v>
      </c>
      <c r="AD1176" s="8" t="b">
        <f>AND(
 H1176&gt;=Filters!$B$3,
 H1176&lt;=Filters!$B$4,
 I1176&gt;=Filters!$B$5,
 OR(Filters!$B$6="All",B1176=Filters!$B$6),
 F1176&gt;=Filters!$B$7,
 F1176&lt;=Filters!$B$8,
 OR(Filters!$B$9="All",G1176=Filters!$B$9)
)</f>
        <v>0</v>
      </c>
      <c r="AE1176">
        <f t="shared" si="234"/>
        <v>6</v>
      </c>
      <c r="AF1176">
        <f t="shared" si="235"/>
        <v>7</v>
      </c>
      <c r="AG1176">
        <f t="shared" si="236"/>
        <v>7</v>
      </c>
      <c r="AH1176" s="9" t="str">
        <f t="shared" si="237"/>
        <v/>
      </c>
      <c r="AI1176" s="9" t="str">
        <f t="shared" si="238"/>
        <v/>
      </c>
      <c r="AJ1176" s="9" t="str">
        <f t="shared" si="239"/>
        <v/>
      </c>
      <c r="AK1176" s="9" t="str">
        <f t="shared" si="240"/>
        <v/>
      </c>
      <c r="AL1176" s="9" t="str">
        <f t="shared" si="241"/>
        <v/>
      </c>
      <c r="AM1176" s="9" t="str">
        <f t="shared" si="242"/>
        <v/>
      </c>
      <c r="AN1176" s="9" t="str">
        <f t="shared" si="243"/>
        <v/>
      </c>
      <c r="AO1176" s="9" t="str">
        <f t="shared" si="244"/>
        <v/>
      </c>
      <c r="AP1176" s="9" t="str">
        <f t="shared" si="245"/>
        <v/>
      </c>
      <c r="AQ1176" s="10" t="str">
        <f t="shared" si="246"/>
        <v/>
      </c>
    </row>
    <row r="1177" spans="1:43">
      <c r="A1177">
        <v>1176</v>
      </c>
      <c r="B1177" t="s">
        <v>21</v>
      </c>
      <c r="C1177" t="s">
        <v>1559</v>
      </c>
      <c r="D1177" t="s">
        <v>1560</v>
      </c>
      <c r="E1177" t="s">
        <v>97</v>
      </c>
      <c r="G1177" t="s">
        <v>18</v>
      </c>
      <c r="H1177" s="4">
        <v>20763000</v>
      </c>
      <c r="I1177" s="5">
        <v>256</v>
      </c>
      <c r="J1177" s="5">
        <v>0</v>
      </c>
      <c r="K1177" s="5">
        <v>4</v>
      </c>
      <c r="L1177">
        <v>4.8</v>
      </c>
      <c r="M1177">
        <v>3.5</v>
      </c>
      <c r="N1177">
        <v>6</v>
      </c>
      <c r="O1177" s="6">
        <v>14</v>
      </c>
      <c r="P1177" s="7">
        <v>2</v>
      </c>
      <c r="U1177" t="s">
        <v>84</v>
      </c>
      <c r="V1177" t="s">
        <v>144</v>
      </c>
      <c r="W1177">
        <v>2.4</v>
      </c>
      <c r="X1177" t="s">
        <v>84</v>
      </c>
      <c r="Y1177" t="s">
        <v>99</v>
      </c>
      <c r="Z1177" t="s">
        <v>100</v>
      </c>
      <c r="AA1177" t="s">
        <v>101</v>
      </c>
      <c r="AB1177" t="s">
        <v>115</v>
      </c>
      <c r="AC1177">
        <v>769</v>
      </c>
      <c r="AD1177" s="8" t="b">
        <f>AND(
 H1177&gt;=Filters!$B$3,
 H1177&lt;=Filters!$B$4,
 I1177&gt;=Filters!$B$5,
 OR(Filters!$B$6="All",B1177=Filters!$B$6),
 F1177&gt;=Filters!$B$7,
 F1177&lt;=Filters!$B$8,
 OR(Filters!$B$9="All",G1177=Filters!$B$9)
)</f>
        <v>1</v>
      </c>
      <c r="AE1177">
        <f t="shared" si="234"/>
        <v>6</v>
      </c>
      <c r="AF1177">
        <f t="shared" si="235"/>
        <v>7</v>
      </c>
      <c r="AG1177">
        <f t="shared" si="236"/>
        <v>7</v>
      </c>
      <c r="AH1177" s="9">
        <f t="shared" si="237"/>
        <v>0.42857142857142849</v>
      </c>
      <c r="AI1177" s="9">
        <f t="shared" si="238"/>
        <v>0.33333333333333331</v>
      </c>
      <c r="AJ1177" s="9">
        <f t="shared" si="239"/>
        <v>0.27380952380952378</v>
      </c>
      <c r="AK1177" s="9">
        <f t="shared" si="240"/>
        <v>0.5714285714285714</v>
      </c>
      <c r="AL1177" s="9">
        <f t="shared" si="241"/>
        <v>0.90476190476190466</v>
      </c>
      <c r="AM1177" s="9">
        <f t="shared" si="242"/>
        <v>0.5714285714285714</v>
      </c>
      <c r="AN1177" s="9">
        <f t="shared" si="243"/>
        <v>0.69047619047619047</v>
      </c>
      <c r="AO1177" s="9">
        <f t="shared" si="244"/>
        <v>0.69047619047619047</v>
      </c>
      <c r="AP1177" s="9">
        <f t="shared" si="245"/>
        <v>0.5276949650960272</v>
      </c>
      <c r="AQ1177" s="10">
        <f t="shared" si="246"/>
        <v>0.52769614209602722</v>
      </c>
    </row>
    <row r="1178" spans="1:43">
      <c r="A1178">
        <v>1177</v>
      </c>
      <c r="B1178" t="s">
        <v>29</v>
      </c>
      <c r="C1178" t="s">
        <v>1561</v>
      </c>
      <c r="D1178" t="s">
        <v>1562</v>
      </c>
      <c r="E1178" t="s">
        <v>97</v>
      </c>
      <c r="G1178" t="s">
        <v>18</v>
      </c>
      <c r="H1178" s="4">
        <v>22275000</v>
      </c>
      <c r="I1178" s="5">
        <v>0</v>
      </c>
      <c r="J1178" s="5">
        <v>0</v>
      </c>
      <c r="K1178" s="5">
        <v>4</v>
      </c>
      <c r="L1178">
        <v>9</v>
      </c>
      <c r="M1178">
        <v>3.5</v>
      </c>
      <c r="N1178">
        <v>5.92</v>
      </c>
      <c r="O1178" s="6">
        <v>15.6</v>
      </c>
      <c r="P1178" s="7">
        <v>2.3199999999999998</v>
      </c>
      <c r="U1178" t="s">
        <v>84</v>
      </c>
      <c r="V1178" t="s">
        <v>485</v>
      </c>
      <c r="W1178">
        <v>2.5</v>
      </c>
      <c r="X1178" t="s">
        <v>84</v>
      </c>
      <c r="Y1178" t="s">
        <v>130</v>
      </c>
      <c r="Z1178" t="s">
        <v>393</v>
      </c>
      <c r="AA1178" t="s">
        <v>101</v>
      </c>
      <c r="AB1178" t="s">
        <v>869</v>
      </c>
      <c r="AC1178">
        <v>825</v>
      </c>
      <c r="AD1178" s="8" t="b">
        <f>AND(
 H1178&gt;=Filters!$B$3,
 H1178&lt;=Filters!$B$4,
 I1178&gt;=Filters!$B$5,
 OR(Filters!$B$6="All",B1178=Filters!$B$6),
 F1178&gt;=Filters!$B$7,
 F1178&lt;=Filters!$B$8,
 OR(Filters!$B$9="All",G1178=Filters!$B$9)
)</f>
        <v>0</v>
      </c>
      <c r="AE1178">
        <f t="shared" si="234"/>
        <v>6</v>
      </c>
      <c r="AF1178">
        <f t="shared" si="235"/>
        <v>7</v>
      </c>
      <c r="AG1178">
        <f t="shared" si="236"/>
        <v>7</v>
      </c>
      <c r="AH1178" s="9" t="str">
        <f t="shared" si="237"/>
        <v/>
      </c>
      <c r="AI1178" s="9" t="str">
        <f t="shared" si="238"/>
        <v/>
      </c>
      <c r="AJ1178" s="9" t="str">
        <f t="shared" si="239"/>
        <v/>
      </c>
      <c r="AK1178" s="9" t="str">
        <f t="shared" si="240"/>
        <v/>
      </c>
      <c r="AL1178" s="9" t="str">
        <f t="shared" si="241"/>
        <v/>
      </c>
      <c r="AM1178" s="9" t="str">
        <f t="shared" si="242"/>
        <v/>
      </c>
      <c r="AN1178" s="9" t="str">
        <f t="shared" si="243"/>
        <v/>
      </c>
      <c r="AO1178" s="9" t="str">
        <f t="shared" si="244"/>
        <v/>
      </c>
      <c r="AP1178" s="9" t="str">
        <f t="shared" si="245"/>
        <v/>
      </c>
      <c r="AQ1178" s="10" t="str">
        <f t="shared" si="246"/>
        <v/>
      </c>
    </row>
    <row r="1179" spans="1:43">
      <c r="A1179">
        <v>1178</v>
      </c>
      <c r="B1179" t="s">
        <v>29</v>
      </c>
      <c r="C1179" t="s">
        <v>1019</v>
      </c>
      <c r="D1179" t="s">
        <v>1020</v>
      </c>
      <c r="E1179" t="s">
        <v>158</v>
      </c>
      <c r="G1179" t="s">
        <v>18</v>
      </c>
      <c r="H1179" s="4">
        <v>35235000</v>
      </c>
      <c r="I1179" s="5">
        <v>512</v>
      </c>
      <c r="J1179" s="5">
        <v>0</v>
      </c>
      <c r="K1179" s="5">
        <v>16</v>
      </c>
      <c r="L1179">
        <v>9.1999999999999993</v>
      </c>
      <c r="M1179">
        <v>9.1999999999999993</v>
      </c>
      <c r="N1179">
        <v>6.32</v>
      </c>
      <c r="O1179" s="6">
        <v>15.6</v>
      </c>
      <c r="P1179" s="7">
        <v>3.31</v>
      </c>
      <c r="U1179" t="s">
        <v>84</v>
      </c>
      <c r="V1179" t="s">
        <v>808</v>
      </c>
      <c r="W1179">
        <v>2.6</v>
      </c>
      <c r="X1179" t="s">
        <v>122</v>
      </c>
      <c r="Y1179" t="s">
        <v>1021</v>
      </c>
      <c r="Z1179" t="s">
        <v>106</v>
      </c>
      <c r="AA1179" t="s">
        <v>128</v>
      </c>
      <c r="AB1179" t="s">
        <v>115</v>
      </c>
      <c r="AC1179">
        <v>1305</v>
      </c>
      <c r="AD1179" s="8" t="b">
        <f>AND(
 H1179&gt;=Filters!$B$3,
 H1179&lt;=Filters!$B$4,
 I1179&gt;=Filters!$B$5,
 OR(Filters!$B$6="All",B1179=Filters!$B$6),
 F1179&gt;=Filters!$B$7,
 F1179&lt;=Filters!$B$8,
 OR(Filters!$B$9="All",G1179=Filters!$B$9)
)</f>
        <v>0</v>
      </c>
      <c r="AE1179">
        <f t="shared" si="234"/>
        <v>6</v>
      </c>
      <c r="AF1179">
        <f t="shared" si="235"/>
        <v>7</v>
      </c>
      <c r="AG1179">
        <f t="shared" si="236"/>
        <v>7</v>
      </c>
      <c r="AH1179" s="9" t="str">
        <f t="shared" si="237"/>
        <v/>
      </c>
      <c r="AI1179" s="9" t="str">
        <f t="shared" si="238"/>
        <v/>
      </c>
      <c r="AJ1179" s="9" t="str">
        <f t="shared" si="239"/>
        <v/>
      </c>
      <c r="AK1179" s="9" t="str">
        <f t="shared" si="240"/>
        <v/>
      </c>
      <c r="AL1179" s="9" t="str">
        <f t="shared" si="241"/>
        <v/>
      </c>
      <c r="AM1179" s="9" t="str">
        <f t="shared" si="242"/>
        <v/>
      </c>
      <c r="AN1179" s="9" t="str">
        <f t="shared" si="243"/>
        <v/>
      </c>
      <c r="AO1179" s="9" t="str">
        <f t="shared" si="244"/>
        <v/>
      </c>
      <c r="AP1179" s="9" t="str">
        <f t="shared" si="245"/>
        <v/>
      </c>
      <c r="AQ1179" s="10" t="str">
        <f t="shared" si="246"/>
        <v/>
      </c>
    </row>
    <row r="1180" spans="1:43">
      <c r="A1180">
        <v>1179</v>
      </c>
      <c r="B1180" t="s">
        <v>30</v>
      </c>
      <c r="C1180" t="s">
        <v>1563</v>
      </c>
      <c r="D1180" t="s">
        <v>1564</v>
      </c>
      <c r="E1180" t="s">
        <v>158</v>
      </c>
      <c r="G1180" t="s">
        <v>18</v>
      </c>
      <c r="H1180" s="4">
        <v>58140990</v>
      </c>
      <c r="I1180" s="5">
        <v>128</v>
      </c>
      <c r="J1180" s="5">
        <v>1024</v>
      </c>
      <c r="K1180" s="5">
        <v>16</v>
      </c>
      <c r="L1180">
        <v>9.1999999999999993</v>
      </c>
      <c r="M1180">
        <v>9.1999999999999993</v>
      </c>
      <c r="N1180">
        <v>5.92</v>
      </c>
      <c r="O1180" s="6">
        <v>15.6</v>
      </c>
      <c r="P1180" s="7">
        <v>1.91</v>
      </c>
      <c r="U1180" t="s">
        <v>84</v>
      </c>
      <c r="V1180" t="s">
        <v>808</v>
      </c>
      <c r="W1180">
        <v>2.6</v>
      </c>
      <c r="X1180" t="s">
        <v>122</v>
      </c>
      <c r="Y1180" t="s">
        <v>963</v>
      </c>
      <c r="Z1180" t="s">
        <v>161</v>
      </c>
      <c r="AA1180" t="s">
        <v>101</v>
      </c>
      <c r="AB1180" t="s">
        <v>115</v>
      </c>
      <c r="AC1180">
        <v>2153.37</v>
      </c>
      <c r="AD1180" s="8" t="b">
        <f>AND(
 H1180&gt;=Filters!$B$3,
 H1180&lt;=Filters!$B$4,
 I1180&gt;=Filters!$B$5,
 OR(Filters!$B$6="All",B1180=Filters!$B$6),
 F1180&gt;=Filters!$B$7,
 F1180&lt;=Filters!$B$8,
 OR(Filters!$B$9="All",G1180=Filters!$B$9)
)</f>
        <v>0</v>
      </c>
      <c r="AE1180">
        <f t="shared" si="234"/>
        <v>6</v>
      </c>
      <c r="AF1180">
        <f t="shared" si="235"/>
        <v>7</v>
      </c>
      <c r="AG1180">
        <f t="shared" si="236"/>
        <v>7</v>
      </c>
      <c r="AH1180" s="9" t="str">
        <f t="shared" si="237"/>
        <v/>
      </c>
      <c r="AI1180" s="9" t="str">
        <f t="shared" si="238"/>
        <v/>
      </c>
      <c r="AJ1180" s="9" t="str">
        <f t="shared" si="239"/>
        <v/>
      </c>
      <c r="AK1180" s="9" t="str">
        <f t="shared" si="240"/>
        <v/>
      </c>
      <c r="AL1180" s="9" t="str">
        <f t="shared" si="241"/>
        <v/>
      </c>
      <c r="AM1180" s="9" t="str">
        <f t="shared" si="242"/>
        <v/>
      </c>
      <c r="AN1180" s="9" t="str">
        <f t="shared" si="243"/>
        <v/>
      </c>
      <c r="AO1180" s="9" t="str">
        <f t="shared" si="244"/>
        <v/>
      </c>
      <c r="AP1180" s="9" t="str">
        <f t="shared" si="245"/>
        <v/>
      </c>
      <c r="AQ1180" s="10" t="str">
        <f t="shared" si="246"/>
        <v/>
      </c>
    </row>
    <row r="1181" spans="1:43">
      <c r="A1181">
        <v>1180</v>
      </c>
      <c r="B1181" t="s">
        <v>26</v>
      </c>
      <c r="C1181" t="s">
        <v>204</v>
      </c>
      <c r="D1181" t="s">
        <v>205</v>
      </c>
      <c r="E1181" t="s">
        <v>97</v>
      </c>
      <c r="G1181" t="s">
        <v>18</v>
      </c>
      <c r="H1181" s="4">
        <v>17550000</v>
      </c>
      <c r="I1181" s="5">
        <v>0</v>
      </c>
      <c r="J1181" s="5">
        <v>500</v>
      </c>
      <c r="K1181" s="5">
        <v>4</v>
      </c>
      <c r="L1181">
        <v>4.5999999999999996</v>
      </c>
      <c r="M1181">
        <v>3.5</v>
      </c>
      <c r="N1181">
        <v>3.92</v>
      </c>
      <c r="O1181" s="6">
        <v>15.6</v>
      </c>
      <c r="P1181" s="7">
        <v>2.0699999999999998</v>
      </c>
      <c r="U1181" t="s">
        <v>84</v>
      </c>
      <c r="V1181" t="s">
        <v>812</v>
      </c>
      <c r="W1181">
        <v>2.2999999999999998</v>
      </c>
      <c r="X1181" t="s">
        <v>84</v>
      </c>
      <c r="Y1181" t="s">
        <v>130</v>
      </c>
      <c r="Z1181" t="s">
        <v>113</v>
      </c>
      <c r="AA1181" t="s">
        <v>114</v>
      </c>
      <c r="AB1181" t="s">
        <v>115</v>
      </c>
      <c r="AC1181">
        <v>650</v>
      </c>
      <c r="AD1181" s="8" t="b">
        <f>AND(
 H1181&gt;=Filters!$B$3,
 H1181&lt;=Filters!$B$4,
 I1181&gt;=Filters!$B$5,
 OR(Filters!$B$6="All",B1181=Filters!$B$6),
 F1181&gt;=Filters!$B$7,
 F1181&lt;=Filters!$B$8,
 OR(Filters!$B$9="All",G1181=Filters!$B$9)
)</f>
        <v>0</v>
      </c>
      <c r="AE1181">
        <f t="shared" si="234"/>
        <v>6</v>
      </c>
      <c r="AF1181">
        <f t="shared" si="235"/>
        <v>7</v>
      </c>
      <c r="AG1181">
        <f t="shared" si="236"/>
        <v>7</v>
      </c>
      <c r="AH1181" s="9" t="str">
        <f t="shared" si="237"/>
        <v/>
      </c>
      <c r="AI1181" s="9" t="str">
        <f t="shared" si="238"/>
        <v/>
      </c>
      <c r="AJ1181" s="9" t="str">
        <f t="shared" si="239"/>
        <v/>
      </c>
      <c r="AK1181" s="9" t="str">
        <f t="shared" si="240"/>
        <v/>
      </c>
      <c r="AL1181" s="9" t="str">
        <f t="shared" si="241"/>
        <v/>
      </c>
      <c r="AM1181" s="9" t="str">
        <f t="shared" si="242"/>
        <v/>
      </c>
      <c r="AN1181" s="9" t="str">
        <f t="shared" si="243"/>
        <v/>
      </c>
      <c r="AO1181" s="9" t="str">
        <f t="shared" si="244"/>
        <v/>
      </c>
      <c r="AP1181" s="9" t="str">
        <f t="shared" si="245"/>
        <v/>
      </c>
      <c r="AQ1181" s="10" t="str">
        <f t="shared" si="246"/>
        <v/>
      </c>
    </row>
    <row r="1182" spans="1:43">
      <c r="A1182">
        <v>1181</v>
      </c>
      <c r="B1182" t="s">
        <v>29</v>
      </c>
      <c r="C1182" t="s">
        <v>546</v>
      </c>
      <c r="D1182" t="s">
        <v>547</v>
      </c>
      <c r="E1182" t="s">
        <v>168</v>
      </c>
      <c r="G1182" t="s">
        <v>18</v>
      </c>
      <c r="H1182" s="4">
        <v>44199000</v>
      </c>
      <c r="I1182" s="5">
        <v>256</v>
      </c>
      <c r="J1182" s="5">
        <v>0</v>
      </c>
      <c r="K1182" s="5">
        <v>8</v>
      </c>
      <c r="L1182">
        <v>6.6</v>
      </c>
      <c r="M1182">
        <v>3.5</v>
      </c>
      <c r="N1182">
        <v>7.7</v>
      </c>
      <c r="O1182" s="6">
        <v>14</v>
      </c>
      <c r="P1182" s="7">
        <v>1.36</v>
      </c>
      <c r="U1182" t="s">
        <v>84</v>
      </c>
      <c r="V1182" t="s">
        <v>375</v>
      </c>
      <c r="W1182">
        <v>2.2999999999999998</v>
      </c>
      <c r="X1182" t="s">
        <v>84</v>
      </c>
      <c r="Y1182" t="s">
        <v>130</v>
      </c>
      <c r="Z1182" t="s">
        <v>100</v>
      </c>
      <c r="AA1182" t="s">
        <v>1199</v>
      </c>
      <c r="AB1182" t="s">
        <v>115</v>
      </c>
      <c r="AC1182">
        <v>1637</v>
      </c>
      <c r="AD1182" s="8" t="b">
        <f>AND(
 H1182&gt;=Filters!$B$3,
 H1182&lt;=Filters!$B$4,
 I1182&gt;=Filters!$B$5,
 OR(Filters!$B$6="All",B1182=Filters!$B$6),
 F1182&gt;=Filters!$B$7,
 F1182&lt;=Filters!$B$8,
 OR(Filters!$B$9="All",G1182=Filters!$B$9)
)</f>
        <v>0</v>
      </c>
      <c r="AE1182">
        <f t="shared" si="234"/>
        <v>6</v>
      </c>
      <c r="AF1182">
        <f t="shared" si="235"/>
        <v>7</v>
      </c>
      <c r="AG1182">
        <f t="shared" si="236"/>
        <v>7</v>
      </c>
      <c r="AH1182" s="9" t="str">
        <f t="shared" si="237"/>
        <v/>
      </c>
      <c r="AI1182" s="9" t="str">
        <f t="shared" si="238"/>
        <v/>
      </c>
      <c r="AJ1182" s="9" t="str">
        <f t="shared" si="239"/>
        <v/>
      </c>
      <c r="AK1182" s="9" t="str">
        <f t="shared" si="240"/>
        <v/>
      </c>
      <c r="AL1182" s="9" t="str">
        <f t="shared" si="241"/>
        <v/>
      </c>
      <c r="AM1182" s="9" t="str">
        <f t="shared" si="242"/>
        <v/>
      </c>
      <c r="AN1182" s="9" t="str">
        <f t="shared" si="243"/>
        <v/>
      </c>
      <c r="AO1182" s="9" t="str">
        <f t="shared" si="244"/>
        <v/>
      </c>
      <c r="AP1182" s="9" t="str">
        <f t="shared" si="245"/>
        <v/>
      </c>
      <c r="AQ1182" s="10" t="str">
        <f t="shared" si="246"/>
        <v/>
      </c>
    </row>
    <row r="1183" spans="1:43">
      <c r="A1183">
        <v>1182</v>
      </c>
      <c r="B1183" t="s">
        <v>29</v>
      </c>
      <c r="C1183" t="s">
        <v>1565</v>
      </c>
      <c r="D1183" t="s">
        <v>969</v>
      </c>
      <c r="E1183" t="s">
        <v>83</v>
      </c>
      <c r="G1183" t="s">
        <v>18</v>
      </c>
      <c r="H1183" s="4">
        <v>22437000</v>
      </c>
      <c r="I1183" s="5">
        <v>256</v>
      </c>
      <c r="J1183" s="5">
        <v>0</v>
      </c>
      <c r="K1183" s="5">
        <v>6</v>
      </c>
      <c r="L1183">
        <v>9.4</v>
      </c>
      <c r="M1183">
        <v>8.5</v>
      </c>
      <c r="N1183">
        <v>5.92</v>
      </c>
      <c r="O1183" s="6">
        <v>15.6</v>
      </c>
      <c r="P1183" s="7">
        <v>1.54</v>
      </c>
      <c r="U1183" t="s">
        <v>84</v>
      </c>
      <c r="V1183" t="s">
        <v>140</v>
      </c>
      <c r="W1183">
        <v>2.7</v>
      </c>
      <c r="X1183" t="s">
        <v>122</v>
      </c>
      <c r="Y1183" t="s">
        <v>311</v>
      </c>
      <c r="Z1183" t="s">
        <v>100</v>
      </c>
      <c r="AA1183" t="s">
        <v>101</v>
      </c>
      <c r="AB1183" t="s">
        <v>115</v>
      </c>
      <c r="AC1183">
        <v>831</v>
      </c>
      <c r="AD1183" s="8" t="b">
        <f>AND(
 H1183&gt;=Filters!$B$3,
 H1183&lt;=Filters!$B$4,
 I1183&gt;=Filters!$B$5,
 OR(Filters!$B$6="All",B1183=Filters!$B$6),
 F1183&gt;=Filters!$B$7,
 F1183&lt;=Filters!$B$8,
 OR(Filters!$B$9="All",G1183=Filters!$B$9)
)</f>
        <v>1</v>
      </c>
      <c r="AE1183">
        <f t="shared" si="234"/>
        <v>6</v>
      </c>
      <c r="AF1183">
        <f t="shared" si="235"/>
        <v>7</v>
      </c>
      <c r="AG1183">
        <f t="shared" si="236"/>
        <v>7</v>
      </c>
      <c r="AH1183" s="9">
        <f t="shared" si="237"/>
        <v>0.97619047619047628</v>
      </c>
      <c r="AI1183" s="9">
        <f t="shared" si="238"/>
        <v>0.5714285714285714</v>
      </c>
      <c r="AJ1183" s="9">
        <f t="shared" si="239"/>
        <v>0.86904761904761896</v>
      </c>
      <c r="AK1183" s="9">
        <f t="shared" si="240"/>
        <v>0.56190476190476191</v>
      </c>
      <c r="AL1183" s="9">
        <f t="shared" si="241"/>
        <v>0.95952380952380933</v>
      </c>
      <c r="AM1183" s="9">
        <f t="shared" si="242"/>
        <v>0.5714285714285714</v>
      </c>
      <c r="AN1183" s="9">
        <f t="shared" si="243"/>
        <v>0.69047619047619047</v>
      </c>
      <c r="AO1183" s="9">
        <f t="shared" si="244"/>
        <v>0.69047619047619047</v>
      </c>
      <c r="AP1183" s="9">
        <f t="shared" si="245"/>
        <v>0.72657470887389708</v>
      </c>
      <c r="AQ1183" s="10">
        <f t="shared" si="246"/>
        <v>0.72657589187389704</v>
      </c>
    </row>
    <row r="1184" spans="1:43">
      <c r="A1184">
        <v>1183</v>
      </c>
      <c r="B1184" t="s">
        <v>23</v>
      </c>
      <c r="C1184" t="s">
        <v>853</v>
      </c>
      <c r="D1184" t="s">
        <v>854</v>
      </c>
      <c r="E1184" t="s">
        <v>97</v>
      </c>
      <c r="G1184" t="s">
        <v>18</v>
      </c>
      <c r="H1184" s="4">
        <v>24165270</v>
      </c>
      <c r="I1184" s="5">
        <v>256</v>
      </c>
      <c r="J1184" s="5">
        <v>0</v>
      </c>
      <c r="K1184" s="5">
        <v>8</v>
      </c>
      <c r="L1184">
        <v>9.4</v>
      </c>
      <c r="M1184">
        <v>6.5</v>
      </c>
      <c r="N1184">
        <v>5.92</v>
      </c>
      <c r="O1184" s="6">
        <v>15.6</v>
      </c>
      <c r="P1184" s="7">
        <v>1.98</v>
      </c>
      <c r="U1184" t="s">
        <v>84</v>
      </c>
      <c r="V1184" t="s">
        <v>140</v>
      </c>
      <c r="W1184">
        <v>2.7</v>
      </c>
      <c r="X1184" t="s">
        <v>122</v>
      </c>
      <c r="Y1184" t="s">
        <v>661</v>
      </c>
      <c r="Z1184" t="s">
        <v>100</v>
      </c>
      <c r="AA1184" t="s">
        <v>101</v>
      </c>
      <c r="AB1184" t="s">
        <v>201</v>
      </c>
      <c r="AC1184">
        <v>895.01</v>
      </c>
      <c r="AD1184" s="8" t="b">
        <f>AND(
 H1184&gt;=Filters!$B$3,
 H1184&lt;=Filters!$B$4,
 I1184&gt;=Filters!$B$5,
 OR(Filters!$B$6="All",B1184=Filters!$B$6),
 F1184&gt;=Filters!$B$7,
 F1184&lt;=Filters!$B$8,
 OR(Filters!$B$9="All",G1184=Filters!$B$9)
)</f>
        <v>1</v>
      </c>
      <c r="AE1184">
        <f t="shared" si="234"/>
        <v>6</v>
      </c>
      <c r="AF1184">
        <f t="shared" si="235"/>
        <v>7</v>
      </c>
      <c r="AG1184">
        <f t="shared" si="236"/>
        <v>7</v>
      </c>
      <c r="AH1184" s="9">
        <f t="shared" si="237"/>
        <v>0.97619047619047628</v>
      </c>
      <c r="AI1184" s="9">
        <f t="shared" si="238"/>
        <v>0.80952380952380942</v>
      </c>
      <c r="AJ1184" s="9">
        <f t="shared" si="239"/>
        <v>0.63095238095238093</v>
      </c>
      <c r="AK1184" s="9">
        <f t="shared" si="240"/>
        <v>0.56190476190476191</v>
      </c>
      <c r="AL1184" s="9">
        <f t="shared" si="241"/>
        <v>0.90714285714285703</v>
      </c>
      <c r="AM1184" s="9">
        <f t="shared" si="242"/>
        <v>0.5714285714285714</v>
      </c>
      <c r="AN1184" s="9">
        <f t="shared" si="243"/>
        <v>0.69047619047619047</v>
      </c>
      <c r="AO1184" s="9">
        <f t="shared" si="244"/>
        <v>0.69047619047619047</v>
      </c>
      <c r="AP1184" s="9">
        <f t="shared" si="245"/>
        <v>0.75161535078596986</v>
      </c>
      <c r="AQ1184" s="10">
        <f t="shared" si="246"/>
        <v>0.7516165347859699</v>
      </c>
    </row>
    <row r="1185" spans="1:43">
      <c r="A1185">
        <v>1184</v>
      </c>
      <c r="B1185" t="s">
        <v>17</v>
      </c>
      <c r="C1185" t="s">
        <v>109</v>
      </c>
      <c r="D1185" t="s">
        <v>110</v>
      </c>
      <c r="E1185" t="s">
        <v>97</v>
      </c>
      <c r="G1185" t="s">
        <v>18</v>
      </c>
      <c r="H1185" s="4">
        <v>8991000</v>
      </c>
      <c r="I1185" s="5">
        <v>0</v>
      </c>
      <c r="J1185" s="5">
        <v>500</v>
      </c>
      <c r="K1185" s="5">
        <v>4</v>
      </c>
      <c r="L1185">
        <v>2</v>
      </c>
      <c r="M1185">
        <v>3.5</v>
      </c>
      <c r="N1185">
        <v>3.92</v>
      </c>
      <c r="O1185" s="6">
        <v>15.6</v>
      </c>
      <c r="P1185" s="7">
        <v>2.1</v>
      </c>
      <c r="U1185" t="s">
        <v>84</v>
      </c>
      <c r="V1185" t="s">
        <v>198</v>
      </c>
      <c r="W1185">
        <v>2</v>
      </c>
      <c r="X1185" t="s">
        <v>84</v>
      </c>
      <c r="Y1185" t="s">
        <v>199</v>
      </c>
      <c r="Z1185" t="s">
        <v>113</v>
      </c>
      <c r="AA1185" t="s">
        <v>114</v>
      </c>
      <c r="AB1185" t="s">
        <v>115</v>
      </c>
      <c r="AC1185">
        <v>333</v>
      </c>
      <c r="AD1185" s="8" t="b">
        <f>AND(
 H1185&gt;=Filters!$B$3,
 H1185&lt;=Filters!$B$4,
 I1185&gt;=Filters!$B$5,
 OR(Filters!$B$6="All",B1185=Filters!$B$6),
 F1185&gt;=Filters!$B$7,
 F1185&lt;=Filters!$B$8,
 OR(Filters!$B$9="All",G1185=Filters!$B$9)
)</f>
        <v>0</v>
      </c>
      <c r="AE1185">
        <f t="shared" si="234"/>
        <v>6</v>
      </c>
      <c r="AF1185">
        <f t="shared" si="235"/>
        <v>7</v>
      </c>
      <c r="AG1185">
        <f t="shared" si="236"/>
        <v>7</v>
      </c>
      <c r="AH1185" s="9" t="str">
        <f t="shared" si="237"/>
        <v/>
      </c>
      <c r="AI1185" s="9" t="str">
        <f t="shared" si="238"/>
        <v/>
      </c>
      <c r="AJ1185" s="9" t="str">
        <f t="shared" si="239"/>
        <v/>
      </c>
      <c r="AK1185" s="9" t="str">
        <f t="shared" si="240"/>
        <v/>
      </c>
      <c r="AL1185" s="9" t="str">
        <f t="shared" si="241"/>
        <v/>
      </c>
      <c r="AM1185" s="9" t="str">
        <f t="shared" si="242"/>
        <v/>
      </c>
      <c r="AN1185" s="9" t="str">
        <f t="shared" si="243"/>
        <v/>
      </c>
      <c r="AO1185" s="9" t="str">
        <f t="shared" si="244"/>
        <v/>
      </c>
      <c r="AP1185" s="9" t="str">
        <f t="shared" si="245"/>
        <v/>
      </c>
      <c r="AQ1185" s="10" t="str">
        <f t="shared" si="246"/>
        <v/>
      </c>
    </row>
    <row r="1186" spans="1:43">
      <c r="A1186">
        <v>1185</v>
      </c>
      <c r="B1186" t="s">
        <v>26</v>
      </c>
      <c r="C1186" t="s">
        <v>1566</v>
      </c>
      <c r="D1186" t="s">
        <v>1567</v>
      </c>
      <c r="E1186" t="s">
        <v>97</v>
      </c>
      <c r="G1186" t="s">
        <v>18</v>
      </c>
      <c r="H1186" s="4">
        <v>21573000</v>
      </c>
      <c r="I1186" s="5">
        <v>0</v>
      </c>
      <c r="J1186" s="5">
        <v>1024</v>
      </c>
      <c r="K1186" s="5">
        <v>6</v>
      </c>
      <c r="L1186">
        <v>9.1999999999999993</v>
      </c>
      <c r="M1186">
        <v>9.1999999999999993</v>
      </c>
      <c r="N1186">
        <v>6.32</v>
      </c>
      <c r="O1186" s="6">
        <v>15.6</v>
      </c>
      <c r="P1186" s="7">
        <v>2.1800000000000002</v>
      </c>
      <c r="U1186" t="s">
        <v>84</v>
      </c>
      <c r="V1186" t="s">
        <v>808</v>
      </c>
      <c r="W1186">
        <v>2.6</v>
      </c>
      <c r="X1186" t="s">
        <v>122</v>
      </c>
      <c r="Y1186" t="s">
        <v>874</v>
      </c>
      <c r="Z1186" t="s">
        <v>146</v>
      </c>
      <c r="AA1186" t="s">
        <v>128</v>
      </c>
      <c r="AB1186" t="s">
        <v>115</v>
      </c>
      <c r="AC1186">
        <v>799</v>
      </c>
      <c r="AD1186" s="8" t="b">
        <f>AND(
 H1186&gt;=Filters!$B$3,
 H1186&lt;=Filters!$B$4,
 I1186&gt;=Filters!$B$5,
 OR(Filters!$B$6="All",B1186=Filters!$B$6),
 F1186&gt;=Filters!$B$7,
 F1186&lt;=Filters!$B$8,
 OR(Filters!$B$9="All",G1186=Filters!$B$9)
)</f>
        <v>0</v>
      </c>
      <c r="AE1186">
        <f t="shared" si="234"/>
        <v>6</v>
      </c>
      <c r="AF1186">
        <f t="shared" si="235"/>
        <v>7</v>
      </c>
      <c r="AG1186">
        <f t="shared" si="236"/>
        <v>7</v>
      </c>
      <c r="AH1186" s="9" t="str">
        <f t="shared" si="237"/>
        <v/>
      </c>
      <c r="AI1186" s="9" t="str">
        <f t="shared" si="238"/>
        <v/>
      </c>
      <c r="AJ1186" s="9" t="str">
        <f t="shared" si="239"/>
        <v/>
      </c>
      <c r="AK1186" s="9" t="str">
        <f t="shared" si="240"/>
        <v/>
      </c>
      <c r="AL1186" s="9" t="str">
        <f t="shared" si="241"/>
        <v/>
      </c>
      <c r="AM1186" s="9" t="str">
        <f t="shared" si="242"/>
        <v/>
      </c>
      <c r="AN1186" s="9" t="str">
        <f t="shared" si="243"/>
        <v/>
      </c>
      <c r="AO1186" s="9" t="str">
        <f t="shared" si="244"/>
        <v/>
      </c>
      <c r="AP1186" s="9" t="str">
        <f t="shared" si="245"/>
        <v/>
      </c>
      <c r="AQ1186" s="10" t="str">
        <f t="shared" si="246"/>
        <v/>
      </c>
    </row>
    <row r="1187" spans="1:43">
      <c r="A1187">
        <v>1186</v>
      </c>
      <c r="B1187" t="s">
        <v>21</v>
      </c>
      <c r="C1187" t="s">
        <v>1568</v>
      </c>
      <c r="D1187" t="s">
        <v>1569</v>
      </c>
      <c r="E1187" t="s">
        <v>158</v>
      </c>
      <c r="G1187" t="s">
        <v>18</v>
      </c>
      <c r="H1187" s="4">
        <v>24543000</v>
      </c>
      <c r="I1187" s="5">
        <v>256</v>
      </c>
      <c r="J1187" s="5">
        <v>1024</v>
      </c>
      <c r="K1187" s="5">
        <v>8</v>
      </c>
      <c r="L1187">
        <v>9.1999999999999993</v>
      </c>
      <c r="M1187">
        <v>9.1999999999999993</v>
      </c>
      <c r="N1187">
        <v>6.32</v>
      </c>
      <c r="O1187" s="6">
        <v>15.6</v>
      </c>
      <c r="P1187" s="7">
        <v>2.5910000000000002</v>
      </c>
      <c r="U1187" t="s">
        <v>84</v>
      </c>
      <c r="V1187" t="s">
        <v>808</v>
      </c>
      <c r="W1187">
        <v>2.6</v>
      </c>
      <c r="X1187" t="s">
        <v>122</v>
      </c>
      <c r="Y1187" t="s">
        <v>874</v>
      </c>
      <c r="Z1187" t="s">
        <v>212</v>
      </c>
      <c r="AA1187" t="s">
        <v>128</v>
      </c>
      <c r="AB1187" t="s">
        <v>115</v>
      </c>
      <c r="AC1187">
        <v>909</v>
      </c>
      <c r="AD1187" s="8" t="b">
        <f>AND(
 H1187&gt;=Filters!$B$3,
 H1187&lt;=Filters!$B$4,
 I1187&gt;=Filters!$B$5,
 OR(Filters!$B$6="All",B1187=Filters!$B$6),
 F1187&gt;=Filters!$B$7,
 F1187&lt;=Filters!$B$8,
 OR(Filters!$B$9="All",G1187=Filters!$B$9)
)</f>
        <v>1</v>
      </c>
      <c r="AE1187">
        <f t="shared" si="234"/>
        <v>6</v>
      </c>
      <c r="AF1187">
        <f t="shared" si="235"/>
        <v>7</v>
      </c>
      <c r="AG1187">
        <f t="shared" si="236"/>
        <v>7</v>
      </c>
      <c r="AH1187" s="9">
        <f t="shared" si="237"/>
        <v>0.95238095238095222</v>
      </c>
      <c r="AI1187" s="9">
        <f t="shared" si="238"/>
        <v>0.80952380952380942</v>
      </c>
      <c r="AJ1187" s="9">
        <f t="shared" si="239"/>
        <v>0.95238095238095222</v>
      </c>
      <c r="AK1187" s="9">
        <f t="shared" si="240"/>
        <v>0.60952380952380947</v>
      </c>
      <c r="AL1187" s="9">
        <f t="shared" si="241"/>
        <v>0.83440476190476176</v>
      </c>
      <c r="AM1187" s="9">
        <f t="shared" si="242"/>
        <v>0.5714285714285714</v>
      </c>
      <c r="AN1187" s="9">
        <f t="shared" si="243"/>
        <v>0.69047619047619047</v>
      </c>
      <c r="AO1187" s="9">
        <f t="shared" si="244"/>
        <v>0.69047619047619047</v>
      </c>
      <c r="AP1187" s="9">
        <f t="shared" si="245"/>
        <v>0.7680075916263831</v>
      </c>
      <c r="AQ1187" s="10">
        <f t="shared" si="246"/>
        <v>0.76800877862638306</v>
      </c>
    </row>
    <row r="1188" spans="1:43">
      <c r="A1188">
        <v>1187</v>
      </c>
      <c r="B1188" t="s">
        <v>23</v>
      </c>
      <c r="C1188" t="s">
        <v>1431</v>
      </c>
      <c r="D1188" t="s">
        <v>1432</v>
      </c>
      <c r="E1188" t="s">
        <v>168</v>
      </c>
      <c r="G1188" t="s">
        <v>18</v>
      </c>
      <c r="H1188" s="4">
        <v>31833000</v>
      </c>
      <c r="I1188" s="5">
        <v>512</v>
      </c>
      <c r="J1188" s="5">
        <v>0</v>
      </c>
      <c r="K1188" s="5">
        <v>16</v>
      </c>
      <c r="L1188">
        <v>9.4</v>
      </c>
      <c r="M1188">
        <v>3.5</v>
      </c>
      <c r="N1188">
        <v>6.22</v>
      </c>
      <c r="O1188" s="6">
        <v>15.6</v>
      </c>
      <c r="P1188" s="7">
        <v>2.09</v>
      </c>
      <c r="U1188" t="s">
        <v>84</v>
      </c>
      <c r="V1188" t="s">
        <v>140</v>
      </c>
      <c r="W1188">
        <v>2.7</v>
      </c>
      <c r="X1188" t="s">
        <v>84</v>
      </c>
      <c r="Y1188" t="s">
        <v>99</v>
      </c>
      <c r="Z1188" t="s">
        <v>106</v>
      </c>
      <c r="AA1188" t="s">
        <v>169</v>
      </c>
      <c r="AB1188" t="s">
        <v>115</v>
      </c>
      <c r="AC1188">
        <v>1179</v>
      </c>
      <c r="AD1188" s="8" t="b">
        <f>AND(
 H1188&gt;=Filters!$B$3,
 H1188&lt;=Filters!$B$4,
 I1188&gt;=Filters!$B$5,
 OR(Filters!$B$6="All",B1188=Filters!$B$6),
 F1188&gt;=Filters!$B$7,
 F1188&lt;=Filters!$B$8,
 OR(Filters!$B$9="All",G1188=Filters!$B$9)
)</f>
        <v>0</v>
      </c>
      <c r="AE1188">
        <f t="shared" si="234"/>
        <v>6</v>
      </c>
      <c r="AF1188">
        <f t="shared" si="235"/>
        <v>7</v>
      </c>
      <c r="AG1188">
        <f t="shared" si="236"/>
        <v>7</v>
      </c>
      <c r="AH1188" s="9" t="str">
        <f t="shared" si="237"/>
        <v/>
      </c>
      <c r="AI1188" s="9" t="str">
        <f t="shared" si="238"/>
        <v/>
      </c>
      <c r="AJ1188" s="9" t="str">
        <f t="shared" si="239"/>
        <v/>
      </c>
      <c r="AK1188" s="9" t="str">
        <f t="shared" si="240"/>
        <v/>
      </c>
      <c r="AL1188" s="9" t="str">
        <f t="shared" si="241"/>
        <v/>
      </c>
      <c r="AM1188" s="9" t="str">
        <f t="shared" si="242"/>
        <v/>
      </c>
      <c r="AN1188" s="9" t="str">
        <f t="shared" si="243"/>
        <v/>
      </c>
      <c r="AO1188" s="9" t="str">
        <f t="shared" si="244"/>
        <v/>
      </c>
      <c r="AP1188" s="9" t="str">
        <f t="shared" si="245"/>
        <v/>
      </c>
      <c r="AQ1188" s="10" t="str">
        <f t="shared" si="246"/>
        <v/>
      </c>
    </row>
    <row r="1189" spans="1:43">
      <c r="A1189">
        <v>1188</v>
      </c>
      <c r="B1189" t="s">
        <v>17</v>
      </c>
      <c r="C1189" t="s">
        <v>462</v>
      </c>
      <c r="D1189" t="s">
        <v>463</v>
      </c>
      <c r="E1189" t="s">
        <v>97</v>
      </c>
      <c r="G1189" t="s">
        <v>18</v>
      </c>
      <c r="H1189" s="4">
        <v>18657000</v>
      </c>
      <c r="I1189" s="5">
        <v>256</v>
      </c>
      <c r="J1189" s="5">
        <v>0</v>
      </c>
      <c r="K1189" s="5">
        <v>4</v>
      </c>
      <c r="L1189">
        <v>7</v>
      </c>
      <c r="M1189">
        <v>6.5</v>
      </c>
      <c r="N1189">
        <v>5.92</v>
      </c>
      <c r="O1189" s="6">
        <v>15.6</v>
      </c>
      <c r="P1189" s="7">
        <v>2.23</v>
      </c>
      <c r="U1189" t="s">
        <v>84</v>
      </c>
      <c r="V1189" t="s">
        <v>98</v>
      </c>
      <c r="W1189">
        <v>2.5</v>
      </c>
      <c r="X1189" t="s">
        <v>122</v>
      </c>
      <c r="Y1189" t="s">
        <v>145</v>
      </c>
      <c r="Z1189" t="s">
        <v>100</v>
      </c>
      <c r="AA1189" t="s">
        <v>101</v>
      </c>
      <c r="AB1189" t="s">
        <v>115</v>
      </c>
      <c r="AC1189">
        <v>691</v>
      </c>
      <c r="AD1189" s="8" t="b">
        <f>AND(
 H1189&gt;=Filters!$B$3,
 H1189&lt;=Filters!$B$4,
 I1189&gt;=Filters!$B$5,
 OR(Filters!$B$6="All",B1189=Filters!$B$6),
 F1189&gt;=Filters!$B$7,
 F1189&lt;=Filters!$B$8,
 OR(Filters!$B$9="All",G1189=Filters!$B$9)
)</f>
        <v>1</v>
      </c>
      <c r="AE1189">
        <f t="shared" si="234"/>
        <v>6</v>
      </c>
      <c r="AF1189">
        <f t="shared" si="235"/>
        <v>7</v>
      </c>
      <c r="AG1189">
        <f t="shared" si="236"/>
        <v>7</v>
      </c>
      <c r="AH1189" s="9">
        <f t="shared" si="237"/>
        <v>0.69047619047619047</v>
      </c>
      <c r="AI1189" s="9">
        <f t="shared" si="238"/>
        <v>0.33333333333333331</v>
      </c>
      <c r="AJ1189" s="9">
        <f t="shared" si="239"/>
        <v>0.63095238095238093</v>
      </c>
      <c r="AK1189" s="9">
        <f t="shared" si="240"/>
        <v>0.56190476190476191</v>
      </c>
      <c r="AL1189" s="9">
        <f t="shared" si="241"/>
        <v>0.87738095238095226</v>
      </c>
      <c r="AM1189" s="9">
        <f t="shared" si="242"/>
        <v>0.5714285714285714</v>
      </c>
      <c r="AN1189" s="9">
        <f t="shared" si="243"/>
        <v>0.69047619047619047</v>
      </c>
      <c r="AO1189" s="9">
        <f t="shared" si="244"/>
        <v>0.69047619047619047</v>
      </c>
      <c r="AP1189" s="9">
        <f t="shared" si="245"/>
        <v>0.60371699114847843</v>
      </c>
      <c r="AQ1189" s="10">
        <f t="shared" si="246"/>
        <v>0.60371818014847844</v>
      </c>
    </row>
    <row r="1190" spans="1:43">
      <c r="A1190">
        <v>1189</v>
      </c>
      <c r="B1190" t="s">
        <v>23</v>
      </c>
      <c r="C1190" t="s">
        <v>147</v>
      </c>
      <c r="D1190" t="s">
        <v>148</v>
      </c>
      <c r="E1190" t="s">
        <v>83</v>
      </c>
      <c r="G1190" t="s">
        <v>18</v>
      </c>
      <c r="H1190" s="4">
        <v>29673000</v>
      </c>
      <c r="I1190" s="5">
        <v>256</v>
      </c>
      <c r="J1190" s="5">
        <v>0</v>
      </c>
      <c r="K1190" s="5">
        <v>8</v>
      </c>
      <c r="L1190">
        <v>6.8</v>
      </c>
      <c r="M1190">
        <v>3.5</v>
      </c>
      <c r="N1190">
        <v>8.4600000000000009</v>
      </c>
      <c r="O1190" s="6">
        <v>13.3</v>
      </c>
      <c r="P1190" s="7">
        <v>1.23</v>
      </c>
      <c r="U1190" t="s">
        <v>84</v>
      </c>
      <c r="V1190" t="s">
        <v>1024</v>
      </c>
      <c r="W1190">
        <v>2.4</v>
      </c>
      <c r="X1190" t="s">
        <v>84</v>
      </c>
      <c r="Y1190" t="s">
        <v>130</v>
      </c>
      <c r="Z1190" t="s">
        <v>100</v>
      </c>
      <c r="AA1190" t="s">
        <v>333</v>
      </c>
      <c r="AB1190" t="s">
        <v>201</v>
      </c>
      <c r="AC1190">
        <v>1099</v>
      </c>
      <c r="AD1190" s="8" t="b">
        <f>AND(
 H1190&gt;=Filters!$B$3,
 H1190&lt;=Filters!$B$4,
 I1190&gt;=Filters!$B$5,
 OR(Filters!$B$6="All",B1190=Filters!$B$6),
 F1190&gt;=Filters!$B$7,
 F1190&lt;=Filters!$B$8,
 OR(Filters!$B$9="All",G1190=Filters!$B$9)
)</f>
        <v>0</v>
      </c>
      <c r="AE1190">
        <f t="shared" si="234"/>
        <v>6</v>
      </c>
      <c r="AF1190">
        <f t="shared" si="235"/>
        <v>7</v>
      </c>
      <c r="AG1190">
        <f t="shared" si="236"/>
        <v>7</v>
      </c>
      <c r="AH1190" s="9" t="str">
        <f t="shared" si="237"/>
        <v/>
      </c>
      <c r="AI1190" s="9" t="str">
        <f t="shared" si="238"/>
        <v/>
      </c>
      <c r="AJ1190" s="9" t="str">
        <f t="shared" si="239"/>
        <v/>
      </c>
      <c r="AK1190" s="9" t="str">
        <f t="shared" si="240"/>
        <v/>
      </c>
      <c r="AL1190" s="9" t="str">
        <f t="shared" si="241"/>
        <v/>
      </c>
      <c r="AM1190" s="9" t="str">
        <f t="shared" si="242"/>
        <v/>
      </c>
      <c r="AN1190" s="9" t="str">
        <f t="shared" si="243"/>
        <v/>
      </c>
      <c r="AO1190" s="9" t="str">
        <f t="shared" si="244"/>
        <v/>
      </c>
      <c r="AP1190" s="9" t="str">
        <f t="shared" si="245"/>
        <v/>
      </c>
      <c r="AQ1190" s="10" t="str">
        <f t="shared" si="246"/>
        <v/>
      </c>
    </row>
    <row r="1191" spans="1:43">
      <c r="A1191">
        <v>1190</v>
      </c>
      <c r="B1191" t="s">
        <v>17</v>
      </c>
      <c r="C1191" t="s">
        <v>1187</v>
      </c>
      <c r="D1191" t="s">
        <v>1188</v>
      </c>
      <c r="E1191" t="s">
        <v>158</v>
      </c>
      <c r="G1191" t="s">
        <v>18</v>
      </c>
      <c r="H1191" s="4">
        <v>70173000</v>
      </c>
      <c r="I1191" s="5">
        <v>256</v>
      </c>
      <c r="J1191" s="5">
        <v>1024</v>
      </c>
      <c r="K1191" s="5">
        <v>16</v>
      </c>
      <c r="L1191">
        <v>9.6</v>
      </c>
      <c r="M1191">
        <v>9.1999999999999993</v>
      </c>
      <c r="N1191">
        <v>6.24</v>
      </c>
      <c r="O1191" s="6">
        <v>17.3</v>
      </c>
      <c r="P1191" s="7">
        <v>4.2</v>
      </c>
      <c r="U1191" t="s">
        <v>84</v>
      </c>
      <c r="V1191" t="s">
        <v>210</v>
      </c>
      <c r="W1191">
        <v>2.8</v>
      </c>
      <c r="X1191" t="s">
        <v>122</v>
      </c>
      <c r="Y1191" t="s">
        <v>248</v>
      </c>
      <c r="Z1191" t="s">
        <v>212</v>
      </c>
      <c r="AA1191" t="s">
        <v>128</v>
      </c>
      <c r="AB1191" t="s">
        <v>115</v>
      </c>
      <c r="AC1191">
        <v>2599</v>
      </c>
      <c r="AD1191" s="8" t="b">
        <f>AND(
 H1191&gt;=Filters!$B$3,
 H1191&lt;=Filters!$B$4,
 I1191&gt;=Filters!$B$5,
 OR(Filters!$B$6="All",B1191=Filters!$B$6),
 F1191&gt;=Filters!$B$7,
 F1191&lt;=Filters!$B$8,
 OR(Filters!$B$9="All",G1191=Filters!$B$9)
)</f>
        <v>0</v>
      </c>
      <c r="AE1191">
        <f t="shared" si="234"/>
        <v>6</v>
      </c>
      <c r="AF1191">
        <f t="shared" si="235"/>
        <v>7</v>
      </c>
      <c r="AG1191">
        <f t="shared" si="236"/>
        <v>7</v>
      </c>
      <c r="AH1191" s="9" t="str">
        <f t="shared" si="237"/>
        <v/>
      </c>
      <c r="AI1191" s="9" t="str">
        <f t="shared" si="238"/>
        <v/>
      </c>
      <c r="AJ1191" s="9" t="str">
        <f t="shared" si="239"/>
        <v/>
      </c>
      <c r="AK1191" s="9" t="str">
        <f t="shared" si="240"/>
        <v/>
      </c>
      <c r="AL1191" s="9" t="str">
        <f t="shared" si="241"/>
        <v/>
      </c>
      <c r="AM1191" s="9" t="str">
        <f t="shared" si="242"/>
        <v/>
      </c>
      <c r="AN1191" s="9" t="str">
        <f t="shared" si="243"/>
        <v/>
      </c>
      <c r="AO1191" s="9" t="str">
        <f t="shared" si="244"/>
        <v/>
      </c>
      <c r="AP1191" s="9" t="str">
        <f t="shared" si="245"/>
        <v/>
      </c>
      <c r="AQ1191" s="10" t="str">
        <f t="shared" si="246"/>
        <v/>
      </c>
    </row>
    <row r="1192" spans="1:43">
      <c r="A1192">
        <v>1191</v>
      </c>
      <c r="B1192" t="s">
        <v>29</v>
      </c>
      <c r="C1192" t="s">
        <v>156</v>
      </c>
      <c r="D1192" t="s">
        <v>157</v>
      </c>
      <c r="E1192" t="s">
        <v>158</v>
      </c>
      <c r="G1192" t="s">
        <v>18</v>
      </c>
      <c r="H1192" s="4">
        <v>22113000</v>
      </c>
      <c r="I1192" s="5">
        <v>0</v>
      </c>
      <c r="J1192" s="5">
        <v>1024</v>
      </c>
      <c r="K1192" s="5">
        <v>8</v>
      </c>
      <c r="L1192">
        <v>7</v>
      </c>
      <c r="M1192">
        <v>9.1999999999999993</v>
      </c>
      <c r="N1192">
        <v>6.32</v>
      </c>
      <c r="O1192" s="6">
        <v>15.6</v>
      </c>
      <c r="P1192" s="7">
        <v>2.4</v>
      </c>
      <c r="U1192" t="s">
        <v>84</v>
      </c>
      <c r="V1192" t="s">
        <v>159</v>
      </c>
      <c r="W1192">
        <v>2.5</v>
      </c>
      <c r="X1192" t="s">
        <v>122</v>
      </c>
      <c r="Y1192" t="s">
        <v>160</v>
      </c>
      <c r="Z1192" t="s">
        <v>146</v>
      </c>
      <c r="AA1192" t="s">
        <v>128</v>
      </c>
      <c r="AB1192" t="s">
        <v>115</v>
      </c>
      <c r="AC1192">
        <v>819</v>
      </c>
      <c r="AD1192" s="8" t="b">
        <f>AND(
 H1192&gt;=Filters!$B$3,
 H1192&lt;=Filters!$B$4,
 I1192&gt;=Filters!$B$5,
 OR(Filters!$B$6="All",B1192=Filters!$B$6),
 F1192&gt;=Filters!$B$7,
 F1192&lt;=Filters!$B$8,
 OR(Filters!$B$9="All",G1192=Filters!$B$9)
)</f>
        <v>0</v>
      </c>
      <c r="AE1192">
        <f t="shared" si="234"/>
        <v>6</v>
      </c>
      <c r="AF1192">
        <f t="shared" si="235"/>
        <v>7</v>
      </c>
      <c r="AG1192">
        <f t="shared" si="236"/>
        <v>7</v>
      </c>
      <c r="AH1192" s="9" t="str">
        <f t="shared" si="237"/>
        <v/>
      </c>
      <c r="AI1192" s="9" t="str">
        <f t="shared" si="238"/>
        <v/>
      </c>
      <c r="AJ1192" s="9" t="str">
        <f t="shared" si="239"/>
        <v/>
      </c>
      <c r="AK1192" s="9" t="str">
        <f t="shared" si="240"/>
        <v/>
      </c>
      <c r="AL1192" s="9" t="str">
        <f t="shared" si="241"/>
        <v/>
      </c>
      <c r="AM1192" s="9" t="str">
        <f t="shared" si="242"/>
        <v/>
      </c>
      <c r="AN1192" s="9" t="str">
        <f t="shared" si="243"/>
        <v/>
      </c>
      <c r="AO1192" s="9" t="str">
        <f t="shared" si="244"/>
        <v/>
      </c>
      <c r="AP1192" s="9" t="str">
        <f t="shared" si="245"/>
        <v/>
      </c>
      <c r="AQ1192" s="10" t="str">
        <f t="shared" si="246"/>
        <v/>
      </c>
    </row>
    <row r="1193" spans="1:43">
      <c r="A1193">
        <v>1192</v>
      </c>
      <c r="B1193" t="s">
        <v>34</v>
      </c>
      <c r="C1193" t="s">
        <v>1570</v>
      </c>
      <c r="D1193" t="s">
        <v>1571</v>
      </c>
      <c r="E1193" t="s">
        <v>168</v>
      </c>
      <c r="G1193" t="s">
        <v>18</v>
      </c>
      <c r="H1193" s="4">
        <v>17793000</v>
      </c>
      <c r="I1193" s="5">
        <v>32</v>
      </c>
      <c r="J1193" s="5">
        <v>0</v>
      </c>
      <c r="K1193" s="5">
        <v>4</v>
      </c>
      <c r="L1193">
        <v>5</v>
      </c>
      <c r="M1193">
        <v>5</v>
      </c>
      <c r="N1193">
        <v>8.41</v>
      </c>
      <c r="O1193" s="6">
        <v>12.3</v>
      </c>
      <c r="P1193" s="7">
        <v>1.1499999999999999</v>
      </c>
      <c r="U1193" t="s">
        <v>34</v>
      </c>
      <c r="V1193" t="s">
        <v>1572</v>
      </c>
      <c r="W1193">
        <v>2</v>
      </c>
      <c r="X1193" t="s">
        <v>1573</v>
      </c>
      <c r="Y1193" t="s">
        <v>1574</v>
      </c>
      <c r="Z1193" t="s">
        <v>155</v>
      </c>
      <c r="AA1193" t="s">
        <v>1575</v>
      </c>
      <c r="AB1193" t="s">
        <v>563</v>
      </c>
      <c r="AC1193">
        <v>659</v>
      </c>
      <c r="AD1193" s="8" t="b">
        <f>AND(
 H1193&gt;=Filters!$B$3,
 H1193&lt;=Filters!$B$4,
 I1193&gt;=Filters!$B$5,
 OR(Filters!$B$6="All",B1193=Filters!$B$6),
 F1193&gt;=Filters!$B$7,
 F1193&lt;=Filters!$B$8,
 OR(Filters!$B$9="All",G1193=Filters!$B$9)
)</f>
        <v>0</v>
      </c>
      <c r="AE1193">
        <f t="shared" si="234"/>
        <v>6</v>
      </c>
      <c r="AF1193">
        <f t="shared" si="235"/>
        <v>7</v>
      </c>
      <c r="AG1193">
        <f t="shared" si="236"/>
        <v>7</v>
      </c>
      <c r="AH1193" s="9" t="str">
        <f t="shared" si="237"/>
        <v/>
      </c>
      <c r="AI1193" s="9" t="str">
        <f t="shared" si="238"/>
        <v/>
      </c>
      <c r="AJ1193" s="9" t="str">
        <f t="shared" si="239"/>
        <v/>
      </c>
      <c r="AK1193" s="9" t="str">
        <f t="shared" si="240"/>
        <v/>
      </c>
      <c r="AL1193" s="9" t="str">
        <f t="shared" si="241"/>
        <v/>
      </c>
      <c r="AM1193" s="9" t="str">
        <f t="shared" si="242"/>
        <v/>
      </c>
      <c r="AN1193" s="9" t="str">
        <f t="shared" si="243"/>
        <v/>
      </c>
      <c r="AO1193" s="9" t="str">
        <f t="shared" si="244"/>
        <v/>
      </c>
      <c r="AP1193" s="9" t="str">
        <f t="shared" si="245"/>
        <v/>
      </c>
      <c r="AQ1193" s="10" t="str">
        <f t="shared" si="246"/>
        <v/>
      </c>
    </row>
    <row r="1194" spans="1:43">
      <c r="A1194">
        <v>1193</v>
      </c>
      <c r="B1194" t="s">
        <v>26</v>
      </c>
      <c r="C1194" t="s">
        <v>95</v>
      </c>
      <c r="D1194" t="s">
        <v>96</v>
      </c>
      <c r="E1194" t="s">
        <v>97</v>
      </c>
      <c r="G1194" t="s">
        <v>18</v>
      </c>
      <c r="H1194" s="4">
        <v>13095000</v>
      </c>
      <c r="I1194" s="5">
        <v>0</v>
      </c>
      <c r="J1194" s="5">
        <v>500</v>
      </c>
      <c r="K1194" s="5">
        <v>4</v>
      </c>
      <c r="L1194">
        <v>7</v>
      </c>
      <c r="M1194">
        <v>3.5</v>
      </c>
      <c r="N1194">
        <v>3.92</v>
      </c>
      <c r="O1194" s="6">
        <v>15.6</v>
      </c>
      <c r="P1194" s="7">
        <v>1.86</v>
      </c>
      <c r="U1194" t="s">
        <v>84</v>
      </c>
      <c r="V1194" t="s">
        <v>98</v>
      </c>
      <c r="W1194">
        <v>2.5</v>
      </c>
      <c r="X1194" t="s">
        <v>84</v>
      </c>
      <c r="Y1194" t="s">
        <v>99</v>
      </c>
      <c r="Z1194" t="s">
        <v>113</v>
      </c>
      <c r="AA1194" t="s">
        <v>114</v>
      </c>
      <c r="AB1194" t="s">
        <v>115</v>
      </c>
      <c r="AC1194">
        <v>485</v>
      </c>
      <c r="AD1194" s="8" t="b">
        <f>AND(
 H1194&gt;=Filters!$B$3,
 H1194&lt;=Filters!$B$4,
 I1194&gt;=Filters!$B$5,
 OR(Filters!$B$6="All",B1194=Filters!$B$6),
 F1194&gt;=Filters!$B$7,
 F1194&lt;=Filters!$B$8,
 OR(Filters!$B$9="All",G1194=Filters!$B$9)
)</f>
        <v>0</v>
      </c>
      <c r="AE1194">
        <f t="shared" si="234"/>
        <v>6</v>
      </c>
      <c r="AF1194">
        <f t="shared" si="235"/>
        <v>7</v>
      </c>
      <c r="AG1194">
        <f t="shared" si="236"/>
        <v>7</v>
      </c>
      <c r="AH1194" s="9" t="str">
        <f t="shared" si="237"/>
        <v/>
      </c>
      <c r="AI1194" s="9" t="str">
        <f t="shared" si="238"/>
        <v/>
      </c>
      <c r="AJ1194" s="9" t="str">
        <f t="shared" si="239"/>
        <v/>
      </c>
      <c r="AK1194" s="9" t="str">
        <f t="shared" si="240"/>
        <v/>
      </c>
      <c r="AL1194" s="9" t="str">
        <f t="shared" si="241"/>
        <v/>
      </c>
      <c r="AM1194" s="9" t="str">
        <f t="shared" si="242"/>
        <v/>
      </c>
      <c r="AN1194" s="9" t="str">
        <f t="shared" si="243"/>
        <v/>
      </c>
      <c r="AO1194" s="9" t="str">
        <f t="shared" si="244"/>
        <v/>
      </c>
      <c r="AP1194" s="9" t="str">
        <f t="shared" si="245"/>
        <v/>
      </c>
      <c r="AQ1194" s="10" t="str">
        <f t="shared" si="246"/>
        <v/>
      </c>
    </row>
    <row r="1195" spans="1:43">
      <c r="A1195">
        <v>1194</v>
      </c>
      <c r="B1195" t="s">
        <v>19</v>
      </c>
      <c r="C1195" t="s">
        <v>135</v>
      </c>
      <c r="D1195" t="s">
        <v>136</v>
      </c>
      <c r="E1195" t="s">
        <v>83</v>
      </c>
      <c r="G1195" t="s">
        <v>18</v>
      </c>
      <c r="H1195" s="4">
        <v>31401000</v>
      </c>
      <c r="I1195" s="5">
        <v>256</v>
      </c>
      <c r="J1195" s="5">
        <v>0</v>
      </c>
      <c r="K1195" s="5">
        <v>8</v>
      </c>
      <c r="L1195">
        <v>3.2</v>
      </c>
      <c r="M1195">
        <v>3.5</v>
      </c>
      <c r="N1195">
        <v>7.9</v>
      </c>
      <c r="O1195" s="6">
        <v>12</v>
      </c>
      <c r="P1195" s="7">
        <v>0.92</v>
      </c>
      <c r="U1195" t="s">
        <v>84</v>
      </c>
      <c r="V1195" t="s">
        <v>1196</v>
      </c>
      <c r="W1195">
        <v>1.1000000000000001</v>
      </c>
      <c r="X1195" t="s">
        <v>84</v>
      </c>
      <c r="Y1195" t="s">
        <v>1197</v>
      </c>
      <c r="Z1195" t="s">
        <v>117</v>
      </c>
      <c r="AA1195" t="s">
        <v>139</v>
      </c>
      <c r="AB1195" t="s">
        <v>118</v>
      </c>
      <c r="AC1195">
        <v>1163</v>
      </c>
      <c r="AD1195" s="8" t="b">
        <f>AND(
 H1195&gt;=Filters!$B$3,
 H1195&lt;=Filters!$B$4,
 I1195&gt;=Filters!$B$5,
 OR(Filters!$B$6="All",B1195=Filters!$B$6),
 F1195&gt;=Filters!$B$7,
 F1195&lt;=Filters!$B$8,
 OR(Filters!$B$9="All",G1195=Filters!$B$9)
)</f>
        <v>0</v>
      </c>
      <c r="AE1195">
        <f t="shared" si="234"/>
        <v>6</v>
      </c>
      <c r="AF1195">
        <f t="shared" si="235"/>
        <v>7</v>
      </c>
      <c r="AG1195">
        <f t="shared" si="236"/>
        <v>7</v>
      </c>
      <c r="AH1195" s="9" t="str">
        <f t="shared" si="237"/>
        <v/>
      </c>
      <c r="AI1195" s="9" t="str">
        <f t="shared" si="238"/>
        <v/>
      </c>
      <c r="AJ1195" s="9" t="str">
        <f t="shared" si="239"/>
        <v/>
      </c>
      <c r="AK1195" s="9" t="str">
        <f t="shared" si="240"/>
        <v/>
      </c>
      <c r="AL1195" s="9" t="str">
        <f t="shared" si="241"/>
        <v/>
      </c>
      <c r="AM1195" s="9" t="str">
        <f t="shared" si="242"/>
        <v/>
      </c>
      <c r="AN1195" s="9" t="str">
        <f t="shared" si="243"/>
        <v/>
      </c>
      <c r="AO1195" s="9" t="str">
        <f t="shared" si="244"/>
        <v/>
      </c>
      <c r="AP1195" s="9" t="str">
        <f t="shared" si="245"/>
        <v/>
      </c>
      <c r="AQ1195" s="10" t="str">
        <f t="shared" si="246"/>
        <v/>
      </c>
    </row>
    <row r="1196" spans="1:43">
      <c r="A1196">
        <v>1195</v>
      </c>
      <c r="B1196" t="s">
        <v>23</v>
      </c>
      <c r="C1196" t="s">
        <v>1437</v>
      </c>
      <c r="D1196" t="s">
        <v>1438</v>
      </c>
      <c r="E1196" t="s">
        <v>168</v>
      </c>
      <c r="G1196" t="s">
        <v>18</v>
      </c>
      <c r="H1196" s="4">
        <v>32373000</v>
      </c>
      <c r="I1196" s="5">
        <v>256</v>
      </c>
      <c r="J1196" s="5">
        <v>0</v>
      </c>
      <c r="K1196" s="5">
        <v>8</v>
      </c>
      <c r="L1196">
        <v>7</v>
      </c>
      <c r="M1196">
        <v>3.5</v>
      </c>
      <c r="N1196">
        <v>6.67</v>
      </c>
      <c r="O1196" s="6">
        <v>13.3</v>
      </c>
      <c r="P1196" s="7">
        <v>1.6</v>
      </c>
      <c r="U1196" t="s">
        <v>84</v>
      </c>
      <c r="V1196" t="s">
        <v>98</v>
      </c>
      <c r="W1196">
        <v>2.5</v>
      </c>
      <c r="X1196" t="s">
        <v>84</v>
      </c>
      <c r="Y1196" t="s">
        <v>99</v>
      </c>
      <c r="Z1196" t="s">
        <v>100</v>
      </c>
      <c r="AA1196" t="s">
        <v>149</v>
      </c>
      <c r="AB1196" t="s">
        <v>115</v>
      </c>
      <c r="AC1196">
        <v>1199</v>
      </c>
      <c r="AD1196" s="8" t="b">
        <f>AND(
 H1196&gt;=Filters!$B$3,
 H1196&lt;=Filters!$B$4,
 I1196&gt;=Filters!$B$5,
 OR(Filters!$B$6="All",B1196=Filters!$B$6),
 F1196&gt;=Filters!$B$7,
 F1196&lt;=Filters!$B$8,
 OR(Filters!$B$9="All",G1196=Filters!$B$9)
)</f>
        <v>0</v>
      </c>
      <c r="AE1196">
        <f t="shared" si="234"/>
        <v>6</v>
      </c>
      <c r="AF1196">
        <f t="shared" si="235"/>
        <v>7</v>
      </c>
      <c r="AG1196">
        <f t="shared" si="236"/>
        <v>7</v>
      </c>
      <c r="AH1196" s="9" t="str">
        <f t="shared" si="237"/>
        <v/>
      </c>
      <c r="AI1196" s="9" t="str">
        <f t="shared" si="238"/>
        <v/>
      </c>
      <c r="AJ1196" s="9" t="str">
        <f t="shared" si="239"/>
        <v/>
      </c>
      <c r="AK1196" s="9" t="str">
        <f t="shared" si="240"/>
        <v/>
      </c>
      <c r="AL1196" s="9" t="str">
        <f t="shared" si="241"/>
        <v/>
      </c>
      <c r="AM1196" s="9" t="str">
        <f t="shared" si="242"/>
        <v/>
      </c>
      <c r="AN1196" s="9" t="str">
        <f t="shared" si="243"/>
        <v/>
      </c>
      <c r="AO1196" s="9" t="str">
        <f t="shared" si="244"/>
        <v/>
      </c>
      <c r="AP1196" s="9" t="str">
        <f t="shared" si="245"/>
        <v/>
      </c>
      <c r="AQ1196" s="10" t="str">
        <f t="shared" si="246"/>
        <v/>
      </c>
    </row>
    <row r="1197" spans="1:43">
      <c r="A1197">
        <v>1196</v>
      </c>
      <c r="B1197" t="s">
        <v>26</v>
      </c>
      <c r="C1197" t="s">
        <v>1576</v>
      </c>
      <c r="D1197" t="s">
        <v>1577</v>
      </c>
      <c r="E1197" t="s">
        <v>97</v>
      </c>
      <c r="G1197" t="s">
        <v>18</v>
      </c>
      <c r="H1197" s="4">
        <v>35829000</v>
      </c>
      <c r="I1197" s="5">
        <v>128</v>
      </c>
      <c r="J1197" s="5">
        <v>1024</v>
      </c>
      <c r="K1197" s="5">
        <v>12</v>
      </c>
      <c r="L1197">
        <v>9.6</v>
      </c>
      <c r="M1197">
        <v>9.1999999999999993</v>
      </c>
      <c r="N1197">
        <v>6.32</v>
      </c>
      <c r="O1197" s="6">
        <v>15.6</v>
      </c>
      <c r="P1197" s="7">
        <v>2.21</v>
      </c>
      <c r="U1197" t="s">
        <v>84</v>
      </c>
      <c r="V1197" t="s">
        <v>210</v>
      </c>
      <c r="W1197">
        <v>2.8</v>
      </c>
      <c r="X1197" t="s">
        <v>122</v>
      </c>
      <c r="Y1197" t="s">
        <v>160</v>
      </c>
      <c r="Z1197" t="s">
        <v>161</v>
      </c>
      <c r="AA1197" t="s">
        <v>128</v>
      </c>
      <c r="AB1197" t="s">
        <v>115</v>
      </c>
      <c r="AC1197">
        <v>1327</v>
      </c>
      <c r="AD1197" s="8" t="b">
        <f>AND(
 H1197&gt;=Filters!$B$3,
 H1197&lt;=Filters!$B$4,
 I1197&gt;=Filters!$B$5,
 OR(Filters!$B$6="All",B1197=Filters!$B$6),
 F1197&gt;=Filters!$B$7,
 F1197&lt;=Filters!$B$8,
 OR(Filters!$B$9="All",G1197=Filters!$B$9)
)</f>
        <v>0</v>
      </c>
      <c r="AE1197">
        <f t="shared" si="234"/>
        <v>6</v>
      </c>
      <c r="AF1197">
        <f t="shared" si="235"/>
        <v>7</v>
      </c>
      <c r="AG1197">
        <f t="shared" si="236"/>
        <v>7</v>
      </c>
      <c r="AH1197" s="9" t="str">
        <f t="shared" si="237"/>
        <v/>
      </c>
      <c r="AI1197" s="9" t="str">
        <f t="shared" si="238"/>
        <v/>
      </c>
      <c r="AJ1197" s="9" t="str">
        <f t="shared" si="239"/>
        <v/>
      </c>
      <c r="AK1197" s="9" t="str">
        <f t="shared" si="240"/>
        <v/>
      </c>
      <c r="AL1197" s="9" t="str">
        <f t="shared" si="241"/>
        <v/>
      </c>
      <c r="AM1197" s="9" t="str">
        <f t="shared" si="242"/>
        <v/>
      </c>
      <c r="AN1197" s="9" t="str">
        <f t="shared" si="243"/>
        <v/>
      </c>
      <c r="AO1197" s="9" t="str">
        <f t="shared" si="244"/>
        <v/>
      </c>
      <c r="AP1197" s="9" t="str">
        <f t="shared" si="245"/>
        <v/>
      </c>
      <c r="AQ1197" s="10" t="str">
        <f t="shared" si="246"/>
        <v/>
      </c>
    </row>
    <row r="1198" spans="1:43">
      <c r="A1198">
        <v>1197</v>
      </c>
      <c r="B1198" t="s">
        <v>29</v>
      </c>
      <c r="C1198" t="s">
        <v>1578</v>
      </c>
      <c r="D1198" t="s">
        <v>1579</v>
      </c>
      <c r="E1198" t="s">
        <v>97</v>
      </c>
      <c r="G1198" t="s">
        <v>18</v>
      </c>
      <c r="H1198" s="4">
        <v>9936000</v>
      </c>
      <c r="I1198" s="5">
        <v>0</v>
      </c>
      <c r="J1198" s="5">
        <v>1024</v>
      </c>
      <c r="K1198" s="5">
        <v>4</v>
      </c>
      <c r="L1198">
        <v>4</v>
      </c>
      <c r="M1198">
        <v>6.5</v>
      </c>
      <c r="N1198">
        <v>3.92</v>
      </c>
      <c r="O1198" s="6">
        <v>15.6</v>
      </c>
      <c r="P1198" s="7">
        <v>1.9</v>
      </c>
      <c r="U1198" t="s">
        <v>84</v>
      </c>
      <c r="V1198" t="s">
        <v>129</v>
      </c>
      <c r="W1198">
        <v>2</v>
      </c>
      <c r="X1198" t="s">
        <v>104</v>
      </c>
      <c r="Y1198" t="s">
        <v>134</v>
      </c>
      <c r="Z1198" t="s">
        <v>146</v>
      </c>
      <c r="AA1198" t="s">
        <v>114</v>
      </c>
      <c r="AB1198" t="s">
        <v>102</v>
      </c>
      <c r="AC1198">
        <v>368</v>
      </c>
      <c r="AD1198" s="8" t="b">
        <f>AND(
 H1198&gt;=Filters!$B$3,
 H1198&lt;=Filters!$B$4,
 I1198&gt;=Filters!$B$5,
 OR(Filters!$B$6="All",B1198=Filters!$B$6),
 F1198&gt;=Filters!$B$7,
 F1198&lt;=Filters!$B$8,
 OR(Filters!$B$9="All",G1198=Filters!$B$9)
)</f>
        <v>0</v>
      </c>
      <c r="AE1198">
        <f t="shared" si="234"/>
        <v>6</v>
      </c>
      <c r="AF1198">
        <f t="shared" si="235"/>
        <v>7</v>
      </c>
      <c r="AG1198">
        <f t="shared" si="236"/>
        <v>7</v>
      </c>
      <c r="AH1198" s="9" t="str">
        <f t="shared" si="237"/>
        <v/>
      </c>
      <c r="AI1198" s="9" t="str">
        <f t="shared" si="238"/>
        <v/>
      </c>
      <c r="AJ1198" s="9" t="str">
        <f t="shared" si="239"/>
        <v/>
      </c>
      <c r="AK1198" s="9" t="str">
        <f t="shared" si="240"/>
        <v/>
      </c>
      <c r="AL1198" s="9" t="str">
        <f t="shared" si="241"/>
        <v/>
      </c>
      <c r="AM1198" s="9" t="str">
        <f t="shared" si="242"/>
        <v/>
      </c>
      <c r="AN1198" s="9" t="str">
        <f t="shared" si="243"/>
        <v/>
      </c>
      <c r="AO1198" s="9" t="str">
        <f t="shared" si="244"/>
        <v/>
      </c>
      <c r="AP1198" s="9" t="str">
        <f t="shared" si="245"/>
        <v/>
      </c>
      <c r="AQ1198" s="10" t="str">
        <f t="shared" si="246"/>
        <v/>
      </c>
    </row>
    <row r="1199" spans="1:43">
      <c r="A1199">
        <v>1198</v>
      </c>
      <c r="B1199" t="s">
        <v>21</v>
      </c>
      <c r="C1199" t="s">
        <v>1580</v>
      </c>
      <c r="D1199" t="s">
        <v>1581</v>
      </c>
      <c r="E1199" t="s">
        <v>158</v>
      </c>
      <c r="G1199" t="s">
        <v>18</v>
      </c>
      <c r="H1199" s="4">
        <v>58050000</v>
      </c>
      <c r="I1199" s="5">
        <v>512</v>
      </c>
      <c r="J1199" s="5">
        <v>1024</v>
      </c>
      <c r="K1199" s="5">
        <v>16</v>
      </c>
      <c r="L1199">
        <v>9.1999999999999993</v>
      </c>
      <c r="M1199">
        <v>9.1999999999999993</v>
      </c>
      <c r="N1199">
        <v>6.24</v>
      </c>
      <c r="O1199" s="6">
        <v>17.3</v>
      </c>
      <c r="P1199" s="7">
        <v>4.3</v>
      </c>
      <c r="U1199" t="s">
        <v>84</v>
      </c>
      <c r="V1199" t="s">
        <v>808</v>
      </c>
      <c r="W1199">
        <v>2.6</v>
      </c>
      <c r="X1199" t="s">
        <v>122</v>
      </c>
      <c r="Y1199" t="s">
        <v>526</v>
      </c>
      <c r="Z1199" t="s">
        <v>428</v>
      </c>
      <c r="AA1199" t="s">
        <v>128</v>
      </c>
      <c r="AB1199" t="s">
        <v>115</v>
      </c>
      <c r="AC1199">
        <v>2150</v>
      </c>
      <c r="AD1199" s="8" t="b">
        <f>AND(
 H1199&gt;=Filters!$B$3,
 H1199&lt;=Filters!$B$4,
 I1199&gt;=Filters!$B$5,
 OR(Filters!$B$6="All",B1199=Filters!$B$6),
 F1199&gt;=Filters!$B$7,
 F1199&lt;=Filters!$B$8,
 OR(Filters!$B$9="All",G1199=Filters!$B$9)
)</f>
        <v>0</v>
      </c>
      <c r="AE1199">
        <f t="shared" si="234"/>
        <v>6</v>
      </c>
      <c r="AF1199">
        <f t="shared" si="235"/>
        <v>7</v>
      </c>
      <c r="AG1199">
        <f t="shared" si="236"/>
        <v>7</v>
      </c>
      <c r="AH1199" s="9" t="str">
        <f t="shared" si="237"/>
        <v/>
      </c>
      <c r="AI1199" s="9" t="str">
        <f t="shared" si="238"/>
        <v/>
      </c>
      <c r="AJ1199" s="9" t="str">
        <f t="shared" si="239"/>
        <v/>
      </c>
      <c r="AK1199" s="9" t="str">
        <f t="shared" si="240"/>
        <v/>
      </c>
      <c r="AL1199" s="9" t="str">
        <f t="shared" si="241"/>
        <v/>
      </c>
      <c r="AM1199" s="9" t="str">
        <f t="shared" si="242"/>
        <v/>
      </c>
      <c r="AN1199" s="9" t="str">
        <f t="shared" si="243"/>
        <v/>
      </c>
      <c r="AO1199" s="9" t="str">
        <f t="shared" si="244"/>
        <v/>
      </c>
      <c r="AP1199" s="9" t="str">
        <f t="shared" si="245"/>
        <v/>
      </c>
      <c r="AQ1199" s="10" t="str">
        <f t="shared" si="246"/>
        <v/>
      </c>
    </row>
    <row r="1200" spans="1:43">
      <c r="A1200">
        <v>1199</v>
      </c>
      <c r="B1200" t="s">
        <v>17</v>
      </c>
      <c r="C1200" t="s">
        <v>109</v>
      </c>
      <c r="D1200" t="s">
        <v>110</v>
      </c>
      <c r="E1200" t="s">
        <v>97</v>
      </c>
      <c r="G1200" t="s">
        <v>18</v>
      </c>
      <c r="H1200" s="4">
        <v>7344000</v>
      </c>
      <c r="I1200" s="5">
        <v>0</v>
      </c>
      <c r="J1200" s="5">
        <v>1024</v>
      </c>
      <c r="K1200" s="5">
        <v>4</v>
      </c>
      <c r="L1200">
        <v>2</v>
      </c>
      <c r="M1200">
        <v>3.5</v>
      </c>
      <c r="N1200">
        <v>3.92</v>
      </c>
      <c r="O1200" s="6">
        <v>15.6</v>
      </c>
      <c r="P1200" s="7">
        <v>2.1</v>
      </c>
      <c r="U1200" t="s">
        <v>84</v>
      </c>
      <c r="V1200" t="s">
        <v>198</v>
      </c>
      <c r="W1200">
        <v>2</v>
      </c>
      <c r="X1200" t="s">
        <v>84</v>
      </c>
      <c r="Y1200" t="s">
        <v>199</v>
      </c>
      <c r="Z1200" t="s">
        <v>146</v>
      </c>
      <c r="AA1200" t="s">
        <v>114</v>
      </c>
      <c r="AB1200" t="s">
        <v>201</v>
      </c>
      <c r="AC1200">
        <v>272</v>
      </c>
      <c r="AD1200" s="8" t="b">
        <f>AND(
 H1200&gt;=Filters!$B$3,
 H1200&lt;=Filters!$B$4,
 I1200&gt;=Filters!$B$5,
 OR(Filters!$B$6="All",B1200=Filters!$B$6),
 F1200&gt;=Filters!$B$7,
 F1200&lt;=Filters!$B$8,
 OR(Filters!$B$9="All",G1200=Filters!$B$9)
)</f>
        <v>0</v>
      </c>
      <c r="AE1200">
        <f t="shared" si="234"/>
        <v>6</v>
      </c>
      <c r="AF1200">
        <f t="shared" si="235"/>
        <v>7</v>
      </c>
      <c r="AG1200">
        <f t="shared" si="236"/>
        <v>7</v>
      </c>
      <c r="AH1200" s="9" t="str">
        <f t="shared" si="237"/>
        <v/>
      </c>
      <c r="AI1200" s="9" t="str">
        <f t="shared" si="238"/>
        <v/>
      </c>
      <c r="AJ1200" s="9" t="str">
        <f t="shared" si="239"/>
        <v/>
      </c>
      <c r="AK1200" s="9" t="str">
        <f t="shared" si="240"/>
        <v/>
      </c>
      <c r="AL1200" s="9" t="str">
        <f t="shared" si="241"/>
        <v/>
      </c>
      <c r="AM1200" s="9" t="str">
        <f t="shared" si="242"/>
        <v/>
      </c>
      <c r="AN1200" s="9" t="str">
        <f t="shared" si="243"/>
        <v/>
      </c>
      <c r="AO1200" s="9" t="str">
        <f t="shared" si="244"/>
        <v/>
      </c>
      <c r="AP1200" s="9" t="str">
        <f t="shared" si="245"/>
        <v/>
      </c>
      <c r="AQ1200" s="10" t="str">
        <f t="shared" si="246"/>
        <v/>
      </c>
    </row>
    <row r="1201" spans="1:43">
      <c r="A1201">
        <v>1200</v>
      </c>
      <c r="B1201" t="s">
        <v>30</v>
      </c>
      <c r="C1201" t="s">
        <v>1582</v>
      </c>
      <c r="D1201" t="s">
        <v>1583</v>
      </c>
      <c r="E1201" t="s">
        <v>158</v>
      </c>
      <c r="G1201" t="s">
        <v>18</v>
      </c>
      <c r="H1201" s="4">
        <v>55320300</v>
      </c>
      <c r="I1201" s="5">
        <v>256</v>
      </c>
      <c r="J1201" s="5">
        <v>1024</v>
      </c>
      <c r="K1201" s="5">
        <v>16</v>
      </c>
      <c r="L1201">
        <v>9.6</v>
      </c>
      <c r="M1201">
        <v>9.1999999999999993</v>
      </c>
      <c r="N1201">
        <v>5.83</v>
      </c>
      <c r="O1201" s="6">
        <v>17.3</v>
      </c>
      <c r="P1201" s="7">
        <v>2.4300000000000002</v>
      </c>
      <c r="U1201" t="s">
        <v>84</v>
      </c>
      <c r="V1201" t="s">
        <v>210</v>
      </c>
      <c r="W1201">
        <v>2.8</v>
      </c>
      <c r="X1201" t="s">
        <v>122</v>
      </c>
      <c r="Y1201" t="s">
        <v>211</v>
      </c>
      <c r="Z1201" t="s">
        <v>212</v>
      </c>
      <c r="AA1201" t="s">
        <v>101</v>
      </c>
      <c r="AB1201" t="s">
        <v>115</v>
      </c>
      <c r="AC1201">
        <v>2048.9</v>
      </c>
      <c r="AD1201" s="8" t="b">
        <f>AND(
 H1201&gt;=Filters!$B$3,
 H1201&lt;=Filters!$B$4,
 I1201&gt;=Filters!$B$5,
 OR(Filters!$B$6="All",B1201=Filters!$B$6),
 F1201&gt;=Filters!$B$7,
 F1201&lt;=Filters!$B$8,
 OR(Filters!$B$9="All",G1201=Filters!$B$9)
)</f>
        <v>0</v>
      </c>
      <c r="AE1201">
        <f t="shared" si="234"/>
        <v>6</v>
      </c>
      <c r="AF1201">
        <f t="shared" si="235"/>
        <v>7</v>
      </c>
      <c r="AG1201">
        <f t="shared" si="236"/>
        <v>7</v>
      </c>
      <c r="AH1201" s="9" t="str">
        <f t="shared" si="237"/>
        <v/>
      </c>
      <c r="AI1201" s="9" t="str">
        <f t="shared" si="238"/>
        <v/>
      </c>
      <c r="AJ1201" s="9" t="str">
        <f t="shared" si="239"/>
        <v/>
      </c>
      <c r="AK1201" s="9" t="str">
        <f t="shared" si="240"/>
        <v/>
      </c>
      <c r="AL1201" s="9" t="str">
        <f t="shared" si="241"/>
        <v/>
      </c>
      <c r="AM1201" s="9" t="str">
        <f t="shared" si="242"/>
        <v/>
      </c>
      <c r="AN1201" s="9" t="str">
        <f t="shared" si="243"/>
        <v/>
      </c>
      <c r="AO1201" s="9" t="str">
        <f t="shared" si="244"/>
        <v/>
      </c>
      <c r="AP1201" s="9" t="str">
        <f t="shared" si="245"/>
        <v/>
      </c>
      <c r="AQ1201" s="10" t="str">
        <f t="shared" si="246"/>
        <v/>
      </c>
    </row>
    <row r="1202" spans="1:43">
      <c r="A1202">
        <v>1201</v>
      </c>
      <c r="B1202" t="s">
        <v>23</v>
      </c>
      <c r="C1202" t="s">
        <v>356</v>
      </c>
      <c r="D1202" t="s">
        <v>357</v>
      </c>
      <c r="E1202" t="s">
        <v>97</v>
      </c>
      <c r="G1202" t="s">
        <v>18</v>
      </c>
      <c r="H1202" s="4">
        <v>13473000</v>
      </c>
      <c r="I1202" s="5">
        <v>128</v>
      </c>
      <c r="J1202" s="5">
        <v>0</v>
      </c>
      <c r="K1202" s="5">
        <v>4</v>
      </c>
      <c r="L1202">
        <v>4</v>
      </c>
      <c r="M1202">
        <v>6.5</v>
      </c>
      <c r="N1202">
        <v>3.92</v>
      </c>
      <c r="O1202" s="6">
        <v>15.6</v>
      </c>
      <c r="P1202" s="7">
        <v>2.2999999999999998</v>
      </c>
      <c r="U1202" t="s">
        <v>84</v>
      </c>
      <c r="V1202" t="s">
        <v>129</v>
      </c>
      <c r="W1202">
        <v>2</v>
      </c>
      <c r="X1202" t="s">
        <v>104</v>
      </c>
      <c r="Y1202" t="s">
        <v>1066</v>
      </c>
      <c r="Z1202" t="s">
        <v>87</v>
      </c>
      <c r="AA1202" t="s">
        <v>114</v>
      </c>
      <c r="AB1202" t="s">
        <v>115</v>
      </c>
      <c r="AC1202">
        <v>499</v>
      </c>
      <c r="AD1202" s="8" t="b">
        <f>AND(
 H1202&gt;=Filters!$B$3,
 H1202&lt;=Filters!$B$4,
 I1202&gt;=Filters!$B$5,
 OR(Filters!$B$6="All",B1202=Filters!$B$6),
 F1202&gt;=Filters!$B$7,
 F1202&lt;=Filters!$B$8,
 OR(Filters!$B$9="All",G1202=Filters!$B$9)
)</f>
        <v>0</v>
      </c>
      <c r="AE1202">
        <f t="shared" si="234"/>
        <v>6</v>
      </c>
      <c r="AF1202">
        <f t="shared" si="235"/>
        <v>7</v>
      </c>
      <c r="AG1202">
        <f t="shared" si="236"/>
        <v>7</v>
      </c>
      <c r="AH1202" s="9" t="str">
        <f t="shared" si="237"/>
        <v/>
      </c>
      <c r="AI1202" s="9" t="str">
        <f t="shared" si="238"/>
        <v/>
      </c>
      <c r="AJ1202" s="9" t="str">
        <f t="shared" si="239"/>
        <v/>
      </c>
      <c r="AK1202" s="9" t="str">
        <f t="shared" si="240"/>
        <v/>
      </c>
      <c r="AL1202" s="9" t="str">
        <f t="shared" si="241"/>
        <v/>
      </c>
      <c r="AM1202" s="9" t="str">
        <f t="shared" si="242"/>
        <v/>
      </c>
      <c r="AN1202" s="9" t="str">
        <f t="shared" si="243"/>
        <v/>
      </c>
      <c r="AO1202" s="9" t="str">
        <f t="shared" si="244"/>
        <v/>
      </c>
      <c r="AP1202" s="9" t="str">
        <f t="shared" si="245"/>
        <v/>
      </c>
      <c r="AQ1202" s="10" t="str">
        <f t="shared" si="246"/>
        <v/>
      </c>
    </row>
    <row r="1203" spans="1:43">
      <c r="A1203">
        <v>1202</v>
      </c>
      <c r="B1203" t="s">
        <v>29</v>
      </c>
      <c r="C1203" t="s">
        <v>1545</v>
      </c>
      <c r="D1203" t="s">
        <v>1546</v>
      </c>
      <c r="E1203" t="s">
        <v>97</v>
      </c>
      <c r="G1203" t="s">
        <v>18</v>
      </c>
      <c r="H1203" s="4">
        <v>16983000</v>
      </c>
      <c r="I1203" s="5">
        <v>0</v>
      </c>
      <c r="J1203" s="5">
        <v>500</v>
      </c>
      <c r="K1203" s="5">
        <v>8</v>
      </c>
      <c r="L1203">
        <v>9</v>
      </c>
      <c r="M1203">
        <v>6.5</v>
      </c>
      <c r="N1203">
        <v>3.92</v>
      </c>
      <c r="O1203" s="6">
        <v>15.6</v>
      </c>
      <c r="P1203" s="7">
        <v>2.2000000000000002</v>
      </c>
      <c r="U1203" t="s">
        <v>84</v>
      </c>
      <c r="V1203" t="s">
        <v>485</v>
      </c>
      <c r="W1203">
        <v>2.5</v>
      </c>
      <c r="X1203" t="s">
        <v>122</v>
      </c>
      <c r="Y1203" t="s">
        <v>230</v>
      </c>
      <c r="Z1203" t="s">
        <v>113</v>
      </c>
      <c r="AA1203" t="s">
        <v>114</v>
      </c>
      <c r="AB1203" t="s">
        <v>102</v>
      </c>
      <c r="AC1203">
        <v>629</v>
      </c>
      <c r="AD1203" s="8" t="b">
        <f>AND(
 H1203&gt;=Filters!$B$3,
 H1203&lt;=Filters!$B$4,
 I1203&gt;=Filters!$B$5,
 OR(Filters!$B$6="All",B1203=Filters!$B$6),
 F1203&gt;=Filters!$B$7,
 F1203&lt;=Filters!$B$8,
 OR(Filters!$B$9="All",G1203=Filters!$B$9)
)</f>
        <v>0</v>
      </c>
      <c r="AE1203">
        <f t="shared" si="234"/>
        <v>6</v>
      </c>
      <c r="AF1203">
        <f t="shared" si="235"/>
        <v>7</v>
      </c>
      <c r="AG1203">
        <f t="shared" si="236"/>
        <v>7</v>
      </c>
      <c r="AH1203" s="9" t="str">
        <f t="shared" si="237"/>
        <v/>
      </c>
      <c r="AI1203" s="9" t="str">
        <f t="shared" si="238"/>
        <v/>
      </c>
      <c r="AJ1203" s="9" t="str">
        <f t="shared" si="239"/>
        <v/>
      </c>
      <c r="AK1203" s="9" t="str">
        <f t="shared" si="240"/>
        <v/>
      </c>
      <c r="AL1203" s="9" t="str">
        <f t="shared" si="241"/>
        <v/>
      </c>
      <c r="AM1203" s="9" t="str">
        <f t="shared" si="242"/>
        <v/>
      </c>
      <c r="AN1203" s="9" t="str">
        <f t="shared" si="243"/>
        <v/>
      </c>
      <c r="AO1203" s="9" t="str">
        <f t="shared" si="244"/>
        <v/>
      </c>
      <c r="AP1203" s="9" t="str">
        <f t="shared" si="245"/>
        <v/>
      </c>
      <c r="AQ1203" s="10" t="str">
        <f t="shared" si="246"/>
        <v/>
      </c>
    </row>
    <row r="1204" spans="1:43">
      <c r="A1204">
        <v>1203</v>
      </c>
      <c r="B1204" t="s">
        <v>23</v>
      </c>
      <c r="C1204" t="s">
        <v>407</v>
      </c>
      <c r="D1204" t="s">
        <v>408</v>
      </c>
      <c r="E1204" t="s">
        <v>168</v>
      </c>
      <c r="G1204" t="s">
        <v>18</v>
      </c>
      <c r="H1204" s="4">
        <v>34695000</v>
      </c>
      <c r="I1204" s="5">
        <v>512</v>
      </c>
      <c r="J1204" s="5">
        <v>0</v>
      </c>
      <c r="K1204" s="5">
        <v>16</v>
      </c>
      <c r="L1204">
        <v>7.6</v>
      </c>
      <c r="M1204">
        <v>3.8</v>
      </c>
      <c r="N1204">
        <v>6.22</v>
      </c>
      <c r="O1204" s="6">
        <v>15.6</v>
      </c>
      <c r="P1204" s="7">
        <v>2</v>
      </c>
      <c r="U1204" t="s">
        <v>84</v>
      </c>
      <c r="V1204" t="s">
        <v>121</v>
      </c>
      <c r="W1204">
        <v>1.8</v>
      </c>
      <c r="X1204" t="s">
        <v>84</v>
      </c>
      <c r="Y1204" t="s">
        <v>127</v>
      </c>
      <c r="Z1204" t="s">
        <v>106</v>
      </c>
      <c r="AA1204" t="s">
        <v>169</v>
      </c>
      <c r="AB1204" t="s">
        <v>115</v>
      </c>
      <c r="AC1204">
        <v>1285</v>
      </c>
      <c r="AD1204" s="8" t="b">
        <f>AND(
 H1204&gt;=Filters!$B$3,
 H1204&lt;=Filters!$B$4,
 I1204&gt;=Filters!$B$5,
 OR(Filters!$B$6="All",B1204=Filters!$B$6),
 F1204&gt;=Filters!$B$7,
 F1204&lt;=Filters!$B$8,
 OR(Filters!$B$9="All",G1204=Filters!$B$9)
)</f>
        <v>0</v>
      </c>
      <c r="AE1204">
        <f t="shared" si="234"/>
        <v>6</v>
      </c>
      <c r="AF1204">
        <f t="shared" si="235"/>
        <v>7</v>
      </c>
      <c r="AG1204">
        <f t="shared" si="236"/>
        <v>7</v>
      </c>
      <c r="AH1204" s="9" t="str">
        <f t="shared" si="237"/>
        <v/>
      </c>
      <c r="AI1204" s="9" t="str">
        <f t="shared" si="238"/>
        <v/>
      </c>
      <c r="AJ1204" s="9" t="str">
        <f t="shared" si="239"/>
        <v/>
      </c>
      <c r="AK1204" s="9" t="str">
        <f t="shared" si="240"/>
        <v/>
      </c>
      <c r="AL1204" s="9" t="str">
        <f t="shared" si="241"/>
        <v/>
      </c>
      <c r="AM1204" s="9" t="str">
        <f t="shared" si="242"/>
        <v/>
      </c>
      <c r="AN1204" s="9" t="str">
        <f t="shared" si="243"/>
        <v/>
      </c>
      <c r="AO1204" s="9" t="str">
        <f t="shared" si="244"/>
        <v/>
      </c>
      <c r="AP1204" s="9" t="str">
        <f t="shared" si="245"/>
        <v/>
      </c>
      <c r="AQ1204" s="10" t="str">
        <f t="shared" si="246"/>
        <v/>
      </c>
    </row>
    <row r="1205" spans="1:43">
      <c r="A1205">
        <v>1204</v>
      </c>
      <c r="B1205" t="s">
        <v>23</v>
      </c>
      <c r="C1205" t="s">
        <v>147</v>
      </c>
      <c r="D1205" t="s">
        <v>148</v>
      </c>
      <c r="E1205" t="s">
        <v>83</v>
      </c>
      <c r="G1205" t="s">
        <v>18</v>
      </c>
      <c r="H1205" s="4">
        <v>72360000</v>
      </c>
      <c r="I1205" s="5">
        <v>512</v>
      </c>
      <c r="J1205" s="5">
        <v>0</v>
      </c>
      <c r="K1205" s="5">
        <v>16</v>
      </c>
      <c r="L1205">
        <v>9.4</v>
      </c>
      <c r="M1205">
        <v>3.5</v>
      </c>
      <c r="N1205">
        <v>8.4600000000000009</v>
      </c>
      <c r="O1205" s="6">
        <v>13.3</v>
      </c>
      <c r="P1205" s="7">
        <v>1.2</v>
      </c>
      <c r="U1205" t="s">
        <v>84</v>
      </c>
      <c r="V1205" t="s">
        <v>140</v>
      </c>
      <c r="W1205">
        <v>2.7</v>
      </c>
      <c r="X1205" t="s">
        <v>84</v>
      </c>
      <c r="Y1205" t="s">
        <v>99</v>
      </c>
      <c r="Z1205" t="s">
        <v>106</v>
      </c>
      <c r="AA1205" t="s">
        <v>333</v>
      </c>
      <c r="AB1205" t="s">
        <v>115</v>
      </c>
      <c r="AC1205">
        <v>2680</v>
      </c>
      <c r="AD1205" s="8" t="b">
        <f>AND(
 H1205&gt;=Filters!$B$3,
 H1205&lt;=Filters!$B$4,
 I1205&gt;=Filters!$B$5,
 OR(Filters!$B$6="All",B1205=Filters!$B$6),
 F1205&gt;=Filters!$B$7,
 F1205&lt;=Filters!$B$8,
 OR(Filters!$B$9="All",G1205=Filters!$B$9)
)</f>
        <v>0</v>
      </c>
      <c r="AE1205">
        <f t="shared" si="234"/>
        <v>6</v>
      </c>
      <c r="AF1205">
        <f t="shared" si="235"/>
        <v>7</v>
      </c>
      <c r="AG1205">
        <f t="shared" si="236"/>
        <v>7</v>
      </c>
      <c r="AH1205" s="9" t="str">
        <f t="shared" si="237"/>
        <v/>
      </c>
      <c r="AI1205" s="9" t="str">
        <f t="shared" si="238"/>
        <v/>
      </c>
      <c r="AJ1205" s="9" t="str">
        <f t="shared" si="239"/>
        <v/>
      </c>
      <c r="AK1205" s="9" t="str">
        <f t="shared" si="240"/>
        <v/>
      </c>
      <c r="AL1205" s="9" t="str">
        <f t="shared" si="241"/>
        <v/>
      </c>
      <c r="AM1205" s="9" t="str">
        <f t="shared" si="242"/>
        <v/>
      </c>
      <c r="AN1205" s="9" t="str">
        <f t="shared" si="243"/>
        <v/>
      </c>
      <c r="AO1205" s="9" t="str">
        <f t="shared" si="244"/>
        <v/>
      </c>
      <c r="AP1205" s="9" t="str">
        <f t="shared" si="245"/>
        <v/>
      </c>
      <c r="AQ1205" s="10" t="str">
        <f t="shared" si="246"/>
        <v/>
      </c>
    </row>
    <row r="1206" spans="1:43">
      <c r="A1206">
        <v>1205</v>
      </c>
      <c r="B1206" t="s">
        <v>21</v>
      </c>
      <c r="C1206" t="s">
        <v>1584</v>
      </c>
      <c r="D1206" t="s">
        <v>1585</v>
      </c>
      <c r="E1206" t="s">
        <v>158</v>
      </c>
      <c r="G1206" t="s">
        <v>18</v>
      </c>
      <c r="H1206" s="4">
        <v>31563000</v>
      </c>
      <c r="I1206" s="5">
        <v>0</v>
      </c>
      <c r="J1206" s="5">
        <v>1024</v>
      </c>
      <c r="K1206" s="5">
        <v>8</v>
      </c>
      <c r="L1206">
        <v>9.1999999999999993</v>
      </c>
      <c r="M1206">
        <v>9.1999999999999993</v>
      </c>
      <c r="N1206">
        <v>5.92</v>
      </c>
      <c r="O1206" s="6">
        <v>15.6</v>
      </c>
      <c r="P1206" s="7">
        <v>2.2000000000000002</v>
      </c>
      <c r="U1206" t="s">
        <v>84</v>
      </c>
      <c r="V1206" t="s">
        <v>808</v>
      </c>
      <c r="W1206">
        <v>2.6</v>
      </c>
      <c r="X1206" t="s">
        <v>122</v>
      </c>
      <c r="Y1206" t="s">
        <v>211</v>
      </c>
      <c r="Z1206" t="s">
        <v>146</v>
      </c>
      <c r="AA1206" t="s">
        <v>101</v>
      </c>
      <c r="AB1206" t="s">
        <v>115</v>
      </c>
      <c r="AC1206">
        <v>1169</v>
      </c>
      <c r="AD1206" s="8" t="b">
        <f>AND(
 H1206&gt;=Filters!$B$3,
 H1206&lt;=Filters!$B$4,
 I1206&gt;=Filters!$B$5,
 OR(Filters!$B$6="All",B1206=Filters!$B$6),
 F1206&gt;=Filters!$B$7,
 F1206&lt;=Filters!$B$8,
 OR(Filters!$B$9="All",G1206=Filters!$B$9)
)</f>
        <v>0</v>
      </c>
      <c r="AE1206">
        <f t="shared" si="234"/>
        <v>6</v>
      </c>
      <c r="AF1206">
        <f t="shared" si="235"/>
        <v>7</v>
      </c>
      <c r="AG1206">
        <f t="shared" si="236"/>
        <v>7</v>
      </c>
      <c r="AH1206" s="9" t="str">
        <f t="shared" si="237"/>
        <v/>
      </c>
      <c r="AI1206" s="9" t="str">
        <f t="shared" si="238"/>
        <v/>
      </c>
      <c r="AJ1206" s="9" t="str">
        <f t="shared" si="239"/>
        <v/>
      </c>
      <c r="AK1206" s="9" t="str">
        <f t="shared" si="240"/>
        <v/>
      </c>
      <c r="AL1206" s="9" t="str">
        <f t="shared" si="241"/>
        <v/>
      </c>
      <c r="AM1206" s="9" t="str">
        <f t="shared" si="242"/>
        <v/>
      </c>
      <c r="AN1206" s="9" t="str">
        <f t="shared" si="243"/>
        <v/>
      </c>
      <c r="AO1206" s="9" t="str">
        <f t="shared" si="244"/>
        <v/>
      </c>
      <c r="AP1206" s="9" t="str">
        <f t="shared" si="245"/>
        <v/>
      </c>
      <c r="AQ1206" s="10" t="str">
        <f t="shared" si="246"/>
        <v/>
      </c>
    </row>
    <row r="1207" spans="1:43">
      <c r="A1207">
        <v>1206</v>
      </c>
      <c r="B1207" t="s">
        <v>23</v>
      </c>
      <c r="C1207" t="s">
        <v>356</v>
      </c>
      <c r="D1207" t="s">
        <v>357</v>
      </c>
      <c r="E1207" t="s">
        <v>97</v>
      </c>
      <c r="G1207" t="s">
        <v>18</v>
      </c>
      <c r="H1207" s="4">
        <v>24003000</v>
      </c>
      <c r="I1207" s="5">
        <v>256</v>
      </c>
      <c r="J1207" s="5">
        <v>0</v>
      </c>
      <c r="K1207" s="5">
        <v>8</v>
      </c>
      <c r="L1207">
        <v>7</v>
      </c>
      <c r="M1207">
        <v>6.5</v>
      </c>
      <c r="N1207">
        <v>5.92</v>
      </c>
      <c r="O1207" s="6">
        <v>15.6</v>
      </c>
      <c r="P1207" s="7">
        <v>2.36</v>
      </c>
      <c r="U1207" t="s">
        <v>84</v>
      </c>
      <c r="V1207" t="s">
        <v>98</v>
      </c>
      <c r="W1207">
        <v>2.5</v>
      </c>
      <c r="X1207" t="s">
        <v>104</v>
      </c>
      <c r="Y1207" t="s">
        <v>358</v>
      </c>
      <c r="Z1207" t="s">
        <v>100</v>
      </c>
      <c r="AA1207" t="s">
        <v>101</v>
      </c>
      <c r="AB1207" t="s">
        <v>115</v>
      </c>
      <c r="AC1207">
        <v>889</v>
      </c>
      <c r="AD1207" s="8" t="b">
        <f>AND(
 H1207&gt;=Filters!$B$3,
 H1207&lt;=Filters!$B$4,
 I1207&gt;=Filters!$B$5,
 OR(Filters!$B$6="All",B1207=Filters!$B$6),
 F1207&gt;=Filters!$B$7,
 F1207&lt;=Filters!$B$8,
 OR(Filters!$B$9="All",G1207=Filters!$B$9)
)</f>
        <v>1</v>
      </c>
      <c r="AE1207">
        <f t="shared" si="234"/>
        <v>6</v>
      </c>
      <c r="AF1207">
        <f t="shared" si="235"/>
        <v>7</v>
      </c>
      <c r="AG1207">
        <f t="shared" si="236"/>
        <v>7</v>
      </c>
      <c r="AH1207" s="9">
        <f t="shared" si="237"/>
        <v>0.69047619047619047</v>
      </c>
      <c r="AI1207" s="9">
        <f t="shared" si="238"/>
        <v>0.80952380952380942</v>
      </c>
      <c r="AJ1207" s="9">
        <f t="shared" si="239"/>
        <v>0.63095238095238093</v>
      </c>
      <c r="AK1207" s="9">
        <f t="shared" si="240"/>
        <v>0.56190476190476191</v>
      </c>
      <c r="AL1207" s="9">
        <f t="shared" si="241"/>
        <v>0.86190476190476184</v>
      </c>
      <c r="AM1207" s="9">
        <f t="shared" si="242"/>
        <v>0.5714285714285714</v>
      </c>
      <c r="AN1207" s="9">
        <f t="shared" si="243"/>
        <v>0.69047619047619047</v>
      </c>
      <c r="AO1207" s="9">
        <f t="shared" si="244"/>
        <v>0.69047619047619047</v>
      </c>
      <c r="AP1207" s="9">
        <f t="shared" si="245"/>
        <v>0.68963920307195536</v>
      </c>
      <c r="AQ1207" s="10">
        <f t="shared" si="246"/>
        <v>0.68964041007195531</v>
      </c>
    </row>
    <row r="1208" spans="1:43">
      <c r="A1208">
        <v>1207</v>
      </c>
      <c r="B1208" t="s">
        <v>26</v>
      </c>
      <c r="C1208" t="s">
        <v>1586</v>
      </c>
      <c r="D1208" t="s">
        <v>1587</v>
      </c>
      <c r="E1208" t="s">
        <v>97</v>
      </c>
      <c r="G1208" t="s">
        <v>18</v>
      </c>
      <c r="H1208" s="4">
        <v>15633000</v>
      </c>
      <c r="I1208" s="5">
        <v>256</v>
      </c>
      <c r="J1208" s="5">
        <v>0</v>
      </c>
      <c r="K1208" s="5">
        <v>8</v>
      </c>
      <c r="L1208">
        <v>7</v>
      </c>
      <c r="M1208">
        <v>3.5</v>
      </c>
      <c r="N1208">
        <v>3.92</v>
      </c>
      <c r="O1208" s="6">
        <v>15.6</v>
      </c>
      <c r="P1208" s="7">
        <v>1.91</v>
      </c>
      <c r="U1208" t="s">
        <v>84</v>
      </c>
      <c r="V1208" t="s">
        <v>98</v>
      </c>
      <c r="W1208">
        <v>2.5</v>
      </c>
      <c r="X1208" t="s">
        <v>84</v>
      </c>
      <c r="Y1208" t="s">
        <v>99</v>
      </c>
      <c r="Z1208" t="s">
        <v>100</v>
      </c>
      <c r="AA1208" t="s">
        <v>114</v>
      </c>
      <c r="AB1208" t="s">
        <v>115</v>
      </c>
      <c r="AC1208">
        <v>579</v>
      </c>
      <c r="AD1208" s="8" t="b">
        <f>AND(
 H1208&gt;=Filters!$B$3,
 H1208&lt;=Filters!$B$4,
 I1208&gt;=Filters!$B$5,
 OR(Filters!$B$6="All",B1208=Filters!$B$6),
 F1208&gt;=Filters!$B$7,
 F1208&lt;=Filters!$B$8,
 OR(Filters!$B$9="All",G1208=Filters!$B$9)
)</f>
        <v>1</v>
      </c>
      <c r="AE1208">
        <f t="shared" si="234"/>
        <v>6</v>
      </c>
      <c r="AF1208">
        <f t="shared" si="235"/>
        <v>7</v>
      </c>
      <c r="AG1208">
        <f t="shared" si="236"/>
        <v>7</v>
      </c>
      <c r="AH1208" s="9">
        <f t="shared" si="237"/>
        <v>0.69047619047619047</v>
      </c>
      <c r="AI1208" s="9">
        <f t="shared" si="238"/>
        <v>0.80952380952380942</v>
      </c>
      <c r="AJ1208" s="9">
        <f t="shared" si="239"/>
        <v>0.27380952380952378</v>
      </c>
      <c r="AK1208" s="9">
        <f t="shared" si="240"/>
        <v>0.32380952380952377</v>
      </c>
      <c r="AL1208" s="9">
        <f t="shared" si="241"/>
        <v>0.91547619047619033</v>
      </c>
      <c r="AM1208" s="9">
        <f t="shared" si="242"/>
        <v>0.5714285714285714</v>
      </c>
      <c r="AN1208" s="9">
        <f t="shared" si="243"/>
        <v>0.69047619047619047</v>
      </c>
      <c r="AO1208" s="9">
        <f t="shared" si="244"/>
        <v>0.69047619047619047</v>
      </c>
      <c r="AP1208" s="9">
        <f t="shared" si="245"/>
        <v>0.64928332904491493</v>
      </c>
      <c r="AQ1208" s="10">
        <f t="shared" si="246"/>
        <v>0.64928453704491496</v>
      </c>
    </row>
    <row r="1209" spans="1:43">
      <c r="A1209">
        <v>1208</v>
      </c>
      <c r="B1209" t="s">
        <v>29</v>
      </c>
      <c r="C1209" t="s">
        <v>289</v>
      </c>
      <c r="D1209" t="s">
        <v>290</v>
      </c>
      <c r="E1209" t="s">
        <v>97</v>
      </c>
      <c r="G1209" t="s">
        <v>18</v>
      </c>
      <c r="H1209" s="4">
        <v>8073000</v>
      </c>
      <c r="I1209" s="5">
        <v>0</v>
      </c>
      <c r="J1209" s="5">
        <v>500</v>
      </c>
      <c r="K1209" s="5">
        <v>4</v>
      </c>
      <c r="L1209">
        <v>5.4</v>
      </c>
      <c r="M1209">
        <v>6.5</v>
      </c>
      <c r="N1209">
        <v>3.92</v>
      </c>
      <c r="O1209" s="6">
        <v>15.6</v>
      </c>
      <c r="P1209" s="7">
        <v>2.2000000000000002</v>
      </c>
      <c r="U1209" t="s">
        <v>104</v>
      </c>
      <c r="V1209" t="s">
        <v>1588</v>
      </c>
      <c r="W1209">
        <v>2.2000000000000002</v>
      </c>
      <c r="X1209" t="s">
        <v>104</v>
      </c>
      <c r="Y1209" t="s">
        <v>888</v>
      </c>
      <c r="Z1209" t="s">
        <v>113</v>
      </c>
      <c r="AA1209" t="s">
        <v>114</v>
      </c>
      <c r="AB1209" t="s">
        <v>115</v>
      </c>
      <c r="AC1209">
        <v>299</v>
      </c>
      <c r="AD1209" s="8" t="b">
        <f>AND(
 H1209&gt;=Filters!$B$3,
 H1209&lt;=Filters!$B$4,
 I1209&gt;=Filters!$B$5,
 OR(Filters!$B$6="All",B1209=Filters!$B$6),
 F1209&gt;=Filters!$B$7,
 F1209&lt;=Filters!$B$8,
 OR(Filters!$B$9="All",G1209=Filters!$B$9)
)</f>
        <v>0</v>
      </c>
      <c r="AE1209">
        <f t="shared" si="234"/>
        <v>6</v>
      </c>
      <c r="AF1209">
        <f t="shared" si="235"/>
        <v>7</v>
      </c>
      <c r="AG1209">
        <f t="shared" si="236"/>
        <v>7</v>
      </c>
      <c r="AH1209" s="9" t="str">
        <f t="shared" si="237"/>
        <v/>
      </c>
      <c r="AI1209" s="9" t="str">
        <f t="shared" si="238"/>
        <v/>
      </c>
      <c r="AJ1209" s="9" t="str">
        <f t="shared" si="239"/>
        <v/>
      </c>
      <c r="AK1209" s="9" t="str">
        <f t="shared" si="240"/>
        <v/>
      </c>
      <c r="AL1209" s="9" t="str">
        <f t="shared" si="241"/>
        <v/>
      </c>
      <c r="AM1209" s="9" t="str">
        <f t="shared" si="242"/>
        <v/>
      </c>
      <c r="AN1209" s="9" t="str">
        <f t="shared" si="243"/>
        <v/>
      </c>
      <c r="AO1209" s="9" t="str">
        <f t="shared" si="244"/>
        <v/>
      </c>
      <c r="AP1209" s="9" t="str">
        <f t="shared" si="245"/>
        <v/>
      </c>
      <c r="AQ1209" s="10" t="str">
        <f t="shared" si="246"/>
        <v/>
      </c>
    </row>
    <row r="1210" spans="1:43">
      <c r="A1210">
        <v>1209</v>
      </c>
      <c r="B1210" t="s">
        <v>17</v>
      </c>
      <c r="C1210" t="s">
        <v>1589</v>
      </c>
      <c r="D1210" t="s">
        <v>1590</v>
      </c>
      <c r="E1210" t="s">
        <v>97</v>
      </c>
      <c r="G1210" t="s">
        <v>18</v>
      </c>
      <c r="H1210" s="4">
        <v>16983000</v>
      </c>
      <c r="I1210" s="5">
        <v>0</v>
      </c>
      <c r="J1210" s="5">
        <v>1024</v>
      </c>
      <c r="K1210" s="5">
        <v>8</v>
      </c>
      <c r="L1210">
        <v>4</v>
      </c>
      <c r="M1210">
        <v>6.5</v>
      </c>
      <c r="N1210">
        <v>5.83</v>
      </c>
      <c r="O1210" s="6">
        <v>17.3</v>
      </c>
      <c r="P1210" s="7">
        <v>3.3</v>
      </c>
      <c r="U1210" t="s">
        <v>84</v>
      </c>
      <c r="V1210" t="s">
        <v>129</v>
      </c>
      <c r="W1210">
        <v>2</v>
      </c>
      <c r="X1210" t="s">
        <v>122</v>
      </c>
      <c r="Y1210" t="s">
        <v>145</v>
      </c>
      <c r="Z1210" t="s">
        <v>146</v>
      </c>
      <c r="AA1210" t="s">
        <v>452</v>
      </c>
      <c r="AB1210" t="s">
        <v>115</v>
      </c>
      <c r="AC1210">
        <v>629</v>
      </c>
      <c r="AD1210" s="8" t="b">
        <f>AND(
 H1210&gt;=Filters!$B$3,
 H1210&lt;=Filters!$B$4,
 I1210&gt;=Filters!$B$5,
 OR(Filters!$B$6="All",B1210=Filters!$B$6),
 F1210&gt;=Filters!$B$7,
 F1210&lt;=Filters!$B$8,
 OR(Filters!$B$9="All",G1210=Filters!$B$9)
)</f>
        <v>0</v>
      </c>
      <c r="AE1210">
        <f t="shared" si="234"/>
        <v>6</v>
      </c>
      <c r="AF1210">
        <f t="shared" si="235"/>
        <v>7</v>
      </c>
      <c r="AG1210">
        <f t="shared" si="236"/>
        <v>7</v>
      </c>
      <c r="AH1210" s="9" t="str">
        <f t="shared" si="237"/>
        <v/>
      </c>
      <c r="AI1210" s="9" t="str">
        <f t="shared" si="238"/>
        <v/>
      </c>
      <c r="AJ1210" s="9" t="str">
        <f t="shared" si="239"/>
        <v/>
      </c>
      <c r="AK1210" s="9" t="str">
        <f t="shared" si="240"/>
        <v/>
      </c>
      <c r="AL1210" s="9" t="str">
        <f t="shared" si="241"/>
        <v/>
      </c>
      <c r="AM1210" s="9" t="str">
        <f t="shared" si="242"/>
        <v/>
      </c>
      <c r="AN1210" s="9" t="str">
        <f t="shared" si="243"/>
        <v/>
      </c>
      <c r="AO1210" s="9" t="str">
        <f t="shared" si="244"/>
        <v/>
      </c>
      <c r="AP1210" s="9" t="str">
        <f t="shared" si="245"/>
        <v/>
      </c>
      <c r="AQ1210" s="10" t="str">
        <f t="shared" si="246"/>
        <v/>
      </c>
    </row>
    <row r="1211" spans="1:43">
      <c r="A1211">
        <v>1210</v>
      </c>
      <c r="B1211" t="s">
        <v>21</v>
      </c>
      <c r="C1211" t="s">
        <v>223</v>
      </c>
      <c r="D1211" t="s">
        <v>224</v>
      </c>
      <c r="E1211" t="s">
        <v>158</v>
      </c>
      <c r="G1211" t="s">
        <v>18</v>
      </c>
      <c r="H1211" s="4">
        <v>66123000</v>
      </c>
      <c r="I1211" s="5">
        <v>256</v>
      </c>
      <c r="J1211" s="5">
        <v>1024</v>
      </c>
      <c r="K1211" s="5">
        <v>16</v>
      </c>
      <c r="L1211">
        <v>9.6</v>
      </c>
      <c r="M1211">
        <v>9.1999999999999993</v>
      </c>
      <c r="N1211">
        <v>5.92</v>
      </c>
      <c r="O1211" s="6">
        <v>15.6</v>
      </c>
      <c r="P1211" s="7">
        <v>2.2000000000000002</v>
      </c>
      <c r="U1211" t="s">
        <v>84</v>
      </c>
      <c r="V1211" t="s">
        <v>210</v>
      </c>
      <c r="W1211">
        <v>2.8</v>
      </c>
      <c r="X1211" t="s">
        <v>122</v>
      </c>
      <c r="Y1211" t="s">
        <v>248</v>
      </c>
      <c r="Z1211" t="s">
        <v>212</v>
      </c>
      <c r="AA1211" t="s">
        <v>101</v>
      </c>
      <c r="AB1211" t="s">
        <v>115</v>
      </c>
      <c r="AC1211">
        <v>2449</v>
      </c>
      <c r="AD1211" s="8" t="b">
        <f>AND(
 H1211&gt;=Filters!$B$3,
 H1211&lt;=Filters!$B$4,
 I1211&gt;=Filters!$B$5,
 OR(Filters!$B$6="All",B1211=Filters!$B$6),
 F1211&gt;=Filters!$B$7,
 F1211&lt;=Filters!$B$8,
 OR(Filters!$B$9="All",G1211=Filters!$B$9)
)</f>
        <v>0</v>
      </c>
      <c r="AE1211">
        <f t="shared" si="234"/>
        <v>6</v>
      </c>
      <c r="AF1211">
        <f t="shared" si="235"/>
        <v>7</v>
      </c>
      <c r="AG1211">
        <f t="shared" si="236"/>
        <v>7</v>
      </c>
      <c r="AH1211" s="9" t="str">
        <f t="shared" si="237"/>
        <v/>
      </c>
      <c r="AI1211" s="9" t="str">
        <f t="shared" si="238"/>
        <v/>
      </c>
      <c r="AJ1211" s="9" t="str">
        <f t="shared" si="239"/>
        <v/>
      </c>
      <c r="AK1211" s="9" t="str">
        <f t="shared" si="240"/>
        <v/>
      </c>
      <c r="AL1211" s="9" t="str">
        <f t="shared" si="241"/>
        <v/>
      </c>
      <c r="AM1211" s="9" t="str">
        <f t="shared" si="242"/>
        <v/>
      </c>
      <c r="AN1211" s="9" t="str">
        <f t="shared" si="243"/>
        <v/>
      </c>
      <c r="AO1211" s="9" t="str">
        <f t="shared" si="244"/>
        <v/>
      </c>
      <c r="AP1211" s="9" t="str">
        <f t="shared" si="245"/>
        <v/>
      </c>
      <c r="AQ1211" s="10" t="str">
        <f t="shared" si="246"/>
        <v/>
      </c>
    </row>
    <row r="1212" spans="1:43">
      <c r="A1212">
        <v>1211</v>
      </c>
      <c r="B1212" t="s">
        <v>19</v>
      </c>
      <c r="C1212" t="s">
        <v>135</v>
      </c>
      <c r="D1212" t="s">
        <v>136</v>
      </c>
      <c r="E1212" t="s">
        <v>83</v>
      </c>
      <c r="G1212" t="s">
        <v>18</v>
      </c>
      <c r="H1212" s="4">
        <v>34533000</v>
      </c>
      <c r="I1212" s="5">
        <v>512</v>
      </c>
      <c r="J1212" s="5">
        <v>0</v>
      </c>
      <c r="K1212" s="5">
        <v>8</v>
      </c>
      <c r="L1212">
        <v>3.4</v>
      </c>
      <c r="M1212">
        <v>3.5</v>
      </c>
      <c r="N1212">
        <v>7.9</v>
      </c>
      <c r="O1212" s="6">
        <v>12</v>
      </c>
      <c r="P1212" s="7">
        <v>0.92</v>
      </c>
      <c r="U1212" t="s">
        <v>84</v>
      </c>
      <c r="V1212" t="s">
        <v>1196</v>
      </c>
      <c r="W1212">
        <v>1.2</v>
      </c>
      <c r="X1212" t="s">
        <v>84</v>
      </c>
      <c r="Y1212" t="s">
        <v>381</v>
      </c>
      <c r="Z1212" t="s">
        <v>1198</v>
      </c>
      <c r="AA1212" t="s">
        <v>139</v>
      </c>
      <c r="AB1212" t="s">
        <v>118</v>
      </c>
      <c r="AC1212">
        <v>1279</v>
      </c>
      <c r="AD1212" s="8" t="b">
        <f>AND(
 H1212&gt;=Filters!$B$3,
 H1212&lt;=Filters!$B$4,
 I1212&gt;=Filters!$B$5,
 OR(Filters!$B$6="All",B1212=Filters!$B$6),
 F1212&gt;=Filters!$B$7,
 F1212&lt;=Filters!$B$8,
 OR(Filters!$B$9="All",G1212=Filters!$B$9)
)</f>
        <v>0</v>
      </c>
      <c r="AE1212">
        <f t="shared" si="234"/>
        <v>6</v>
      </c>
      <c r="AF1212">
        <f t="shared" si="235"/>
        <v>7</v>
      </c>
      <c r="AG1212">
        <f t="shared" si="236"/>
        <v>7</v>
      </c>
      <c r="AH1212" s="9" t="str">
        <f t="shared" si="237"/>
        <v/>
      </c>
      <c r="AI1212" s="9" t="str">
        <f t="shared" si="238"/>
        <v/>
      </c>
      <c r="AJ1212" s="9" t="str">
        <f t="shared" si="239"/>
        <v/>
      </c>
      <c r="AK1212" s="9" t="str">
        <f t="shared" si="240"/>
        <v/>
      </c>
      <c r="AL1212" s="9" t="str">
        <f t="shared" si="241"/>
        <v/>
      </c>
      <c r="AM1212" s="9" t="str">
        <f t="shared" si="242"/>
        <v/>
      </c>
      <c r="AN1212" s="9" t="str">
        <f t="shared" si="243"/>
        <v/>
      </c>
      <c r="AO1212" s="9" t="str">
        <f t="shared" si="244"/>
        <v/>
      </c>
      <c r="AP1212" s="9" t="str">
        <f t="shared" si="245"/>
        <v/>
      </c>
      <c r="AQ1212" s="10" t="str">
        <f t="shared" si="246"/>
        <v/>
      </c>
    </row>
    <row r="1213" spans="1:43">
      <c r="A1213">
        <v>1212</v>
      </c>
      <c r="B1213" t="s">
        <v>21</v>
      </c>
      <c r="C1213" t="s">
        <v>1591</v>
      </c>
      <c r="D1213" t="s">
        <v>1592</v>
      </c>
      <c r="E1213" t="s">
        <v>97</v>
      </c>
      <c r="G1213" t="s">
        <v>18</v>
      </c>
      <c r="H1213" s="4">
        <v>47223000</v>
      </c>
      <c r="I1213" s="5">
        <v>128</v>
      </c>
      <c r="J1213" s="5">
        <v>1024</v>
      </c>
      <c r="K1213" s="5">
        <v>16</v>
      </c>
      <c r="L1213">
        <v>9.6</v>
      </c>
      <c r="M1213">
        <v>9.1999999999999993</v>
      </c>
      <c r="N1213">
        <v>5.92</v>
      </c>
      <c r="O1213" s="6">
        <v>15.6</v>
      </c>
      <c r="P1213" s="7">
        <v>2.2000000000000002</v>
      </c>
      <c r="U1213" t="s">
        <v>84</v>
      </c>
      <c r="V1213" t="s">
        <v>210</v>
      </c>
      <c r="W1213">
        <v>2.8</v>
      </c>
      <c r="X1213" t="s">
        <v>122</v>
      </c>
      <c r="Y1213" t="s">
        <v>211</v>
      </c>
      <c r="Z1213" t="s">
        <v>161</v>
      </c>
      <c r="AA1213" t="s">
        <v>101</v>
      </c>
      <c r="AB1213" t="s">
        <v>115</v>
      </c>
      <c r="AC1213">
        <v>1749</v>
      </c>
      <c r="AD1213" s="8" t="b">
        <f>AND(
 H1213&gt;=Filters!$B$3,
 H1213&lt;=Filters!$B$4,
 I1213&gt;=Filters!$B$5,
 OR(Filters!$B$6="All",B1213=Filters!$B$6),
 F1213&gt;=Filters!$B$7,
 F1213&lt;=Filters!$B$8,
 OR(Filters!$B$9="All",G1213=Filters!$B$9)
)</f>
        <v>0</v>
      </c>
      <c r="AE1213">
        <f t="shared" si="234"/>
        <v>6</v>
      </c>
      <c r="AF1213">
        <f t="shared" si="235"/>
        <v>7</v>
      </c>
      <c r="AG1213">
        <f t="shared" si="236"/>
        <v>7</v>
      </c>
      <c r="AH1213" s="9" t="str">
        <f t="shared" si="237"/>
        <v/>
      </c>
      <c r="AI1213" s="9" t="str">
        <f t="shared" si="238"/>
        <v/>
      </c>
      <c r="AJ1213" s="9" t="str">
        <f t="shared" si="239"/>
        <v/>
      </c>
      <c r="AK1213" s="9" t="str">
        <f t="shared" si="240"/>
        <v/>
      </c>
      <c r="AL1213" s="9" t="str">
        <f t="shared" si="241"/>
        <v/>
      </c>
      <c r="AM1213" s="9" t="str">
        <f t="shared" si="242"/>
        <v/>
      </c>
      <c r="AN1213" s="9" t="str">
        <f t="shared" si="243"/>
        <v/>
      </c>
      <c r="AO1213" s="9" t="str">
        <f t="shared" si="244"/>
        <v/>
      </c>
      <c r="AP1213" s="9" t="str">
        <f t="shared" si="245"/>
        <v/>
      </c>
      <c r="AQ1213" s="10" t="str">
        <f t="shared" si="246"/>
        <v/>
      </c>
    </row>
    <row r="1214" spans="1:43">
      <c r="A1214">
        <v>1213</v>
      </c>
      <c r="B1214" t="s">
        <v>30</v>
      </c>
      <c r="C1214" t="s">
        <v>1285</v>
      </c>
      <c r="D1214" t="s">
        <v>1286</v>
      </c>
      <c r="E1214" t="s">
        <v>158</v>
      </c>
      <c r="G1214" t="s">
        <v>18</v>
      </c>
      <c r="H1214" s="4">
        <v>52622730</v>
      </c>
      <c r="I1214" s="5">
        <v>256</v>
      </c>
      <c r="J1214" s="5">
        <v>1024</v>
      </c>
      <c r="K1214" s="5">
        <v>16</v>
      </c>
      <c r="L1214">
        <v>9.1999999999999993</v>
      </c>
      <c r="M1214">
        <v>9.1999999999999993</v>
      </c>
      <c r="N1214">
        <v>6.24</v>
      </c>
      <c r="O1214" s="6">
        <v>17.3</v>
      </c>
      <c r="P1214" s="7">
        <v>2.4300000000000002</v>
      </c>
      <c r="U1214" t="s">
        <v>84</v>
      </c>
      <c r="V1214" t="s">
        <v>808</v>
      </c>
      <c r="W1214">
        <v>2.6</v>
      </c>
      <c r="X1214" t="s">
        <v>122</v>
      </c>
      <c r="Y1214" t="s">
        <v>211</v>
      </c>
      <c r="Z1214" t="s">
        <v>212</v>
      </c>
      <c r="AA1214" t="s">
        <v>128</v>
      </c>
      <c r="AB1214" t="s">
        <v>115</v>
      </c>
      <c r="AC1214">
        <v>1948.99</v>
      </c>
      <c r="AD1214" s="8" t="b">
        <f>AND(
 H1214&gt;=Filters!$B$3,
 H1214&lt;=Filters!$B$4,
 I1214&gt;=Filters!$B$5,
 OR(Filters!$B$6="All",B1214=Filters!$B$6),
 F1214&gt;=Filters!$B$7,
 F1214&lt;=Filters!$B$8,
 OR(Filters!$B$9="All",G1214=Filters!$B$9)
)</f>
        <v>0</v>
      </c>
      <c r="AE1214">
        <f t="shared" si="234"/>
        <v>6</v>
      </c>
      <c r="AF1214">
        <f t="shared" si="235"/>
        <v>7</v>
      </c>
      <c r="AG1214">
        <f t="shared" si="236"/>
        <v>7</v>
      </c>
      <c r="AH1214" s="9" t="str">
        <f t="shared" si="237"/>
        <v/>
      </c>
      <c r="AI1214" s="9" t="str">
        <f t="shared" si="238"/>
        <v/>
      </c>
      <c r="AJ1214" s="9" t="str">
        <f t="shared" si="239"/>
        <v/>
      </c>
      <c r="AK1214" s="9" t="str">
        <f t="shared" si="240"/>
        <v/>
      </c>
      <c r="AL1214" s="9" t="str">
        <f t="shared" si="241"/>
        <v/>
      </c>
      <c r="AM1214" s="9" t="str">
        <f t="shared" si="242"/>
        <v/>
      </c>
      <c r="AN1214" s="9" t="str">
        <f t="shared" si="243"/>
        <v/>
      </c>
      <c r="AO1214" s="9" t="str">
        <f t="shared" si="244"/>
        <v/>
      </c>
      <c r="AP1214" s="9" t="str">
        <f t="shared" si="245"/>
        <v/>
      </c>
      <c r="AQ1214" s="10" t="str">
        <f t="shared" si="246"/>
        <v/>
      </c>
    </row>
    <row r="1215" spans="1:43">
      <c r="A1215">
        <v>1214</v>
      </c>
      <c r="B1215" t="s">
        <v>23</v>
      </c>
      <c r="C1215" t="s">
        <v>1366</v>
      </c>
      <c r="D1215" t="s">
        <v>1367</v>
      </c>
      <c r="E1215" t="s">
        <v>168</v>
      </c>
      <c r="G1215" t="s">
        <v>18</v>
      </c>
      <c r="H1215" s="4">
        <v>26973000</v>
      </c>
      <c r="I1215" s="5">
        <v>256</v>
      </c>
      <c r="J1215" s="5">
        <v>0</v>
      </c>
      <c r="K1215" s="5">
        <v>8</v>
      </c>
      <c r="L1215">
        <v>7</v>
      </c>
      <c r="M1215">
        <v>3.5</v>
      </c>
      <c r="N1215">
        <v>6.62</v>
      </c>
      <c r="O1215" s="6">
        <v>15.6</v>
      </c>
      <c r="P1215" s="7">
        <v>2.1909999999999998</v>
      </c>
      <c r="U1215" t="s">
        <v>84</v>
      </c>
      <c r="V1215" t="s">
        <v>98</v>
      </c>
      <c r="W1215">
        <v>2.5</v>
      </c>
      <c r="X1215" t="s">
        <v>84</v>
      </c>
      <c r="Y1215" t="s">
        <v>99</v>
      </c>
      <c r="Z1215" t="s">
        <v>100</v>
      </c>
      <c r="AA1215" t="s">
        <v>149</v>
      </c>
      <c r="AB1215" t="s">
        <v>115</v>
      </c>
      <c r="AC1215">
        <v>999</v>
      </c>
      <c r="AD1215" s="8" t="b">
        <f>AND(
 H1215&gt;=Filters!$B$3,
 H1215&lt;=Filters!$B$4,
 I1215&gt;=Filters!$B$5,
 OR(Filters!$B$6="All",B1215=Filters!$B$6),
 F1215&gt;=Filters!$B$7,
 F1215&lt;=Filters!$B$8,
 OR(Filters!$B$9="All",G1215=Filters!$B$9)
)</f>
        <v>0</v>
      </c>
      <c r="AE1215">
        <f t="shared" si="234"/>
        <v>6</v>
      </c>
      <c r="AF1215">
        <f t="shared" si="235"/>
        <v>7</v>
      </c>
      <c r="AG1215">
        <f t="shared" si="236"/>
        <v>7</v>
      </c>
      <c r="AH1215" s="9" t="str">
        <f t="shared" si="237"/>
        <v/>
      </c>
      <c r="AI1215" s="9" t="str">
        <f t="shared" si="238"/>
        <v/>
      </c>
      <c r="AJ1215" s="9" t="str">
        <f t="shared" si="239"/>
        <v/>
      </c>
      <c r="AK1215" s="9" t="str">
        <f t="shared" si="240"/>
        <v/>
      </c>
      <c r="AL1215" s="9" t="str">
        <f t="shared" si="241"/>
        <v/>
      </c>
      <c r="AM1215" s="9" t="str">
        <f t="shared" si="242"/>
        <v/>
      </c>
      <c r="AN1215" s="9" t="str">
        <f t="shared" si="243"/>
        <v/>
      </c>
      <c r="AO1215" s="9" t="str">
        <f t="shared" si="244"/>
        <v/>
      </c>
      <c r="AP1215" s="9" t="str">
        <f t="shared" si="245"/>
        <v/>
      </c>
      <c r="AQ1215" s="10" t="str">
        <f t="shared" si="246"/>
        <v/>
      </c>
    </row>
    <row r="1216" spans="1:43">
      <c r="A1216">
        <v>1215</v>
      </c>
      <c r="B1216" t="s">
        <v>21</v>
      </c>
      <c r="C1216" t="s">
        <v>676</v>
      </c>
      <c r="D1216" t="s">
        <v>677</v>
      </c>
      <c r="E1216" t="s">
        <v>158</v>
      </c>
      <c r="G1216" t="s">
        <v>18</v>
      </c>
      <c r="H1216" s="4">
        <v>52623000</v>
      </c>
      <c r="I1216" s="5">
        <v>256</v>
      </c>
      <c r="J1216" s="5">
        <v>1024</v>
      </c>
      <c r="K1216" s="5">
        <v>16</v>
      </c>
      <c r="L1216">
        <v>9.6</v>
      </c>
      <c r="M1216">
        <v>9.1999999999999993</v>
      </c>
      <c r="N1216">
        <v>5.83</v>
      </c>
      <c r="O1216" s="6">
        <v>17.3</v>
      </c>
      <c r="P1216" s="7">
        <v>2.9</v>
      </c>
      <c r="U1216" t="s">
        <v>84</v>
      </c>
      <c r="V1216" t="s">
        <v>210</v>
      </c>
      <c r="W1216">
        <v>2.8</v>
      </c>
      <c r="X1216" t="s">
        <v>122</v>
      </c>
      <c r="Y1216" t="s">
        <v>211</v>
      </c>
      <c r="Z1216" t="s">
        <v>212</v>
      </c>
      <c r="AA1216" t="s">
        <v>101</v>
      </c>
      <c r="AB1216" t="s">
        <v>115</v>
      </c>
      <c r="AC1216">
        <v>1949</v>
      </c>
      <c r="AD1216" s="8" t="b">
        <f>AND(
 H1216&gt;=Filters!$B$3,
 H1216&lt;=Filters!$B$4,
 I1216&gt;=Filters!$B$5,
 OR(Filters!$B$6="All",B1216=Filters!$B$6),
 F1216&gt;=Filters!$B$7,
 F1216&lt;=Filters!$B$8,
 OR(Filters!$B$9="All",G1216=Filters!$B$9)
)</f>
        <v>0</v>
      </c>
      <c r="AE1216">
        <f t="shared" si="234"/>
        <v>6</v>
      </c>
      <c r="AF1216">
        <f t="shared" si="235"/>
        <v>7</v>
      </c>
      <c r="AG1216">
        <f t="shared" si="236"/>
        <v>7</v>
      </c>
      <c r="AH1216" s="9" t="str">
        <f t="shared" si="237"/>
        <v/>
      </c>
      <c r="AI1216" s="9" t="str">
        <f t="shared" si="238"/>
        <v/>
      </c>
      <c r="AJ1216" s="9" t="str">
        <f t="shared" si="239"/>
        <v/>
      </c>
      <c r="AK1216" s="9" t="str">
        <f t="shared" si="240"/>
        <v/>
      </c>
      <c r="AL1216" s="9" t="str">
        <f t="shared" si="241"/>
        <v/>
      </c>
      <c r="AM1216" s="9" t="str">
        <f t="shared" si="242"/>
        <v/>
      </c>
      <c r="AN1216" s="9" t="str">
        <f t="shared" si="243"/>
        <v/>
      </c>
      <c r="AO1216" s="9" t="str">
        <f t="shared" si="244"/>
        <v/>
      </c>
      <c r="AP1216" s="9" t="str">
        <f t="shared" si="245"/>
        <v/>
      </c>
      <c r="AQ1216" s="10" t="str">
        <f t="shared" si="246"/>
        <v/>
      </c>
    </row>
    <row r="1217" spans="1:43">
      <c r="A1217">
        <v>1216</v>
      </c>
      <c r="B1217" t="s">
        <v>17</v>
      </c>
      <c r="C1217" t="s">
        <v>1593</v>
      </c>
      <c r="D1217" t="s">
        <v>1594</v>
      </c>
      <c r="E1217" t="s">
        <v>152</v>
      </c>
      <c r="G1217" t="s">
        <v>18</v>
      </c>
      <c r="H1217" s="4">
        <v>4698000</v>
      </c>
      <c r="I1217" s="5">
        <v>32</v>
      </c>
      <c r="J1217" s="5">
        <v>0</v>
      </c>
      <c r="K1217" s="5">
        <v>2</v>
      </c>
      <c r="L1217">
        <v>1</v>
      </c>
      <c r="M1217">
        <v>3.5</v>
      </c>
      <c r="N1217">
        <v>3.88</v>
      </c>
      <c r="O1217" s="6">
        <v>11.6</v>
      </c>
      <c r="P1217" s="7">
        <v>1.3</v>
      </c>
      <c r="U1217" t="s">
        <v>84</v>
      </c>
      <c r="V1217" t="s">
        <v>561</v>
      </c>
      <c r="W1217">
        <v>1.5</v>
      </c>
      <c r="X1217" t="s">
        <v>84</v>
      </c>
      <c r="Y1217" t="s">
        <v>187</v>
      </c>
      <c r="Z1217" t="s">
        <v>264</v>
      </c>
      <c r="AA1217" t="s">
        <v>114</v>
      </c>
      <c r="AB1217" t="s">
        <v>563</v>
      </c>
      <c r="AC1217">
        <v>174</v>
      </c>
      <c r="AD1217" s="8" t="b">
        <f>AND(
 H1217&gt;=Filters!$B$3,
 H1217&lt;=Filters!$B$4,
 I1217&gt;=Filters!$B$5,
 OR(Filters!$B$6="All",B1217=Filters!$B$6),
 F1217&gt;=Filters!$B$7,
 F1217&lt;=Filters!$B$8,
 OR(Filters!$B$9="All",G1217=Filters!$B$9)
)</f>
        <v>0</v>
      </c>
      <c r="AE1217">
        <f t="shared" si="234"/>
        <v>6</v>
      </c>
      <c r="AF1217">
        <f t="shared" si="235"/>
        <v>7</v>
      </c>
      <c r="AG1217">
        <f t="shared" si="236"/>
        <v>7</v>
      </c>
      <c r="AH1217" s="9" t="str">
        <f t="shared" si="237"/>
        <v/>
      </c>
      <c r="AI1217" s="9" t="str">
        <f t="shared" si="238"/>
        <v/>
      </c>
      <c r="AJ1217" s="9" t="str">
        <f t="shared" si="239"/>
        <v/>
      </c>
      <c r="AK1217" s="9" t="str">
        <f t="shared" si="240"/>
        <v/>
      </c>
      <c r="AL1217" s="9" t="str">
        <f t="shared" si="241"/>
        <v/>
      </c>
      <c r="AM1217" s="9" t="str">
        <f t="shared" si="242"/>
        <v/>
      </c>
      <c r="AN1217" s="9" t="str">
        <f t="shared" si="243"/>
        <v/>
      </c>
      <c r="AO1217" s="9" t="str">
        <f t="shared" si="244"/>
        <v/>
      </c>
      <c r="AP1217" s="9" t="str">
        <f t="shared" si="245"/>
        <v/>
      </c>
      <c r="AQ1217" s="10" t="str">
        <f t="shared" si="246"/>
        <v/>
      </c>
    </row>
    <row r="1218" spans="1:43">
      <c r="A1218">
        <v>1217</v>
      </c>
      <c r="B1218" t="s">
        <v>17</v>
      </c>
      <c r="C1218" t="s">
        <v>1595</v>
      </c>
      <c r="D1218" t="s">
        <v>1596</v>
      </c>
      <c r="E1218" t="s">
        <v>97</v>
      </c>
      <c r="G1218" t="s">
        <v>18</v>
      </c>
      <c r="H1218" s="4">
        <v>16146000</v>
      </c>
      <c r="I1218" s="5">
        <v>0</v>
      </c>
      <c r="J1218" s="5">
        <v>1024</v>
      </c>
      <c r="K1218" s="5">
        <v>4</v>
      </c>
      <c r="L1218">
        <v>4</v>
      </c>
      <c r="M1218">
        <v>6.5</v>
      </c>
      <c r="N1218">
        <v>5.83</v>
      </c>
      <c r="O1218" s="6">
        <v>17.3</v>
      </c>
      <c r="P1218" s="7">
        <v>3.3</v>
      </c>
      <c r="U1218" t="s">
        <v>84</v>
      </c>
      <c r="V1218" t="s">
        <v>129</v>
      </c>
      <c r="W1218">
        <v>2</v>
      </c>
      <c r="X1218" t="s">
        <v>122</v>
      </c>
      <c r="Y1218" t="s">
        <v>145</v>
      </c>
      <c r="Z1218" t="s">
        <v>146</v>
      </c>
      <c r="AA1218" t="s">
        <v>452</v>
      </c>
      <c r="AB1218" t="s">
        <v>115</v>
      </c>
      <c r="AC1218">
        <v>598</v>
      </c>
      <c r="AD1218" s="8" t="b">
        <f>AND(
 H1218&gt;=Filters!$B$3,
 H1218&lt;=Filters!$B$4,
 I1218&gt;=Filters!$B$5,
 OR(Filters!$B$6="All",B1218=Filters!$B$6),
 F1218&gt;=Filters!$B$7,
 F1218&lt;=Filters!$B$8,
 OR(Filters!$B$9="All",G1218=Filters!$B$9)
)</f>
        <v>0</v>
      </c>
      <c r="AE1218">
        <f t="shared" ref="AE1218:AE1276" si="247">IF(Q1218="",6,Q1218)</f>
        <v>6</v>
      </c>
      <c r="AF1218">
        <f t="shared" ref="AF1218:AF1276" si="248">IF(R1218="",7,R1218)</f>
        <v>7</v>
      </c>
      <c r="AG1218">
        <f t="shared" ref="AG1218:AG1276" si="249">IF(S1218="",7,S1218)</f>
        <v>7</v>
      </c>
      <c r="AH1218" s="9" t="str">
        <f t="shared" ref="AH1218:AH1276" si="250">IF(AD1218,IF(CPU_MAX=CPU_MIN,1,(L1218-CPU_MIN)/(CPU_MAX-CPU_MIN)),"")</f>
        <v/>
      </c>
      <c r="AI1218" s="9" t="str">
        <f t="shared" ref="AI1218:AI1276" si="251">IF(AD1218,IF(RAM_MAX=RAM_MIN,1,(K1218-RAM_MIN)/(RAM_MAX-RAM_MIN)),"")</f>
        <v/>
      </c>
      <c r="AJ1218" s="9" t="str">
        <f t="shared" ref="AJ1218:AJ1276" si="252">IF(AD1218,IF(GPU_MAX=GPU_MIN,1,(M1218-GPU_MIN)/(GPU_MAX-GPU_MIN)),"")</f>
        <v/>
      </c>
      <c r="AK1218" s="9" t="str">
        <f t="shared" ref="AK1218:AK1276" si="253">IF(AD1218,IF(SCREEN_MAX=SCREEN_MIN,1,(N1218-SCREEN_MIN)/(SCREEN_MAX-SCREEN_MIN)),"")</f>
        <v/>
      </c>
      <c r="AL1218" s="9" t="str">
        <f t="shared" ref="AL1218:AL1276" si="254">IF(AD1218,IF(WEIGHT_MAX=WEIGHT_MIN,1,(WEIGHT_MAX-P1218)/(WEIGHT_MAX-WEIGHT_MIN)),"")</f>
        <v/>
      </c>
      <c r="AM1218" s="9" t="str">
        <f t="shared" ref="AM1218:AM1276" si="255">IF(AD1218,IF(BATTERY_MAX=BATTERY_MIN,1,(AE1218-BATTERY_MIN)/(BATTERY_MAX-BATTERY_MIN)),"")</f>
        <v/>
      </c>
      <c r="AN1218" s="9" t="str">
        <f t="shared" ref="AN1218:AN1276" si="256">IF(AD1218,IF(DURABILITY_MAX=DURABILITY_MIN,1,(AF1218-DURABILITY_MIN)/(DURABILITY_MAX-DURABILITY_MIN)),"")</f>
        <v/>
      </c>
      <c r="AO1218" s="9" t="str">
        <f t="shared" ref="AO1218:AO1276" si="257">IF(AD1218,IF(UPGRADE_MAX=UPGRADE_MIN,1,(AG1218-UPGRADE_MIN)/(UPGRADE_MAX-UPGRADE_MIN)),"")</f>
        <v/>
      </c>
      <c r="AP1218" s="9" t="str">
        <f t="shared" ref="AP1218:AP1276" si="258">IF(AD1218,W_CPU*AH1218+W_RAM*AI1218+W_GPU*AJ1218+W_SCREEN*AK1218+W_WEIGHT*AL1218+W_BATTERY*AM1218+W_DURABILITY*AN1218+W_UPGRADE*AO1218,"" )</f>
        <v/>
      </c>
      <c r="AQ1218" s="10" t="str">
        <f t="shared" ref="AQ1218:AQ1276" si="259">IF(AP1218="","",AP1218+ROW()*0.000000001)</f>
        <v/>
      </c>
    </row>
    <row r="1219" spans="1:43">
      <c r="A1219">
        <v>1218</v>
      </c>
      <c r="B1219" t="s">
        <v>29</v>
      </c>
      <c r="C1219" t="s">
        <v>479</v>
      </c>
      <c r="D1219" t="s">
        <v>480</v>
      </c>
      <c r="E1219" t="s">
        <v>97</v>
      </c>
      <c r="G1219" t="s">
        <v>18</v>
      </c>
      <c r="H1219" s="4">
        <v>14553000</v>
      </c>
      <c r="I1219" s="5">
        <v>0</v>
      </c>
      <c r="J1219" s="5">
        <v>1024</v>
      </c>
      <c r="K1219" s="5">
        <v>8</v>
      </c>
      <c r="L1219">
        <v>7</v>
      </c>
      <c r="M1219">
        <v>3.5</v>
      </c>
      <c r="N1219">
        <v>5.83</v>
      </c>
      <c r="O1219" s="6">
        <v>17.3</v>
      </c>
      <c r="P1219" s="7">
        <v>2.8</v>
      </c>
      <c r="U1219" t="s">
        <v>84</v>
      </c>
      <c r="V1219" t="s">
        <v>98</v>
      </c>
      <c r="W1219">
        <v>2.5</v>
      </c>
      <c r="X1219" t="s">
        <v>84</v>
      </c>
      <c r="Y1219" t="s">
        <v>99</v>
      </c>
      <c r="Z1219" t="s">
        <v>146</v>
      </c>
      <c r="AA1219" t="s">
        <v>452</v>
      </c>
      <c r="AB1219" t="s">
        <v>102</v>
      </c>
      <c r="AC1219">
        <v>539</v>
      </c>
      <c r="AD1219" s="8" t="b">
        <f>AND(
 H1219&gt;=Filters!$B$3,
 H1219&lt;=Filters!$B$4,
 I1219&gt;=Filters!$B$5,
 OR(Filters!$B$6="All",B1219=Filters!$B$6),
 F1219&gt;=Filters!$B$7,
 F1219&lt;=Filters!$B$8,
 OR(Filters!$B$9="All",G1219=Filters!$B$9)
)</f>
        <v>0</v>
      </c>
      <c r="AE1219">
        <f t="shared" si="247"/>
        <v>6</v>
      </c>
      <c r="AF1219">
        <f t="shared" si="248"/>
        <v>7</v>
      </c>
      <c r="AG1219">
        <f t="shared" si="249"/>
        <v>7</v>
      </c>
      <c r="AH1219" s="9" t="str">
        <f t="shared" si="250"/>
        <v/>
      </c>
      <c r="AI1219" s="9" t="str">
        <f t="shared" si="251"/>
        <v/>
      </c>
      <c r="AJ1219" s="9" t="str">
        <f t="shared" si="252"/>
        <v/>
      </c>
      <c r="AK1219" s="9" t="str">
        <f t="shared" si="253"/>
        <v/>
      </c>
      <c r="AL1219" s="9" t="str">
        <f t="shared" si="254"/>
        <v/>
      </c>
      <c r="AM1219" s="9" t="str">
        <f t="shared" si="255"/>
        <v/>
      </c>
      <c r="AN1219" s="9" t="str">
        <f t="shared" si="256"/>
        <v/>
      </c>
      <c r="AO1219" s="9" t="str">
        <f t="shared" si="257"/>
        <v/>
      </c>
      <c r="AP1219" s="9" t="str">
        <f t="shared" si="258"/>
        <v/>
      </c>
      <c r="AQ1219" s="10" t="str">
        <f t="shared" si="259"/>
        <v/>
      </c>
    </row>
    <row r="1220" spans="1:43">
      <c r="A1220">
        <v>1219</v>
      </c>
      <c r="B1220" t="s">
        <v>29</v>
      </c>
      <c r="C1220" t="s">
        <v>1019</v>
      </c>
      <c r="D1220" t="s">
        <v>1020</v>
      </c>
      <c r="E1220" t="s">
        <v>158</v>
      </c>
      <c r="G1220" t="s">
        <v>18</v>
      </c>
      <c r="H1220" s="4">
        <v>34344000</v>
      </c>
      <c r="I1220" s="5">
        <v>128</v>
      </c>
      <c r="J1220" s="5">
        <v>1024</v>
      </c>
      <c r="K1220" s="5">
        <v>8</v>
      </c>
      <c r="L1220">
        <v>9.1999999999999993</v>
      </c>
      <c r="M1220">
        <v>9.1999999999999993</v>
      </c>
      <c r="N1220">
        <v>6.32</v>
      </c>
      <c r="O1220" s="6">
        <v>15.6</v>
      </c>
      <c r="P1220" s="7">
        <v>2.6</v>
      </c>
      <c r="U1220" t="s">
        <v>84</v>
      </c>
      <c r="V1220" t="s">
        <v>808</v>
      </c>
      <c r="W1220">
        <v>2.6</v>
      </c>
      <c r="X1220" t="s">
        <v>122</v>
      </c>
      <c r="Y1220" t="s">
        <v>975</v>
      </c>
      <c r="Z1220" t="s">
        <v>161</v>
      </c>
      <c r="AA1220" t="s">
        <v>128</v>
      </c>
      <c r="AB1220" t="s">
        <v>115</v>
      </c>
      <c r="AC1220">
        <v>1272</v>
      </c>
      <c r="AD1220" s="8" t="b">
        <f>AND(
 H1220&gt;=Filters!$B$3,
 H1220&lt;=Filters!$B$4,
 I1220&gt;=Filters!$B$5,
 OR(Filters!$B$6="All",B1220=Filters!$B$6),
 F1220&gt;=Filters!$B$7,
 F1220&lt;=Filters!$B$8,
 OR(Filters!$B$9="All",G1220=Filters!$B$9)
)</f>
        <v>0</v>
      </c>
      <c r="AE1220">
        <f t="shared" si="247"/>
        <v>6</v>
      </c>
      <c r="AF1220">
        <f t="shared" si="248"/>
        <v>7</v>
      </c>
      <c r="AG1220">
        <f t="shared" si="249"/>
        <v>7</v>
      </c>
      <c r="AH1220" s="9" t="str">
        <f t="shared" si="250"/>
        <v/>
      </c>
      <c r="AI1220" s="9" t="str">
        <f t="shared" si="251"/>
        <v/>
      </c>
      <c r="AJ1220" s="9" t="str">
        <f t="shared" si="252"/>
        <v/>
      </c>
      <c r="AK1220" s="9" t="str">
        <f t="shared" si="253"/>
        <v/>
      </c>
      <c r="AL1220" s="9" t="str">
        <f t="shared" si="254"/>
        <v/>
      </c>
      <c r="AM1220" s="9" t="str">
        <f t="shared" si="255"/>
        <v/>
      </c>
      <c r="AN1220" s="9" t="str">
        <f t="shared" si="256"/>
        <v/>
      </c>
      <c r="AO1220" s="9" t="str">
        <f t="shared" si="257"/>
        <v/>
      </c>
      <c r="AP1220" s="9" t="str">
        <f t="shared" si="258"/>
        <v/>
      </c>
      <c r="AQ1220" s="10" t="str">
        <f t="shared" si="259"/>
        <v/>
      </c>
    </row>
    <row r="1221" spans="1:43">
      <c r="A1221">
        <v>1220</v>
      </c>
      <c r="B1221" t="s">
        <v>17</v>
      </c>
      <c r="C1221" t="s">
        <v>1597</v>
      </c>
      <c r="D1221" t="s">
        <v>1598</v>
      </c>
      <c r="E1221" t="s">
        <v>168</v>
      </c>
      <c r="G1221" t="s">
        <v>18</v>
      </c>
      <c r="H1221" s="4">
        <v>31023000</v>
      </c>
      <c r="I1221" s="5">
        <v>256</v>
      </c>
      <c r="J1221" s="5">
        <v>0</v>
      </c>
      <c r="K1221" s="5">
        <v>8</v>
      </c>
      <c r="L1221">
        <v>6.6</v>
      </c>
      <c r="M1221">
        <v>3.5</v>
      </c>
      <c r="N1221">
        <v>6.7</v>
      </c>
      <c r="O1221" s="6">
        <v>14</v>
      </c>
      <c r="P1221" s="7">
        <v>1.2</v>
      </c>
      <c r="U1221" t="s">
        <v>84</v>
      </c>
      <c r="V1221" t="s">
        <v>759</v>
      </c>
      <c r="W1221">
        <v>1.3</v>
      </c>
      <c r="X1221" t="s">
        <v>84</v>
      </c>
      <c r="Y1221" t="s">
        <v>138</v>
      </c>
      <c r="Z1221" t="s">
        <v>100</v>
      </c>
      <c r="AA1221" t="s">
        <v>149</v>
      </c>
      <c r="AB1221" t="s">
        <v>115</v>
      </c>
      <c r="AC1221">
        <v>1149</v>
      </c>
      <c r="AD1221" s="8" t="b">
        <f>AND(
 H1221&gt;=Filters!$B$3,
 H1221&lt;=Filters!$B$4,
 I1221&gt;=Filters!$B$5,
 OR(Filters!$B$6="All",B1221=Filters!$B$6),
 F1221&gt;=Filters!$B$7,
 F1221&lt;=Filters!$B$8,
 OR(Filters!$B$9="All",G1221=Filters!$B$9)
)</f>
        <v>0</v>
      </c>
      <c r="AE1221">
        <f t="shared" si="247"/>
        <v>6</v>
      </c>
      <c r="AF1221">
        <f t="shared" si="248"/>
        <v>7</v>
      </c>
      <c r="AG1221">
        <f t="shared" si="249"/>
        <v>7</v>
      </c>
      <c r="AH1221" s="9" t="str">
        <f t="shared" si="250"/>
        <v/>
      </c>
      <c r="AI1221" s="9" t="str">
        <f t="shared" si="251"/>
        <v/>
      </c>
      <c r="AJ1221" s="9" t="str">
        <f t="shared" si="252"/>
        <v/>
      </c>
      <c r="AK1221" s="9" t="str">
        <f t="shared" si="253"/>
        <v/>
      </c>
      <c r="AL1221" s="9" t="str">
        <f t="shared" si="254"/>
        <v/>
      </c>
      <c r="AM1221" s="9" t="str">
        <f t="shared" si="255"/>
        <v/>
      </c>
      <c r="AN1221" s="9" t="str">
        <f t="shared" si="256"/>
        <v/>
      </c>
      <c r="AO1221" s="9" t="str">
        <f t="shared" si="257"/>
        <v/>
      </c>
      <c r="AP1221" s="9" t="str">
        <f t="shared" si="258"/>
        <v/>
      </c>
      <c r="AQ1221" s="10" t="str">
        <f t="shared" si="259"/>
        <v/>
      </c>
    </row>
    <row r="1222" spans="1:43">
      <c r="A1222">
        <v>1221</v>
      </c>
      <c r="B1222" t="s">
        <v>29</v>
      </c>
      <c r="C1222" t="s">
        <v>1599</v>
      </c>
      <c r="D1222" t="s">
        <v>1600</v>
      </c>
      <c r="E1222" t="s">
        <v>97</v>
      </c>
      <c r="G1222" t="s">
        <v>18</v>
      </c>
      <c r="H1222" s="4">
        <v>41283000</v>
      </c>
      <c r="I1222" s="5">
        <v>256</v>
      </c>
      <c r="J1222" s="5">
        <v>0</v>
      </c>
      <c r="K1222" s="5">
        <v>8</v>
      </c>
      <c r="L1222">
        <v>9.1999999999999993</v>
      </c>
      <c r="M1222">
        <v>3.5</v>
      </c>
      <c r="N1222">
        <v>6.32</v>
      </c>
      <c r="O1222" s="6">
        <v>15.6</v>
      </c>
      <c r="P1222" s="7">
        <v>2.2999999999999998</v>
      </c>
      <c r="U1222" t="s">
        <v>84</v>
      </c>
      <c r="V1222" t="s">
        <v>548</v>
      </c>
      <c r="W1222">
        <v>2.6</v>
      </c>
      <c r="X1222" t="s">
        <v>84</v>
      </c>
      <c r="Y1222" t="s">
        <v>130</v>
      </c>
      <c r="Z1222" t="s">
        <v>100</v>
      </c>
      <c r="AA1222" t="s">
        <v>128</v>
      </c>
      <c r="AB1222" t="s">
        <v>115</v>
      </c>
      <c r="AC1222">
        <v>1529</v>
      </c>
      <c r="AD1222" s="8" t="b">
        <f>AND(
 H1222&gt;=Filters!$B$3,
 H1222&lt;=Filters!$B$4,
 I1222&gt;=Filters!$B$5,
 OR(Filters!$B$6="All",B1222=Filters!$B$6),
 F1222&gt;=Filters!$B$7,
 F1222&lt;=Filters!$B$8,
 OR(Filters!$B$9="All",G1222=Filters!$B$9)
)</f>
        <v>0</v>
      </c>
      <c r="AE1222">
        <f t="shared" si="247"/>
        <v>6</v>
      </c>
      <c r="AF1222">
        <f t="shared" si="248"/>
        <v>7</v>
      </c>
      <c r="AG1222">
        <f t="shared" si="249"/>
        <v>7</v>
      </c>
      <c r="AH1222" s="9" t="str">
        <f t="shared" si="250"/>
        <v/>
      </c>
      <c r="AI1222" s="9" t="str">
        <f t="shared" si="251"/>
        <v/>
      </c>
      <c r="AJ1222" s="9" t="str">
        <f t="shared" si="252"/>
        <v/>
      </c>
      <c r="AK1222" s="9" t="str">
        <f t="shared" si="253"/>
        <v/>
      </c>
      <c r="AL1222" s="9" t="str">
        <f t="shared" si="254"/>
        <v/>
      </c>
      <c r="AM1222" s="9" t="str">
        <f t="shared" si="255"/>
        <v/>
      </c>
      <c r="AN1222" s="9" t="str">
        <f t="shared" si="256"/>
        <v/>
      </c>
      <c r="AO1222" s="9" t="str">
        <f t="shared" si="257"/>
        <v/>
      </c>
      <c r="AP1222" s="9" t="str">
        <f t="shared" si="258"/>
        <v/>
      </c>
      <c r="AQ1222" s="10" t="str">
        <f t="shared" si="259"/>
        <v/>
      </c>
    </row>
    <row r="1223" spans="1:43">
      <c r="A1223">
        <v>1222</v>
      </c>
      <c r="B1223" t="s">
        <v>30</v>
      </c>
      <c r="C1223" t="s">
        <v>1601</v>
      </c>
      <c r="D1223" t="s">
        <v>1602</v>
      </c>
      <c r="E1223" t="s">
        <v>158</v>
      </c>
      <c r="G1223" t="s">
        <v>18</v>
      </c>
      <c r="H1223" s="4">
        <v>39854970</v>
      </c>
      <c r="I1223" s="5">
        <v>128</v>
      </c>
      <c r="J1223" s="5">
        <v>1024</v>
      </c>
      <c r="K1223" s="5">
        <v>8</v>
      </c>
      <c r="L1223">
        <v>9.1999999999999993</v>
      </c>
      <c r="M1223">
        <v>9.1999999999999993</v>
      </c>
      <c r="N1223">
        <v>5.92</v>
      </c>
      <c r="O1223" s="6">
        <v>15.6</v>
      </c>
      <c r="P1223" s="7">
        <v>2.2000000000000002</v>
      </c>
      <c r="U1223" t="s">
        <v>84</v>
      </c>
      <c r="V1223" t="s">
        <v>808</v>
      </c>
      <c r="W1223">
        <v>2.6</v>
      </c>
      <c r="X1223" t="s">
        <v>122</v>
      </c>
      <c r="Y1223" t="s">
        <v>211</v>
      </c>
      <c r="Z1223" t="s">
        <v>161</v>
      </c>
      <c r="AA1223" t="s">
        <v>101</v>
      </c>
      <c r="AB1223" t="s">
        <v>115</v>
      </c>
      <c r="AC1223">
        <v>1476.11</v>
      </c>
      <c r="AD1223" s="8" t="b">
        <f>AND(
 H1223&gt;=Filters!$B$3,
 H1223&lt;=Filters!$B$4,
 I1223&gt;=Filters!$B$5,
 OR(Filters!$B$6="All",B1223=Filters!$B$6),
 F1223&gt;=Filters!$B$7,
 F1223&lt;=Filters!$B$8,
 OR(Filters!$B$9="All",G1223=Filters!$B$9)
)</f>
        <v>0</v>
      </c>
      <c r="AE1223">
        <f t="shared" si="247"/>
        <v>6</v>
      </c>
      <c r="AF1223">
        <f t="shared" si="248"/>
        <v>7</v>
      </c>
      <c r="AG1223">
        <f t="shared" si="249"/>
        <v>7</v>
      </c>
      <c r="AH1223" s="9" t="str">
        <f t="shared" si="250"/>
        <v/>
      </c>
      <c r="AI1223" s="9" t="str">
        <f t="shared" si="251"/>
        <v/>
      </c>
      <c r="AJ1223" s="9" t="str">
        <f t="shared" si="252"/>
        <v/>
      </c>
      <c r="AK1223" s="9" t="str">
        <f t="shared" si="253"/>
        <v/>
      </c>
      <c r="AL1223" s="9" t="str">
        <f t="shared" si="254"/>
        <v/>
      </c>
      <c r="AM1223" s="9" t="str">
        <f t="shared" si="255"/>
        <v/>
      </c>
      <c r="AN1223" s="9" t="str">
        <f t="shared" si="256"/>
        <v/>
      </c>
      <c r="AO1223" s="9" t="str">
        <f t="shared" si="257"/>
        <v/>
      </c>
      <c r="AP1223" s="9" t="str">
        <f t="shared" si="258"/>
        <v/>
      </c>
      <c r="AQ1223" s="10" t="str">
        <f t="shared" si="259"/>
        <v/>
      </c>
    </row>
    <row r="1224" spans="1:43">
      <c r="A1224">
        <v>1223</v>
      </c>
      <c r="B1224" t="s">
        <v>26</v>
      </c>
      <c r="C1224" t="s">
        <v>1603</v>
      </c>
      <c r="D1224" t="s">
        <v>1604</v>
      </c>
      <c r="E1224" t="s">
        <v>97</v>
      </c>
      <c r="G1224" t="s">
        <v>18</v>
      </c>
      <c r="H1224" s="4">
        <v>14283000</v>
      </c>
      <c r="I1224" s="5">
        <v>0</v>
      </c>
      <c r="J1224" s="5">
        <v>1024</v>
      </c>
      <c r="K1224" s="5">
        <v>6</v>
      </c>
      <c r="L1224">
        <v>6.4</v>
      </c>
      <c r="M1224">
        <v>6.5</v>
      </c>
      <c r="N1224">
        <v>5.92</v>
      </c>
      <c r="O1224" s="6">
        <v>15.6</v>
      </c>
      <c r="P1224" s="7">
        <v>2.1</v>
      </c>
      <c r="U1224" t="s">
        <v>104</v>
      </c>
      <c r="V1224" t="s">
        <v>618</v>
      </c>
      <c r="W1224">
        <v>2.7</v>
      </c>
      <c r="X1224" t="s">
        <v>104</v>
      </c>
      <c r="Y1224" t="s">
        <v>176</v>
      </c>
      <c r="Z1224" t="s">
        <v>146</v>
      </c>
      <c r="AA1224" t="s">
        <v>101</v>
      </c>
      <c r="AB1224" t="s">
        <v>115</v>
      </c>
      <c r="AC1224">
        <v>529</v>
      </c>
      <c r="AD1224" s="8" t="b">
        <f>AND(
 H1224&gt;=Filters!$B$3,
 H1224&lt;=Filters!$B$4,
 I1224&gt;=Filters!$B$5,
 OR(Filters!$B$6="All",B1224=Filters!$B$6),
 F1224&gt;=Filters!$B$7,
 F1224&lt;=Filters!$B$8,
 OR(Filters!$B$9="All",G1224=Filters!$B$9)
)</f>
        <v>0</v>
      </c>
      <c r="AE1224">
        <f t="shared" si="247"/>
        <v>6</v>
      </c>
      <c r="AF1224">
        <f t="shared" si="248"/>
        <v>7</v>
      </c>
      <c r="AG1224">
        <f t="shared" si="249"/>
        <v>7</v>
      </c>
      <c r="AH1224" s="9" t="str">
        <f t="shared" si="250"/>
        <v/>
      </c>
      <c r="AI1224" s="9" t="str">
        <f t="shared" si="251"/>
        <v/>
      </c>
      <c r="AJ1224" s="9" t="str">
        <f t="shared" si="252"/>
        <v/>
      </c>
      <c r="AK1224" s="9" t="str">
        <f t="shared" si="253"/>
        <v/>
      </c>
      <c r="AL1224" s="9" t="str">
        <f t="shared" si="254"/>
        <v/>
      </c>
      <c r="AM1224" s="9" t="str">
        <f t="shared" si="255"/>
        <v/>
      </c>
      <c r="AN1224" s="9" t="str">
        <f t="shared" si="256"/>
        <v/>
      </c>
      <c r="AO1224" s="9" t="str">
        <f t="shared" si="257"/>
        <v/>
      </c>
      <c r="AP1224" s="9" t="str">
        <f t="shared" si="258"/>
        <v/>
      </c>
      <c r="AQ1224" s="10" t="str">
        <f t="shared" si="259"/>
        <v/>
      </c>
    </row>
    <row r="1225" spans="1:43">
      <c r="A1225">
        <v>1224</v>
      </c>
      <c r="B1225" t="s">
        <v>23</v>
      </c>
      <c r="C1225" t="s">
        <v>1605</v>
      </c>
      <c r="D1225" t="s">
        <v>1606</v>
      </c>
      <c r="E1225" t="s">
        <v>83</v>
      </c>
      <c r="G1225" t="s">
        <v>18</v>
      </c>
      <c r="H1225" s="4">
        <v>46260990</v>
      </c>
      <c r="I1225" s="5">
        <v>256</v>
      </c>
      <c r="J1225" s="5">
        <v>0</v>
      </c>
      <c r="K1225" s="5">
        <v>8</v>
      </c>
      <c r="L1225">
        <v>6.8</v>
      </c>
      <c r="M1225">
        <v>3.5</v>
      </c>
      <c r="N1225">
        <v>6.22</v>
      </c>
      <c r="O1225" s="6">
        <v>12.5</v>
      </c>
      <c r="P1225" s="7">
        <v>1.26</v>
      </c>
      <c r="U1225" t="s">
        <v>84</v>
      </c>
      <c r="V1225" t="s">
        <v>1024</v>
      </c>
      <c r="W1225">
        <v>2.4</v>
      </c>
      <c r="X1225" t="s">
        <v>84</v>
      </c>
      <c r="Y1225" t="s">
        <v>130</v>
      </c>
      <c r="Z1225" t="s">
        <v>100</v>
      </c>
      <c r="AA1225" t="s">
        <v>169</v>
      </c>
      <c r="AB1225" t="s">
        <v>869</v>
      </c>
      <c r="AC1225">
        <v>1713.37</v>
      </c>
      <c r="AD1225" s="8" t="b">
        <f>AND(
 H1225&gt;=Filters!$B$3,
 H1225&lt;=Filters!$B$4,
 I1225&gt;=Filters!$B$5,
 OR(Filters!$B$6="All",B1225=Filters!$B$6),
 F1225&gt;=Filters!$B$7,
 F1225&lt;=Filters!$B$8,
 OR(Filters!$B$9="All",G1225=Filters!$B$9)
)</f>
        <v>0</v>
      </c>
      <c r="AE1225">
        <f t="shared" si="247"/>
        <v>6</v>
      </c>
      <c r="AF1225">
        <f t="shared" si="248"/>
        <v>7</v>
      </c>
      <c r="AG1225">
        <f t="shared" si="249"/>
        <v>7</v>
      </c>
      <c r="AH1225" s="9" t="str">
        <f t="shared" si="250"/>
        <v/>
      </c>
      <c r="AI1225" s="9" t="str">
        <f t="shared" si="251"/>
        <v/>
      </c>
      <c r="AJ1225" s="9" t="str">
        <f t="shared" si="252"/>
        <v/>
      </c>
      <c r="AK1225" s="9" t="str">
        <f t="shared" si="253"/>
        <v/>
      </c>
      <c r="AL1225" s="9" t="str">
        <f t="shared" si="254"/>
        <v/>
      </c>
      <c r="AM1225" s="9" t="str">
        <f t="shared" si="255"/>
        <v/>
      </c>
      <c r="AN1225" s="9" t="str">
        <f t="shared" si="256"/>
        <v/>
      </c>
      <c r="AO1225" s="9" t="str">
        <f t="shared" si="257"/>
        <v/>
      </c>
      <c r="AP1225" s="9" t="str">
        <f t="shared" si="258"/>
        <v/>
      </c>
      <c r="AQ1225" s="10" t="str">
        <f t="shared" si="259"/>
        <v/>
      </c>
    </row>
    <row r="1226" spans="1:43">
      <c r="A1226">
        <v>1225</v>
      </c>
      <c r="B1226" t="s">
        <v>23</v>
      </c>
      <c r="C1226" t="s">
        <v>1431</v>
      </c>
      <c r="D1226" t="s">
        <v>1432</v>
      </c>
      <c r="E1226" t="s">
        <v>168</v>
      </c>
      <c r="G1226" t="s">
        <v>18</v>
      </c>
      <c r="H1226" s="4">
        <v>13743000</v>
      </c>
      <c r="I1226" s="5">
        <v>0</v>
      </c>
      <c r="J1226" s="5">
        <v>500</v>
      </c>
      <c r="K1226" s="5">
        <v>4</v>
      </c>
      <c r="L1226">
        <v>4.8</v>
      </c>
      <c r="M1226">
        <v>3.5</v>
      </c>
      <c r="N1226">
        <v>6.25</v>
      </c>
      <c r="O1226" s="6">
        <v>15</v>
      </c>
      <c r="P1226" s="7">
        <v>2.08</v>
      </c>
      <c r="U1226" t="s">
        <v>84</v>
      </c>
      <c r="V1226" t="s">
        <v>144</v>
      </c>
      <c r="W1226">
        <v>2.4</v>
      </c>
      <c r="X1226" t="s">
        <v>84</v>
      </c>
      <c r="Y1226" t="s">
        <v>99</v>
      </c>
      <c r="Z1226" t="s">
        <v>113</v>
      </c>
      <c r="AA1226" t="s">
        <v>169</v>
      </c>
      <c r="AB1226" t="s">
        <v>115</v>
      </c>
      <c r="AC1226">
        <v>509</v>
      </c>
      <c r="AD1226" s="8" t="b">
        <f>AND(
 H1226&gt;=Filters!$B$3,
 H1226&lt;=Filters!$B$4,
 I1226&gt;=Filters!$B$5,
 OR(Filters!$B$6="All",B1226=Filters!$B$6),
 F1226&gt;=Filters!$B$7,
 F1226&lt;=Filters!$B$8,
 OR(Filters!$B$9="All",G1226=Filters!$B$9)
)</f>
        <v>0</v>
      </c>
      <c r="AE1226">
        <f t="shared" si="247"/>
        <v>6</v>
      </c>
      <c r="AF1226">
        <f t="shared" si="248"/>
        <v>7</v>
      </c>
      <c r="AG1226">
        <f t="shared" si="249"/>
        <v>7</v>
      </c>
      <c r="AH1226" s="9" t="str">
        <f t="shared" si="250"/>
        <v/>
      </c>
      <c r="AI1226" s="9" t="str">
        <f t="shared" si="251"/>
        <v/>
      </c>
      <c r="AJ1226" s="9" t="str">
        <f t="shared" si="252"/>
        <v/>
      </c>
      <c r="AK1226" s="9" t="str">
        <f t="shared" si="253"/>
        <v/>
      </c>
      <c r="AL1226" s="9" t="str">
        <f t="shared" si="254"/>
        <v/>
      </c>
      <c r="AM1226" s="9" t="str">
        <f t="shared" si="255"/>
        <v/>
      </c>
      <c r="AN1226" s="9" t="str">
        <f t="shared" si="256"/>
        <v/>
      </c>
      <c r="AO1226" s="9" t="str">
        <f t="shared" si="257"/>
        <v/>
      </c>
      <c r="AP1226" s="9" t="str">
        <f t="shared" si="258"/>
        <v/>
      </c>
      <c r="AQ1226" s="10" t="str">
        <f t="shared" si="259"/>
        <v/>
      </c>
    </row>
    <row r="1227" spans="1:43">
      <c r="A1227">
        <v>1226</v>
      </c>
      <c r="B1227" t="s">
        <v>21</v>
      </c>
      <c r="C1227" t="s">
        <v>1607</v>
      </c>
      <c r="D1227" t="s">
        <v>1608</v>
      </c>
      <c r="E1227" t="s">
        <v>97</v>
      </c>
      <c r="G1227" t="s">
        <v>18</v>
      </c>
      <c r="H1227" s="4">
        <v>8343000</v>
      </c>
      <c r="I1227" s="5">
        <v>0</v>
      </c>
      <c r="J1227" s="5">
        <v>1024</v>
      </c>
      <c r="K1227" s="5">
        <v>4</v>
      </c>
      <c r="L1227">
        <v>2.2000000000000002</v>
      </c>
      <c r="M1227">
        <v>3.5</v>
      </c>
      <c r="N1227">
        <v>3.92</v>
      </c>
      <c r="O1227" s="6">
        <v>15.6</v>
      </c>
      <c r="P1227" s="7">
        <v>2.65</v>
      </c>
      <c r="U1227" t="s">
        <v>84</v>
      </c>
      <c r="V1227" t="s">
        <v>611</v>
      </c>
      <c r="W1227">
        <v>1.6</v>
      </c>
      <c r="X1227" t="s">
        <v>84</v>
      </c>
      <c r="Y1227" t="s">
        <v>612</v>
      </c>
      <c r="Z1227" t="s">
        <v>146</v>
      </c>
      <c r="AA1227" t="s">
        <v>114</v>
      </c>
      <c r="AB1227" t="s">
        <v>115</v>
      </c>
      <c r="AC1227">
        <v>309</v>
      </c>
      <c r="AD1227" s="8" t="b">
        <f>AND(
 H1227&gt;=Filters!$B$3,
 H1227&lt;=Filters!$B$4,
 I1227&gt;=Filters!$B$5,
 OR(Filters!$B$6="All",B1227=Filters!$B$6),
 F1227&gt;=Filters!$B$7,
 F1227&lt;=Filters!$B$8,
 OR(Filters!$B$9="All",G1227=Filters!$B$9)
)</f>
        <v>0</v>
      </c>
      <c r="AE1227">
        <f t="shared" si="247"/>
        <v>6</v>
      </c>
      <c r="AF1227">
        <f t="shared" si="248"/>
        <v>7</v>
      </c>
      <c r="AG1227">
        <f t="shared" si="249"/>
        <v>7</v>
      </c>
      <c r="AH1227" s="9" t="str">
        <f t="shared" si="250"/>
        <v/>
      </c>
      <c r="AI1227" s="9" t="str">
        <f t="shared" si="251"/>
        <v/>
      </c>
      <c r="AJ1227" s="9" t="str">
        <f t="shared" si="252"/>
        <v/>
      </c>
      <c r="AK1227" s="9" t="str">
        <f t="shared" si="253"/>
        <v/>
      </c>
      <c r="AL1227" s="9" t="str">
        <f t="shared" si="254"/>
        <v/>
      </c>
      <c r="AM1227" s="9" t="str">
        <f t="shared" si="255"/>
        <v/>
      </c>
      <c r="AN1227" s="9" t="str">
        <f t="shared" si="256"/>
        <v/>
      </c>
      <c r="AO1227" s="9" t="str">
        <f t="shared" si="257"/>
        <v/>
      </c>
      <c r="AP1227" s="9" t="str">
        <f t="shared" si="258"/>
        <v/>
      </c>
      <c r="AQ1227" s="10" t="str">
        <f t="shared" si="259"/>
        <v/>
      </c>
    </row>
    <row r="1228" spans="1:43">
      <c r="A1228">
        <v>1227</v>
      </c>
      <c r="B1228" t="s">
        <v>23</v>
      </c>
      <c r="C1228" t="s">
        <v>147</v>
      </c>
      <c r="D1228" t="s">
        <v>148</v>
      </c>
      <c r="E1228" t="s">
        <v>83</v>
      </c>
      <c r="G1228" t="s">
        <v>18</v>
      </c>
      <c r="H1228" s="4">
        <v>39879000</v>
      </c>
      <c r="I1228" s="5">
        <v>256</v>
      </c>
      <c r="J1228" s="5">
        <v>0</v>
      </c>
      <c r="K1228" s="5">
        <v>8</v>
      </c>
      <c r="L1228">
        <v>9.4</v>
      </c>
      <c r="M1228">
        <v>3.5</v>
      </c>
      <c r="N1228">
        <v>8.4600000000000009</v>
      </c>
      <c r="O1228" s="6">
        <v>13.3</v>
      </c>
      <c r="P1228" s="7">
        <v>1.29</v>
      </c>
      <c r="U1228" t="s">
        <v>84</v>
      </c>
      <c r="V1228" t="s">
        <v>140</v>
      </c>
      <c r="W1228">
        <v>2.7</v>
      </c>
      <c r="X1228" t="s">
        <v>84</v>
      </c>
      <c r="Y1228" t="s">
        <v>99</v>
      </c>
      <c r="Z1228" t="s">
        <v>100</v>
      </c>
      <c r="AA1228" t="s">
        <v>333</v>
      </c>
      <c r="AB1228" t="s">
        <v>115</v>
      </c>
      <c r="AC1228">
        <v>1477</v>
      </c>
      <c r="AD1228" s="8" t="b">
        <f>AND(
 H1228&gt;=Filters!$B$3,
 H1228&lt;=Filters!$B$4,
 I1228&gt;=Filters!$B$5,
 OR(Filters!$B$6="All",B1228=Filters!$B$6),
 F1228&gt;=Filters!$B$7,
 F1228&lt;=Filters!$B$8,
 OR(Filters!$B$9="All",G1228=Filters!$B$9)
)</f>
        <v>0</v>
      </c>
      <c r="AE1228">
        <f t="shared" si="247"/>
        <v>6</v>
      </c>
      <c r="AF1228">
        <f t="shared" si="248"/>
        <v>7</v>
      </c>
      <c r="AG1228">
        <f t="shared" si="249"/>
        <v>7</v>
      </c>
      <c r="AH1228" s="9" t="str">
        <f t="shared" si="250"/>
        <v/>
      </c>
      <c r="AI1228" s="9" t="str">
        <f t="shared" si="251"/>
        <v/>
      </c>
      <c r="AJ1228" s="9" t="str">
        <f t="shared" si="252"/>
        <v/>
      </c>
      <c r="AK1228" s="9" t="str">
        <f t="shared" si="253"/>
        <v/>
      </c>
      <c r="AL1228" s="9" t="str">
        <f t="shared" si="254"/>
        <v/>
      </c>
      <c r="AM1228" s="9" t="str">
        <f t="shared" si="255"/>
        <v/>
      </c>
      <c r="AN1228" s="9" t="str">
        <f t="shared" si="256"/>
        <v/>
      </c>
      <c r="AO1228" s="9" t="str">
        <f t="shared" si="257"/>
        <v/>
      </c>
      <c r="AP1228" s="9" t="str">
        <f t="shared" si="258"/>
        <v/>
      </c>
      <c r="AQ1228" s="10" t="str">
        <f t="shared" si="259"/>
        <v/>
      </c>
    </row>
    <row r="1229" spans="1:43">
      <c r="A1229">
        <v>1228</v>
      </c>
      <c r="B1229" t="s">
        <v>23</v>
      </c>
      <c r="C1229" t="s">
        <v>540</v>
      </c>
      <c r="D1229" t="s">
        <v>541</v>
      </c>
      <c r="E1229" t="s">
        <v>97</v>
      </c>
      <c r="G1229" t="s">
        <v>18</v>
      </c>
      <c r="H1229" s="4">
        <v>14090220</v>
      </c>
      <c r="I1229" s="5">
        <v>0</v>
      </c>
      <c r="J1229" s="5">
        <v>1024</v>
      </c>
      <c r="K1229" s="5">
        <v>4</v>
      </c>
      <c r="L1229">
        <v>7</v>
      </c>
      <c r="M1229">
        <v>3.5</v>
      </c>
      <c r="N1229">
        <v>3.92</v>
      </c>
      <c r="O1229" s="6">
        <v>15.6</v>
      </c>
      <c r="P1229" s="7">
        <v>2.1800000000000002</v>
      </c>
      <c r="U1229" t="s">
        <v>84</v>
      </c>
      <c r="V1229" t="s">
        <v>98</v>
      </c>
      <c r="W1229">
        <v>2.5</v>
      </c>
      <c r="X1229" t="s">
        <v>84</v>
      </c>
      <c r="Y1229" t="s">
        <v>130</v>
      </c>
      <c r="Z1229" t="s">
        <v>146</v>
      </c>
      <c r="AA1229" t="s">
        <v>114</v>
      </c>
      <c r="AB1229" t="s">
        <v>201</v>
      </c>
      <c r="AC1229">
        <v>521.86</v>
      </c>
      <c r="AD1229" s="8" t="b">
        <f>AND(
 H1229&gt;=Filters!$B$3,
 H1229&lt;=Filters!$B$4,
 I1229&gt;=Filters!$B$5,
 OR(Filters!$B$6="All",B1229=Filters!$B$6),
 F1229&gt;=Filters!$B$7,
 F1229&lt;=Filters!$B$8,
 OR(Filters!$B$9="All",G1229=Filters!$B$9)
)</f>
        <v>0</v>
      </c>
      <c r="AE1229">
        <f t="shared" si="247"/>
        <v>6</v>
      </c>
      <c r="AF1229">
        <f t="shared" si="248"/>
        <v>7</v>
      </c>
      <c r="AG1229">
        <f t="shared" si="249"/>
        <v>7</v>
      </c>
      <c r="AH1229" s="9" t="str">
        <f t="shared" si="250"/>
        <v/>
      </c>
      <c r="AI1229" s="9" t="str">
        <f t="shared" si="251"/>
        <v/>
      </c>
      <c r="AJ1229" s="9" t="str">
        <f t="shared" si="252"/>
        <v/>
      </c>
      <c r="AK1229" s="9" t="str">
        <f t="shared" si="253"/>
        <v/>
      </c>
      <c r="AL1229" s="9" t="str">
        <f t="shared" si="254"/>
        <v/>
      </c>
      <c r="AM1229" s="9" t="str">
        <f t="shared" si="255"/>
        <v/>
      </c>
      <c r="AN1229" s="9" t="str">
        <f t="shared" si="256"/>
        <v/>
      </c>
      <c r="AO1229" s="9" t="str">
        <f t="shared" si="257"/>
        <v/>
      </c>
      <c r="AP1229" s="9" t="str">
        <f t="shared" si="258"/>
        <v/>
      </c>
      <c r="AQ1229" s="10" t="str">
        <f t="shared" si="259"/>
        <v/>
      </c>
    </row>
    <row r="1230" spans="1:43">
      <c r="A1230">
        <v>1229</v>
      </c>
      <c r="B1230" t="s">
        <v>29</v>
      </c>
      <c r="C1230" t="s">
        <v>1019</v>
      </c>
      <c r="D1230" t="s">
        <v>1020</v>
      </c>
      <c r="E1230" t="s">
        <v>158</v>
      </c>
      <c r="G1230" t="s">
        <v>18</v>
      </c>
      <c r="H1230" s="4">
        <v>27783000</v>
      </c>
      <c r="I1230" s="5">
        <v>128</v>
      </c>
      <c r="J1230" s="5">
        <v>1024</v>
      </c>
      <c r="K1230" s="5">
        <v>16</v>
      </c>
      <c r="L1230">
        <v>9.1999999999999993</v>
      </c>
      <c r="M1230">
        <v>9.1999999999999993</v>
      </c>
      <c r="N1230">
        <v>6.62</v>
      </c>
      <c r="O1230" s="6">
        <v>15.6</v>
      </c>
      <c r="P1230" s="7">
        <v>2.6</v>
      </c>
      <c r="U1230" t="s">
        <v>84</v>
      </c>
      <c r="V1230" t="s">
        <v>808</v>
      </c>
      <c r="W1230">
        <v>2.6</v>
      </c>
      <c r="X1230" t="s">
        <v>122</v>
      </c>
      <c r="Y1230" t="s">
        <v>874</v>
      </c>
      <c r="Z1230" t="s">
        <v>161</v>
      </c>
      <c r="AA1230" t="s">
        <v>149</v>
      </c>
      <c r="AB1230" t="s">
        <v>115</v>
      </c>
      <c r="AC1230">
        <v>1029</v>
      </c>
      <c r="AD1230" s="8" t="b">
        <f>AND(
 H1230&gt;=Filters!$B$3,
 H1230&lt;=Filters!$B$4,
 I1230&gt;=Filters!$B$5,
 OR(Filters!$B$6="All",B1230=Filters!$B$6),
 F1230&gt;=Filters!$B$7,
 F1230&lt;=Filters!$B$8,
 OR(Filters!$B$9="All",G1230=Filters!$B$9)
)</f>
        <v>0</v>
      </c>
      <c r="AE1230">
        <f t="shared" si="247"/>
        <v>6</v>
      </c>
      <c r="AF1230">
        <f t="shared" si="248"/>
        <v>7</v>
      </c>
      <c r="AG1230">
        <f t="shared" si="249"/>
        <v>7</v>
      </c>
      <c r="AH1230" s="9" t="str">
        <f t="shared" si="250"/>
        <v/>
      </c>
      <c r="AI1230" s="9" t="str">
        <f t="shared" si="251"/>
        <v/>
      </c>
      <c r="AJ1230" s="9" t="str">
        <f t="shared" si="252"/>
        <v/>
      </c>
      <c r="AK1230" s="9" t="str">
        <f t="shared" si="253"/>
        <v/>
      </c>
      <c r="AL1230" s="9" t="str">
        <f t="shared" si="254"/>
        <v/>
      </c>
      <c r="AM1230" s="9" t="str">
        <f t="shared" si="255"/>
        <v/>
      </c>
      <c r="AN1230" s="9" t="str">
        <f t="shared" si="256"/>
        <v/>
      </c>
      <c r="AO1230" s="9" t="str">
        <f t="shared" si="257"/>
        <v/>
      </c>
      <c r="AP1230" s="9" t="str">
        <f t="shared" si="258"/>
        <v/>
      </c>
      <c r="AQ1230" s="10" t="str">
        <f t="shared" si="259"/>
        <v/>
      </c>
    </row>
    <row r="1231" spans="1:43">
      <c r="A1231">
        <v>1230</v>
      </c>
      <c r="B1231" t="s">
        <v>30</v>
      </c>
      <c r="C1231" t="s">
        <v>1609</v>
      </c>
      <c r="D1231" t="s">
        <v>1610</v>
      </c>
      <c r="E1231" t="s">
        <v>158</v>
      </c>
      <c r="G1231" t="s">
        <v>18</v>
      </c>
      <c r="H1231" s="4">
        <v>31023000</v>
      </c>
      <c r="I1231" s="5">
        <v>128</v>
      </c>
      <c r="J1231" s="5">
        <v>1024</v>
      </c>
      <c r="K1231" s="5">
        <v>8</v>
      </c>
      <c r="L1231">
        <v>9.6</v>
      </c>
      <c r="M1231">
        <v>9.1999999999999993</v>
      </c>
      <c r="N1231">
        <v>5.92</v>
      </c>
      <c r="O1231" s="6">
        <v>15.6</v>
      </c>
      <c r="P1231" s="7">
        <v>2.2000000000000002</v>
      </c>
      <c r="U1231" t="s">
        <v>84</v>
      </c>
      <c r="V1231" t="s">
        <v>210</v>
      </c>
      <c r="W1231">
        <v>2.8</v>
      </c>
      <c r="X1231" t="s">
        <v>122</v>
      </c>
      <c r="Y1231" t="s">
        <v>160</v>
      </c>
      <c r="Z1231" t="s">
        <v>161</v>
      </c>
      <c r="AA1231" t="s">
        <v>101</v>
      </c>
      <c r="AB1231" t="s">
        <v>115</v>
      </c>
      <c r="AC1231">
        <v>1149</v>
      </c>
      <c r="AD1231" s="8" t="b">
        <f>AND(
 H1231&gt;=Filters!$B$3,
 H1231&lt;=Filters!$B$4,
 I1231&gt;=Filters!$B$5,
 OR(Filters!$B$6="All",B1231=Filters!$B$6),
 F1231&gt;=Filters!$B$7,
 F1231&lt;=Filters!$B$8,
 OR(Filters!$B$9="All",G1231=Filters!$B$9)
)</f>
        <v>0</v>
      </c>
      <c r="AE1231">
        <f t="shared" si="247"/>
        <v>6</v>
      </c>
      <c r="AF1231">
        <f t="shared" si="248"/>
        <v>7</v>
      </c>
      <c r="AG1231">
        <f t="shared" si="249"/>
        <v>7</v>
      </c>
      <c r="AH1231" s="9" t="str">
        <f t="shared" si="250"/>
        <v/>
      </c>
      <c r="AI1231" s="9" t="str">
        <f t="shared" si="251"/>
        <v/>
      </c>
      <c r="AJ1231" s="9" t="str">
        <f t="shared" si="252"/>
        <v/>
      </c>
      <c r="AK1231" s="9" t="str">
        <f t="shared" si="253"/>
        <v/>
      </c>
      <c r="AL1231" s="9" t="str">
        <f t="shared" si="254"/>
        <v/>
      </c>
      <c r="AM1231" s="9" t="str">
        <f t="shared" si="255"/>
        <v/>
      </c>
      <c r="AN1231" s="9" t="str">
        <f t="shared" si="256"/>
        <v/>
      </c>
      <c r="AO1231" s="9" t="str">
        <f t="shared" si="257"/>
        <v/>
      </c>
      <c r="AP1231" s="9" t="str">
        <f t="shared" si="258"/>
        <v/>
      </c>
      <c r="AQ1231" s="10" t="str">
        <f t="shared" si="259"/>
        <v/>
      </c>
    </row>
    <row r="1232" spans="1:43">
      <c r="A1232">
        <v>1231</v>
      </c>
      <c r="B1232" t="s">
        <v>29</v>
      </c>
      <c r="C1232" t="s">
        <v>1611</v>
      </c>
      <c r="D1232" t="s">
        <v>335</v>
      </c>
      <c r="E1232" t="s">
        <v>152</v>
      </c>
      <c r="G1232" t="s">
        <v>18</v>
      </c>
      <c r="H1232" s="4">
        <v>44550000</v>
      </c>
      <c r="I1232" s="5">
        <v>512</v>
      </c>
      <c r="J1232" s="5">
        <v>0</v>
      </c>
      <c r="K1232" s="5">
        <v>16</v>
      </c>
      <c r="L1232">
        <v>9</v>
      </c>
      <c r="M1232">
        <v>3.5</v>
      </c>
      <c r="N1232">
        <v>6.62</v>
      </c>
      <c r="O1232" s="6">
        <v>12.5</v>
      </c>
      <c r="P1232" s="7">
        <v>1.3</v>
      </c>
      <c r="U1232" t="s">
        <v>84</v>
      </c>
      <c r="V1232" t="s">
        <v>485</v>
      </c>
      <c r="W1232">
        <v>2.5</v>
      </c>
      <c r="X1232" t="s">
        <v>84</v>
      </c>
      <c r="Y1232" t="s">
        <v>130</v>
      </c>
      <c r="Z1232" t="s">
        <v>106</v>
      </c>
      <c r="AA1232" t="s">
        <v>149</v>
      </c>
      <c r="AB1232" t="s">
        <v>115</v>
      </c>
      <c r="AC1232">
        <v>1650</v>
      </c>
      <c r="AD1232" s="8" t="b">
        <f>AND(
 H1232&gt;=Filters!$B$3,
 H1232&lt;=Filters!$B$4,
 I1232&gt;=Filters!$B$5,
 OR(Filters!$B$6="All",B1232=Filters!$B$6),
 F1232&gt;=Filters!$B$7,
 F1232&lt;=Filters!$B$8,
 OR(Filters!$B$9="All",G1232=Filters!$B$9)
)</f>
        <v>0</v>
      </c>
      <c r="AE1232">
        <f t="shared" si="247"/>
        <v>6</v>
      </c>
      <c r="AF1232">
        <f t="shared" si="248"/>
        <v>7</v>
      </c>
      <c r="AG1232">
        <f t="shared" si="249"/>
        <v>7</v>
      </c>
      <c r="AH1232" s="9" t="str">
        <f t="shared" si="250"/>
        <v/>
      </c>
      <c r="AI1232" s="9" t="str">
        <f t="shared" si="251"/>
        <v/>
      </c>
      <c r="AJ1232" s="9" t="str">
        <f t="shared" si="252"/>
        <v/>
      </c>
      <c r="AK1232" s="9" t="str">
        <f t="shared" si="253"/>
        <v/>
      </c>
      <c r="AL1232" s="9" t="str">
        <f t="shared" si="254"/>
        <v/>
      </c>
      <c r="AM1232" s="9" t="str">
        <f t="shared" si="255"/>
        <v/>
      </c>
      <c r="AN1232" s="9" t="str">
        <f t="shared" si="256"/>
        <v/>
      </c>
      <c r="AO1232" s="9" t="str">
        <f t="shared" si="257"/>
        <v/>
      </c>
      <c r="AP1232" s="9" t="str">
        <f t="shared" si="258"/>
        <v/>
      </c>
      <c r="AQ1232" s="10" t="str">
        <f t="shared" si="259"/>
        <v/>
      </c>
    </row>
    <row r="1233" spans="1:43">
      <c r="A1233">
        <v>1232</v>
      </c>
      <c r="B1233" t="s">
        <v>33</v>
      </c>
      <c r="C1233" t="s">
        <v>453</v>
      </c>
      <c r="D1233" t="s">
        <v>454</v>
      </c>
      <c r="E1233" t="s">
        <v>158</v>
      </c>
      <c r="G1233" t="s">
        <v>18</v>
      </c>
      <c r="H1233" s="4">
        <v>94473000</v>
      </c>
      <c r="I1233" s="5">
        <v>1024</v>
      </c>
      <c r="J1233" s="5">
        <v>0</v>
      </c>
      <c r="K1233" s="5">
        <v>16</v>
      </c>
      <c r="L1233">
        <v>9.6</v>
      </c>
      <c r="M1233">
        <v>9.1999999999999993</v>
      </c>
      <c r="N1233">
        <v>6</v>
      </c>
      <c r="O1233" s="6">
        <v>14</v>
      </c>
      <c r="P1233" s="7">
        <v>1.95</v>
      </c>
      <c r="U1233" t="s">
        <v>84</v>
      </c>
      <c r="V1233" t="s">
        <v>210</v>
      </c>
      <c r="W1233">
        <v>2.8</v>
      </c>
      <c r="X1233" t="s">
        <v>122</v>
      </c>
      <c r="Y1233" t="s">
        <v>211</v>
      </c>
      <c r="Z1233" t="s">
        <v>445</v>
      </c>
      <c r="AA1233" t="s">
        <v>101</v>
      </c>
      <c r="AB1233" t="s">
        <v>115</v>
      </c>
      <c r="AC1233">
        <v>3499</v>
      </c>
      <c r="AD1233" s="8" t="b">
        <f>AND(
 H1233&gt;=Filters!$B$3,
 H1233&lt;=Filters!$B$4,
 I1233&gt;=Filters!$B$5,
 OR(Filters!$B$6="All",B1233=Filters!$B$6),
 F1233&gt;=Filters!$B$7,
 F1233&lt;=Filters!$B$8,
 OR(Filters!$B$9="All",G1233=Filters!$B$9)
)</f>
        <v>0</v>
      </c>
      <c r="AE1233">
        <f t="shared" si="247"/>
        <v>6</v>
      </c>
      <c r="AF1233">
        <f t="shared" si="248"/>
        <v>7</v>
      </c>
      <c r="AG1233">
        <f t="shared" si="249"/>
        <v>7</v>
      </c>
      <c r="AH1233" s="9" t="str">
        <f t="shared" si="250"/>
        <v/>
      </c>
      <c r="AI1233" s="9" t="str">
        <f t="shared" si="251"/>
        <v/>
      </c>
      <c r="AJ1233" s="9" t="str">
        <f t="shared" si="252"/>
        <v/>
      </c>
      <c r="AK1233" s="9" t="str">
        <f t="shared" si="253"/>
        <v/>
      </c>
      <c r="AL1233" s="9" t="str">
        <f t="shared" si="254"/>
        <v/>
      </c>
      <c r="AM1233" s="9" t="str">
        <f t="shared" si="255"/>
        <v/>
      </c>
      <c r="AN1233" s="9" t="str">
        <f t="shared" si="256"/>
        <v/>
      </c>
      <c r="AO1233" s="9" t="str">
        <f t="shared" si="257"/>
        <v/>
      </c>
      <c r="AP1233" s="9" t="str">
        <f t="shared" si="258"/>
        <v/>
      </c>
      <c r="AQ1233" s="10" t="str">
        <f t="shared" si="259"/>
        <v/>
      </c>
    </row>
    <row r="1234" spans="1:43">
      <c r="A1234">
        <v>1233</v>
      </c>
      <c r="B1234" t="s">
        <v>23</v>
      </c>
      <c r="C1234" t="s">
        <v>132</v>
      </c>
      <c r="D1234" t="s">
        <v>133</v>
      </c>
      <c r="E1234" t="s">
        <v>97</v>
      </c>
      <c r="G1234" t="s">
        <v>18</v>
      </c>
      <c r="H1234" s="4">
        <v>12663270</v>
      </c>
      <c r="I1234" s="5">
        <v>0</v>
      </c>
      <c r="J1234" s="5">
        <v>1024</v>
      </c>
      <c r="K1234" s="5">
        <v>8</v>
      </c>
      <c r="L1234">
        <v>4.8</v>
      </c>
      <c r="M1234">
        <v>3.5</v>
      </c>
      <c r="N1234">
        <v>4.22</v>
      </c>
      <c r="O1234" s="6">
        <v>15.6</v>
      </c>
      <c r="P1234" s="7">
        <v>2.2999999999999998</v>
      </c>
      <c r="U1234" t="s">
        <v>84</v>
      </c>
      <c r="V1234" t="s">
        <v>144</v>
      </c>
      <c r="W1234">
        <v>2.4</v>
      </c>
      <c r="X1234" t="s">
        <v>84</v>
      </c>
      <c r="Y1234" t="s">
        <v>99</v>
      </c>
      <c r="Z1234" t="s">
        <v>146</v>
      </c>
      <c r="AA1234" t="s">
        <v>472</v>
      </c>
      <c r="AB1234" t="s">
        <v>115</v>
      </c>
      <c r="AC1234">
        <v>469.01</v>
      </c>
      <c r="AD1234" s="8" t="b">
        <f>AND(
 H1234&gt;=Filters!$B$3,
 H1234&lt;=Filters!$B$4,
 I1234&gt;=Filters!$B$5,
 OR(Filters!$B$6="All",B1234=Filters!$B$6),
 F1234&gt;=Filters!$B$7,
 F1234&lt;=Filters!$B$8,
 OR(Filters!$B$9="All",G1234=Filters!$B$9)
)</f>
        <v>0</v>
      </c>
      <c r="AE1234">
        <f t="shared" si="247"/>
        <v>6</v>
      </c>
      <c r="AF1234">
        <f t="shared" si="248"/>
        <v>7</v>
      </c>
      <c r="AG1234">
        <f t="shared" si="249"/>
        <v>7</v>
      </c>
      <c r="AH1234" s="9" t="str">
        <f t="shared" si="250"/>
        <v/>
      </c>
      <c r="AI1234" s="9" t="str">
        <f t="shared" si="251"/>
        <v/>
      </c>
      <c r="AJ1234" s="9" t="str">
        <f t="shared" si="252"/>
        <v/>
      </c>
      <c r="AK1234" s="9" t="str">
        <f t="shared" si="253"/>
        <v/>
      </c>
      <c r="AL1234" s="9" t="str">
        <f t="shared" si="254"/>
        <v/>
      </c>
      <c r="AM1234" s="9" t="str">
        <f t="shared" si="255"/>
        <v/>
      </c>
      <c r="AN1234" s="9" t="str">
        <f t="shared" si="256"/>
        <v/>
      </c>
      <c r="AO1234" s="9" t="str">
        <f t="shared" si="257"/>
        <v/>
      </c>
      <c r="AP1234" s="9" t="str">
        <f t="shared" si="258"/>
        <v/>
      </c>
      <c r="AQ1234" s="10" t="str">
        <f t="shared" si="259"/>
        <v/>
      </c>
    </row>
    <row r="1235" spans="1:43">
      <c r="A1235">
        <v>1234</v>
      </c>
      <c r="B1235" t="s">
        <v>30</v>
      </c>
      <c r="C1235" t="s">
        <v>1612</v>
      </c>
      <c r="D1235" t="s">
        <v>1613</v>
      </c>
      <c r="E1235" t="s">
        <v>158</v>
      </c>
      <c r="G1235" t="s">
        <v>18</v>
      </c>
      <c r="H1235" s="4">
        <v>43146000</v>
      </c>
      <c r="I1235" s="5">
        <v>256</v>
      </c>
      <c r="J1235" s="5">
        <v>1024</v>
      </c>
      <c r="K1235" s="5">
        <v>16</v>
      </c>
      <c r="L1235">
        <v>9.6</v>
      </c>
      <c r="M1235">
        <v>9.1999999999999993</v>
      </c>
      <c r="N1235">
        <v>5.83</v>
      </c>
      <c r="O1235" s="6">
        <v>17.3</v>
      </c>
      <c r="P1235" s="7">
        <v>2.7</v>
      </c>
      <c r="U1235" t="s">
        <v>84</v>
      </c>
      <c r="V1235" t="s">
        <v>210</v>
      </c>
      <c r="W1235">
        <v>2.8</v>
      </c>
      <c r="X1235" t="s">
        <v>122</v>
      </c>
      <c r="Y1235" t="s">
        <v>211</v>
      </c>
      <c r="Z1235" t="s">
        <v>212</v>
      </c>
      <c r="AA1235" t="s">
        <v>101</v>
      </c>
      <c r="AB1235" t="s">
        <v>115</v>
      </c>
      <c r="AC1235">
        <v>1598</v>
      </c>
      <c r="AD1235" s="8" t="b">
        <f>AND(
 H1235&gt;=Filters!$B$3,
 H1235&lt;=Filters!$B$4,
 I1235&gt;=Filters!$B$5,
 OR(Filters!$B$6="All",B1235=Filters!$B$6),
 F1235&gt;=Filters!$B$7,
 F1235&lt;=Filters!$B$8,
 OR(Filters!$B$9="All",G1235=Filters!$B$9)
)</f>
        <v>0</v>
      </c>
      <c r="AE1235">
        <f t="shared" si="247"/>
        <v>6</v>
      </c>
      <c r="AF1235">
        <f t="shared" si="248"/>
        <v>7</v>
      </c>
      <c r="AG1235">
        <f t="shared" si="249"/>
        <v>7</v>
      </c>
      <c r="AH1235" s="9" t="str">
        <f t="shared" si="250"/>
        <v/>
      </c>
      <c r="AI1235" s="9" t="str">
        <f t="shared" si="251"/>
        <v/>
      </c>
      <c r="AJ1235" s="9" t="str">
        <f t="shared" si="252"/>
        <v/>
      </c>
      <c r="AK1235" s="9" t="str">
        <f t="shared" si="253"/>
        <v/>
      </c>
      <c r="AL1235" s="9" t="str">
        <f t="shared" si="254"/>
        <v/>
      </c>
      <c r="AM1235" s="9" t="str">
        <f t="shared" si="255"/>
        <v/>
      </c>
      <c r="AN1235" s="9" t="str">
        <f t="shared" si="256"/>
        <v/>
      </c>
      <c r="AO1235" s="9" t="str">
        <f t="shared" si="257"/>
        <v/>
      </c>
      <c r="AP1235" s="9" t="str">
        <f t="shared" si="258"/>
        <v/>
      </c>
      <c r="AQ1235" s="10" t="str">
        <f t="shared" si="259"/>
        <v/>
      </c>
    </row>
    <row r="1236" spans="1:43">
      <c r="A1236">
        <v>1235</v>
      </c>
      <c r="B1236" t="s">
        <v>19</v>
      </c>
      <c r="C1236" t="s">
        <v>172</v>
      </c>
      <c r="D1236" t="s">
        <v>173</v>
      </c>
      <c r="E1236" t="s">
        <v>83</v>
      </c>
      <c r="G1236" t="s">
        <v>18</v>
      </c>
      <c r="H1236" s="4">
        <v>25893000</v>
      </c>
      <c r="I1236" s="5">
        <v>256</v>
      </c>
      <c r="J1236" s="5">
        <v>0</v>
      </c>
      <c r="K1236" s="5">
        <v>4</v>
      </c>
      <c r="L1236">
        <v>5.2</v>
      </c>
      <c r="M1236">
        <v>3.5</v>
      </c>
      <c r="N1236">
        <v>3.88</v>
      </c>
      <c r="O1236" s="6">
        <v>11.6</v>
      </c>
      <c r="P1236" s="7">
        <v>1.08</v>
      </c>
      <c r="U1236" t="s">
        <v>84</v>
      </c>
      <c r="V1236" t="s">
        <v>85</v>
      </c>
      <c r="W1236">
        <v>1.6</v>
      </c>
      <c r="X1236" t="s">
        <v>84</v>
      </c>
      <c r="Y1236" t="s">
        <v>92</v>
      </c>
      <c r="Z1236" t="s">
        <v>117</v>
      </c>
      <c r="AA1236" t="s">
        <v>114</v>
      </c>
      <c r="AB1236" t="s">
        <v>118</v>
      </c>
      <c r="AC1236">
        <v>959</v>
      </c>
      <c r="AD1236" s="8" t="b">
        <f>AND(
 H1236&gt;=Filters!$B$3,
 H1236&lt;=Filters!$B$4,
 I1236&gt;=Filters!$B$5,
 OR(Filters!$B$6="All",B1236=Filters!$B$6),
 F1236&gt;=Filters!$B$7,
 F1236&lt;=Filters!$B$8,
 OR(Filters!$B$9="All",G1236=Filters!$B$9)
)</f>
        <v>0</v>
      </c>
      <c r="AE1236">
        <f t="shared" si="247"/>
        <v>6</v>
      </c>
      <c r="AF1236">
        <f t="shared" si="248"/>
        <v>7</v>
      </c>
      <c r="AG1236">
        <f t="shared" si="249"/>
        <v>7</v>
      </c>
      <c r="AH1236" s="9" t="str">
        <f t="shared" si="250"/>
        <v/>
      </c>
      <c r="AI1236" s="9" t="str">
        <f t="shared" si="251"/>
        <v/>
      </c>
      <c r="AJ1236" s="9" t="str">
        <f t="shared" si="252"/>
        <v/>
      </c>
      <c r="AK1236" s="9" t="str">
        <f t="shared" si="253"/>
        <v/>
      </c>
      <c r="AL1236" s="9" t="str">
        <f t="shared" si="254"/>
        <v/>
      </c>
      <c r="AM1236" s="9" t="str">
        <f t="shared" si="255"/>
        <v/>
      </c>
      <c r="AN1236" s="9" t="str">
        <f t="shared" si="256"/>
        <v/>
      </c>
      <c r="AO1236" s="9" t="str">
        <f t="shared" si="257"/>
        <v/>
      </c>
      <c r="AP1236" s="9" t="str">
        <f t="shared" si="258"/>
        <v/>
      </c>
      <c r="AQ1236" s="10" t="str">
        <f t="shared" si="259"/>
        <v/>
      </c>
    </row>
    <row r="1237" spans="1:43">
      <c r="A1237">
        <v>1236</v>
      </c>
      <c r="B1237" t="s">
        <v>26</v>
      </c>
      <c r="C1237" t="s">
        <v>1614</v>
      </c>
      <c r="D1237" t="s">
        <v>1615</v>
      </c>
      <c r="E1237" t="s">
        <v>97</v>
      </c>
      <c r="G1237" t="s">
        <v>18</v>
      </c>
      <c r="H1237" s="4">
        <v>12906000</v>
      </c>
      <c r="I1237" s="5">
        <v>0</v>
      </c>
      <c r="J1237" s="5">
        <v>1024</v>
      </c>
      <c r="K1237" s="5">
        <v>4</v>
      </c>
      <c r="L1237">
        <v>4</v>
      </c>
      <c r="M1237">
        <v>3.5</v>
      </c>
      <c r="N1237">
        <v>5.92</v>
      </c>
      <c r="O1237" s="6">
        <v>15.6</v>
      </c>
      <c r="P1237" s="7">
        <v>2.1</v>
      </c>
      <c r="U1237" t="s">
        <v>84</v>
      </c>
      <c r="V1237" t="s">
        <v>129</v>
      </c>
      <c r="W1237">
        <v>2</v>
      </c>
      <c r="X1237" t="s">
        <v>84</v>
      </c>
      <c r="Y1237" t="s">
        <v>130</v>
      </c>
      <c r="Z1237" t="s">
        <v>146</v>
      </c>
      <c r="AA1237" t="s">
        <v>101</v>
      </c>
      <c r="AB1237" t="s">
        <v>115</v>
      </c>
      <c r="AC1237">
        <v>478</v>
      </c>
      <c r="AD1237" s="8" t="b">
        <f>AND(
 H1237&gt;=Filters!$B$3,
 H1237&lt;=Filters!$B$4,
 I1237&gt;=Filters!$B$5,
 OR(Filters!$B$6="All",B1237=Filters!$B$6),
 F1237&gt;=Filters!$B$7,
 F1237&lt;=Filters!$B$8,
 OR(Filters!$B$9="All",G1237=Filters!$B$9)
)</f>
        <v>0</v>
      </c>
      <c r="AE1237">
        <f t="shared" si="247"/>
        <v>6</v>
      </c>
      <c r="AF1237">
        <f t="shared" si="248"/>
        <v>7</v>
      </c>
      <c r="AG1237">
        <f t="shared" si="249"/>
        <v>7</v>
      </c>
      <c r="AH1237" s="9" t="str">
        <f t="shared" si="250"/>
        <v/>
      </c>
      <c r="AI1237" s="9" t="str">
        <f t="shared" si="251"/>
        <v/>
      </c>
      <c r="AJ1237" s="9" t="str">
        <f t="shared" si="252"/>
        <v/>
      </c>
      <c r="AK1237" s="9" t="str">
        <f t="shared" si="253"/>
        <v/>
      </c>
      <c r="AL1237" s="9" t="str">
        <f t="shared" si="254"/>
        <v/>
      </c>
      <c r="AM1237" s="9" t="str">
        <f t="shared" si="255"/>
        <v/>
      </c>
      <c r="AN1237" s="9" t="str">
        <f t="shared" si="256"/>
        <v/>
      </c>
      <c r="AO1237" s="9" t="str">
        <f t="shared" si="257"/>
        <v/>
      </c>
      <c r="AP1237" s="9" t="str">
        <f t="shared" si="258"/>
        <v/>
      </c>
      <c r="AQ1237" s="10" t="str">
        <f t="shared" si="259"/>
        <v/>
      </c>
    </row>
    <row r="1238" spans="1:43">
      <c r="A1238">
        <v>1237</v>
      </c>
      <c r="B1238" t="s">
        <v>26</v>
      </c>
      <c r="C1238" t="s">
        <v>398</v>
      </c>
      <c r="D1238" t="s">
        <v>399</v>
      </c>
      <c r="E1238" t="s">
        <v>83</v>
      </c>
      <c r="G1238" t="s">
        <v>18</v>
      </c>
      <c r="H1238" s="4">
        <v>59351130</v>
      </c>
      <c r="I1238" s="5">
        <v>256</v>
      </c>
      <c r="J1238" s="5">
        <v>0</v>
      </c>
      <c r="K1238" s="5">
        <v>8</v>
      </c>
      <c r="L1238">
        <v>9</v>
      </c>
      <c r="M1238">
        <v>3.5</v>
      </c>
      <c r="N1238">
        <v>7</v>
      </c>
      <c r="O1238" s="6">
        <v>14</v>
      </c>
      <c r="P1238" s="7">
        <v>1.54</v>
      </c>
      <c r="U1238" t="s">
        <v>84</v>
      </c>
      <c r="V1238" t="s">
        <v>485</v>
      </c>
      <c r="W1238">
        <v>2.5</v>
      </c>
      <c r="X1238" t="s">
        <v>84</v>
      </c>
      <c r="Y1238" t="s">
        <v>130</v>
      </c>
      <c r="Z1238" t="s">
        <v>100</v>
      </c>
      <c r="AA1238" t="s">
        <v>763</v>
      </c>
      <c r="AB1238" t="s">
        <v>869</v>
      </c>
      <c r="AC1238">
        <v>2198.19</v>
      </c>
      <c r="AD1238" s="8" t="b">
        <f>AND(
 H1238&gt;=Filters!$B$3,
 H1238&lt;=Filters!$B$4,
 I1238&gt;=Filters!$B$5,
 OR(Filters!$B$6="All",B1238=Filters!$B$6),
 F1238&gt;=Filters!$B$7,
 F1238&lt;=Filters!$B$8,
 OR(Filters!$B$9="All",G1238=Filters!$B$9)
)</f>
        <v>0</v>
      </c>
      <c r="AE1238">
        <f t="shared" si="247"/>
        <v>6</v>
      </c>
      <c r="AF1238">
        <f t="shared" si="248"/>
        <v>7</v>
      </c>
      <c r="AG1238">
        <f t="shared" si="249"/>
        <v>7</v>
      </c>
      <c r="AH1238" s="9" t="str">
        <f t="shared" si="250"/>
        <v/>
      </c>
      <c r="AI1238" s="9" t="str">
        <f t="shared" si="251"/>
        <v/>
      </c>
      <c r="AJ1238" s="9" t="str">
        <f t="shared" si="252"/>
        <v/>
      </c>
      <c r="AK1238" s="9" t="str">
        <f t="shared" si="253"/>
        <v/>
      </c>
      <c r="AL1238" s="9" t="str">
        <f t="shared" si="254"/>
        <v/>
      </c>
      <c r="AM1238" s="9" t="str">
        <f t="shared" si="255"/>
        <v/>
      </c>
      <c r="AN1238" s="9" t="str">
        <f t="shared" si="256"/>
        <v/>
      </c>
      <c r="AO1238" s="9" t="str">
        <f t="shared" si="257"/>
        <v/>
      </c>
      <c r="AP1238" s="9" t="str">
        <f t="shared" si="258"/>
        <v/>
      </c>
      <c r="AQ1238" s="10" t="str">
        <f t="shared" si="259"/>
        <v/>
      </c>
    </row>
    <row r="1239" spans="1:43">
      <c r="A1239">
        <v>1238</v>
      </c>
      <c r="B1239" t="s">
        <v>23</v>
      </c>
      <c r="C1239" t="s">
        <v>1492</v>
      </c>
      <c r="D1239" t="s">
        <v>1493</v>
      </c>
      <c r="E1239" t="s">
        <v>97</v>
      </c>
      <c r="G1239" t="s">
        <v>18</v>
      </c>
      <c r="H1239" s="4">
        <v>19899000</v>
      </c>
      <c r="I1239" s="5">
        <v>0</v>
      </c>
      <c r="J1239" s="5">
        <v>500</v>
      </c>
      <c r="K1239" s="5">
        <v>4</v>
      </c>
      <c r="L1239">
        <v>6.6</v>
      </c>
      <c r="M1239">
        <v>3.5</v>
      </c>
      <c r="N1239">
        <v>3.92</v>
      </c>
      <c r="O1239" s="6">
        <v>15.6</v>
      </c>
      <c r="P1239" s="7">
        <v>2.2400000000000002</v>
      </c>
      <c r="U1239" t="s">
        <v>84</v>
      </c>
      <c r="V1239" t="s">
        <v>375</v>
      </c>
      <c r="W1239">
        <v>2.2999999999999998</v>
      </c>
      <c r="X1239" t="s">
        <v>84</v>
      </c>
      <c r="Y1239" t="s">
        <v>130</v>
      </c>
      <c r="Z1239" t="s">
        <v>113</v>
      </c>
      <c r="AA1239" t="s">
        <v>114</v>
      </c>
      <c r="AB1239" t="s">
        <v>869</v>
      </c>
      <c r="AC1239">
        <v>737</v>
      </c>
      <c r="AD1239" s="8" t="b">
        <f>AND(
 H1239&gt;=Filters!$B$3,
 H1239&lt;=Filters!$B$4,
 I1239&gt;=Filters!$B$5,
 OR(Filters!$B$6="All",B1239=Filters!$B$6),
 F1239&gt;=Filters!$B$7,
 F1239&lt;=Filters!$B$8,
 OR(Filters!$B$9="All",G1239=Filters!$B$9)
)</f>
        <v>0</v>
      </c>
      <c r="AE1239">
        <f t="shared" si="247"/>
        <v>6</v>
      </c>
      <c r="AF1239">
        <f t="shared" si="248"/>
        <v>7</v>
      </c>
      <c r="AG1239">
        <f t="shared" si="249"/>
        <v>7</v>
      </c>
      <c r="AH1239" s="9" t="str">
        <f t="shared" si="250"/>
        <v/>
      </c>
      <c r="AI1239" s="9" t="str">
        <f t="shared" si="251"/>
        <v/>
      </c>
      <c r="AJ1239" s="9" t="str">
        <f t="shared" si="252"/>
        <v/>
      </c>
      <c r="AK1239" s="9" t="str">
        <f t="shared" si="253"/>
        <v/>
      </c>
      <c r="AL1239" s="9" t="str">
        <f t="shared" si="254"/>
        <v/>
      </c>
      <c r="AM1239" s="9" t="str">
        <f t="shared" si="255"/>
        <v/>
      </c>
      <c r="AN1239" s="9" t="str">
        <f t="shared" si="256"/>
        <v/>
      </c>
      <c r="AO1239" s="9" t="str">
        <f t="shared" si="257"/>
        <v/>
      </c>
      <c r="AP1239" s="9" t="str">
        <f t="shared" si="258"/>
        <v/>
      </c>
      <c r="AQ1239" s="10" t="str">
        <f t="shared" si="259"/>
        <v/>
      </c>
    </row>
    <row r="1240" spans="1:43">
      <c r="A1240">
        <v>1239</v>
      </c>
      <c r="B1240" t="s">
        <v>30</v>
      </c>
      <c r="C1240" t="s">
        <v>1616</v>
      </c>
      <c r="D1240" t="s">
        <v>1617</v>
      </c>
      <c r="E1240" t="s">
        <v>158</v>
      </c>
      <c r="G1240" t="s">
        <v>18</v>
      </c>
      <c r="H1240" s="4">
        <v>31563000</v>
      </c>
      <c r="I1240" s="5">
        <v>128</v>
      </c>
      <c r="J1240" s="5">
        <v>1024</v>
      </c>
      <c r="K1240" s="5">
        <v>8</v>
      </c>
      <c r="L1240">
        <v>9.1999999999999993</v>
      </c>
      <c r="M1240">
        <v>9.1999999999999993</v>
      </c>
      <c r="N1240">
        <v>5.92</v>
      </c>
      <c r="O1240" s="6">
        <v>15.6</v>
      </c>
      <c r="P1240" s="7">
        <v>2.2999999999999998</v>
      </c>
      <c r="U1240" t="s">
        <v>84</v>
      </c>
      <c r="V1240" t="s">
        <v>808</v>
      </c>
      <c r="W1240">
        <v>2.6</v>
      </c>
      <c r="X1240" t="s">
        <v>122</v>
      </c>
      <c r="Y1240" t="s">
        <v>874</v>
      </c>
      <c r="Z1240" t="s">
        <v>161</v>
      </c>
      <c r="AA1240" t="s">
        <v>101</v>
      </c>
      <c r="AB1240" t="s">
        <v>115</v>
      </c>
      <c r="AC1240">
        <v>1169</v>
      </c>
      <c r="AD1240" s="8" t="b">
        <f>AND(
 H1240&gt;=Filters!$B$3,
 H1240&lt;=Filters!$B$4,
 I1240&gt;=Filters!$B$5,
 OR(Filters!$B$6="All",B1240=Filters!$B$6),
 F1240&gt;=Filters!$B$7,
 F1240&lt;=Filters!$B$8,
 OR(Filters!$B$9="All",G1240=Filters!$B$9)
)</f>
        <v>0</v>
      </c>
      <c r="AE1240">
        <f t="shared" si="247"/>
        <v>6</v>
      </c>
      <c r="AF1240">
        <f t="shared" si="248"/>
        <v>7</v>
      </c>
      <c r="AG1240">
        <f t="shared" si="249"/>
        <v>7</v>
      </c>
      <c r="AH1240" s="9" t="str">
        <f t="shared" si="250"/>
        <v/>
      </c>
      <c r="AI1240" s="9" t="str">
        <f t="shared" si="251"/>
        <v/>
      </c>
      <c r="AJ1240" s="9" t="str">
        <f t="shared" si="252"/>
        <v/>
      </c>
      <c r="AK1240" s="9" t="str">
        <f t="shared" si="253"/>
        <v/>
      </c>
      <c r="AL1240" s="9" t="str">
        <f t="shared" si="254"/>
        <v/>
      </c>
      <c r="AM1240" s="9" t="str">
        <f t="shared" si="255"/>
        <v/>
      </c>
      <c r="AN1240" s="9" t="str">
        <f t="shared" si="256"/>
        <v/>
      </c>
      <c r="AO1240" s="9" t="str">
        <f t="shared" si="257"/>
        <v/>
      </c>
      <c r="AP1240" s="9" t="str">
        <f t="shared" si="258"/>
        <v/>
      </c>
      <c r="AQ1240" s="10" t="str">
        <f t="shared" si="259"/>
        <v/>
      </c>
    </row>
    <row r="1241" spans="1:43">
      <c r="A1241">
        <v>1240</v>
      </c>
      <c r="B1241" t="s">
        <v>29</v>
      </c>
      <c r="C1241" t="s">
        <v>602</v>
      </c>
      <c r="D1241" t="s">
        <v>603</v>
      </c>
      <c r="E1241" t="s">
        <v>97</v>
      </c>
      <c r="G1241" t="s">
        <v>18</v>
      </c>
      <c r="H1241" s="4">
        <v>40473000</v>
      </c>
      <c r="I1241" s="5">
        <v>512</v>
      </c>
      <c r="J1241" s="5">
        <v>0</v>
      </c>
      <c r="K1241" s="5">
        <v>16</v>
      </c>
      <c r="L1241">
        <v>9.4</v>
      </c>
      <c r="M1241">
        <v>3.5</v>
      </c>
      <c r="N1241">
        <v>6.37</v>
      </c>
      <c r="O1241" s="6">
        <v>13.3</v>
      </c>
      <c r="P1241" s="7">
        <v>1.4</v>
      </c>
      <c r="U1241" t="s">
        <v>84</v>
      </c>
      <c r="V1241" t="s">
        <v>140</v>
      </c>
      <c r="W1241">
        <v>2.7</v>
      </c>
      <c r="X1241" t="s">
        <v>84</v>
      </c>
      <c r="Y1241" t="s">
        <v>99</v>
      </c>
      <c r="Z1241" t="s">
        <v>106</v>
      </c>
      <c r="AA1241" t="s">
        <v>128</v>
      </c>
      <c r="AB1241" t="s">
        <v>115</v>
      </c>
      <c r="AC1241">
        <v>1499</v>
      </c>
      <c r="AD1241" s="8" t="b">
        <f>AND(
 H1241&gt;=Filters!$B$3,
 H1241&lt;=Filters!$B$4,
 I1241&gt;=Filters!$B$5,
 OR(Filters!$B$6="All",B1241=Filters!$B$6),
 F1241&gt;=Filters!$B$7,
 F1241&lt;=Filters!$B$8,
 OR(Filters!$B$9="All",G1241=Filters!$B$9)
)</f>
        <v>0</v>
      </c>
      <c r="AE1241">
        <f t="shared" si="247"/>
        <v>6</v>
      </c>
      <c r="AF1241">
        <f t="shared" si="248"/>
        <v>7</v>
      </c>
      <c r="AG1241">
        <f t="shared" si="249"/>
        <v>7</v>
      </c>
      <c r="AH1241" s="9" t="str">
        <f t="shared" si="250"/>
        <v/>
      </c>
      <c r="AI1241" s="9" t="str">
        <f t="shared" si="251"/>
        <v/>
      </c>
      <c r="AJ1241" s="9" t="str">
        <f t="shared" si="252"/>
        <v/>
      </c>
      <c r="AK1241" s="9" t="str">
        <f t="shared" si="253"/>
        <v/>
      </c>
      <c r="AL1241" s="9" t="str">
        <f t="shared" si="254"/>
        <v/>
      </c>
      <c r="AM1241" s="9" t="str">
        <f t="shared" si="255"/>
        <v/>
      </c>
      <c r="AN1241" s="9" t="str">
        <f t="shared" si="256"/>
        <v/>
      </c>
      <c r="AO1241" s="9" t="str">
        <f t="shared" si="257"/>
        <v/>
      </c>
      <c r="AP1241" s="9" t="str">
        <f t="shared" si="258"/>
        <v/>
      </c>
      <c r="AQ1241" s="10" t="str">
        <f t="shared" si="259"/>
        <v/>
      </c>
    </row>
    <row r="1242" spans="1:43">
      <c r="A1242">
        <v>1241</v>
      </c>
      <c r="B1242" t="s">
        <v>29</v>
      </c>
      <c r="C1242" t="s">
        <v>641</v>
      </c>
      <c r="D1242" t="s">
        <v>642</v>
      </c>
      <c r="E1242" t="s">
        <v>97</v>
      </c>
      <c r="G1242" t="s">
        <v>18</v>
      </c>
      <c r="H1242" s="4">
        <v>16134390</v>
      </c>
      <c r="I1242" s="5">
        <v>256</v>
      </c>
      <c r="J1242" s="5">
        <v>0</v>
      </c>
      <c r="K1242" s="5">
        <v>6</v>
      </c>
      <c r="L1242">
        <v>8.1999999999999993</v>
      </c>
      <c r="M1242">
        <v>6.5</v>
      </c>
      <c r="N1242">
        <v>5.92</v>
      </c>
      <c r="O1242" s="6">
        <v>15.6</v>
      </c>
      <c r="P1242" s="7">
        <v>2.2000000000000002</v>
      </c>
      <c r="U1242" t="s">
        <v>104</v>
      </c>
      <c r="V1242" t="s">
        <v>618</v>
      </c>
      <c r="W1242">
        <v>3.6</v>
      </c>
      <c r="X1242" t="s">
        <v>104</v>
      </c>
      <c r="Y1242" t="s">
        <v>176</v>
      </c>
      <c r="Z1242" t="s">
        <v>100</v>
      </c>
      <c r="AA1242" t="s">
        <v>101</v>
      </c>
      <c r="AB1242" t="s">
        <v>115</v>
      </c>
      <c r="AC1242">
        <v>597.57000000000005</v>
      </c>
      <c r="AD1242" s="8" t="b">
        <f>AND(
 H1242&gt;=Filters!$B$3,
 H1242&lt;=Filters!$B$4,
 I1242&gt;=Filters!$B$5,
 OR(Filters!$B$6="All",B1242=Filters!$B$6),
 F1242&gt;=Filters!$B$7,
 F1242&lt;=Filters!$B$8,
 OR(Filters!$B$9="All",G1242=Filters!$B$9)
)</f>
        <v>1</v>
      </c>
      <c r="AE1242">
        <f t="shared" si="247"/>
        <v>6</v>
      </c>
      <c r="AF1242">
        <f t="shared" si="248"/>
        <v>7</v>
      </c>
      <c r="AG1242">
        <f t="shared" si="249"/>
        <v>7</v>
      </c>
      <c r="AH1242" s="9">
        <f t="shared" si="250"/>
        <v>0.83333333333333315</v>
      </c>
      <c r="AI1242" s="9">
        <f t="shared" si="251"/>
        <v>0.5714285714285714</v>
      </c>
      <c r="AJ1242" s="9">
        <f t="shared" si="252"/>
        <v>0.63095238095238093</v>
      </c>
      <c r="AK1242" s="9">
        <f t="shared" si="253"/>
        <v>0.56190476190476191</v>
      </c>
      <c r="AL1242" s="9">
        <f t="shared" si="254"/>
        <v>0.88095238095238082</v>
      </c>
      <c r="AM1242" s="9">
        <f t="shared" si="255"/>
        <v>0.5714285714285714</v>
      </c>
      <c r="AN1242" s="9">
        <f t="shared" si="256"/>
        <v>0.69047619047619047</v>
      </c>
      <c r="AO1242" s="9">
        <f t="shared" si="257"/>
        <v>0.69047619047619047</v>
      </c>
      <c r="AP1242" s="9">
        <f t="shared" si="258"/>
        <v>0.67709270242379549</v>
      </c>
      <c r="AQ1242" s="10">
        <f t="shared" si="259"/>
        <v>0.67709394442379545</v>
      </c>
    </row>
    <row r="1243" spans="1:43">
      <c r="A1243">
        <v>1242</v>
      </c>
      <c r="B1243" t="s">
        <v>21</v>
      </c>
      <c r="C1243" t="s">
        <v>1618</v>
      </c>
      <c r="D1243" t="s">
        <v>1619</v>
      </c>
      <c r="E1243" t="s">
        <v>83</v>
      </c>
      <c r="G1243" t="s">
        <v>18</v>
      </c>
      <c r="H1243" s="4">
        <v>34560000</v>
      </c>
      <c r="I1243" s="5">
        <v>256</v>
      </c>
      <c r="J1243" s="5">
        <v>0</v>
      </c>
      <c r="K1243" s="5">
        <v>8</v>
      </c>
      <c r="L1243">
        <v>9</v>
      </c>
      <c r="M1243">
        <v>3.5</v>
      </c>
      <c r="N1243">
        <v>5.96</v>
      </c>
      <c r="O1243" s="6">
        <v>13.3</v>
      </c>
      <c r="P1243" s="7">
        <v>1.45</v>
      </c>
      <c r="U1243" t="s">
        <v>84</v>
      </c>
      <c r="V1243" t="s">
        <v>485</v>
      </c>
      <c r="W1243">
        <v>2.5</v>
      </c>
      <c r="X1243" t="s">
        <v>84</v>
      </c>
      <c r="Y1243" t="s">
        <v>130</v>
      </c>
      <c r="Z1243" t="s">
        <v>100</v>
      </c>
      <c r="AA1243" t="s">
        <v>101</v>
      </c>
      <c r="AB1243" t="s">
        <v>115</v>
      </c>
      <c r="AC1243">
        <v>1280</v>
      </c>
      <c r="AD1243" s="8" t="b">
        <f>AND(
 H1243&gt;=Filters!$B$3,
 H1243&lt;=Filters!$B$4,
 I1243&gt;=Filters!$B$5,
 OR(Filters!$B$6="All",B1243=Filters!$B$6),
 F1243&gt;=Filters!$B$7,
 F1243&lt;=Filters!$B$8,
 OR(Filters!$B$9="All",G1243=Filters!$B$9)
)</f>
        <v>0</v>
      </c>
      <c r="AE1243">
        <f t="shared" si="247"/>
        <v>6</v>
      </c>
      <c r="AF1243">
        <f t="shared" si="248"/>
        <v>7</v>
      </c>
      <c r="AG1243">
        <f t="shared" si="249"/>
        <v>7</v>
      </c>
      <c r="AH1243" s="9" t="str">
        <f t="shared" si="250"/>
        <v/>
      </c>
      <c r="AI1243" s="9" t="str">
        <f t="shared" si="251"/>
        <v/>
      </c>
      <c r="AJ1243" s="9" t="str">
        <f t="shared" si="252"/>
        <v/>
      </c>
      <c r="AK1243" s="9" t="str">
        <f t="shared" si="253"/>
        <v/>
      </c>
      <c r="AL1243" s="9" t="str">
        <f t="shared" si="254"/>
        <v/>
      </c>
      <c r="AM1243" s="9" t="str">
        <f t="shared" si="255"/>
        <v/>
      </c>
      <c r="AN1243" s="9" t="str">
        <f t="shared" si="256"/>
        <v/>
      </c>
      <c r="AO1243" s="9" t="str">
        <f t="shared" si="257"/>
        <v/>
      </c>
      <c r="AP1243" s="9" t="str">
        <f t="shared" si="258"/>
        <v/>
      </c>
      <c r="AQ1243" s="10" t="str">
        <f t="shared" si="259"/>
        <v/>
      </c>
    </row>
    <row r="1244" spans="1:43">
      <c r="A1244">
        <v>1243</v>
      </c>
      <c r="B1244" t="s">
        <v>17</v>
      </c>
      <c r="C1244" t="s">
        <v>771</v>
      </c>
      <c r="D1244" t="s">
        <v>772</v>
      </c>
      <c r="E1244" t="s">
        <v>97</v>
      </c>
      <c r="G1244" t="s">
        <v>18</v>
      </c>
      <c r="H1244" s="4">
        <v>9768600</v>
      </c>
      <c r="I1244" s="5">
        <v>0</v>
      </c>
      <c r="J1244" s="5">
        <v>500</v>
      </c>
      <c r="K1244" s="5">
        <v>4</v>
      </c>
      <c r="L1244">
        <v>4</v>
      </c>
      <c r="M1244">
        <v>3.5</v>
      </c>
      <c r="N1244">
        <v>3.92</v>
      </c>
      <c r="O1244" s="6">
        <v>15.6</v>
      </c>
      <c r="P1244" s="7">
        <v>2.4</v>
      </c>
      <c r="U1244" t="s">
        <v>84</v>
      </c>
      <c r="V1244" t="s">
        <v>129</v>
      </c>
      <c r="W1244">
        <v>2</v>
      </c>
      <c r="X1244" t="s">
        <v>84</v>
      </c>
      <c r="Y1244" t="s">
        <v>130</v>
      </c>
      <c r="Z1244" t="s">
        <v>113</v>
      </c>
      <c r="AA1244" t="s">
        <v>114</v>
      </c>
      <c r="AB1244" t="s">
        <v>201</v>
      </c>
      <c r="AC1244">
        <v>361.8</v>
      </c>
      <c r="AD1244" s="8" t="b">
        <f>AND(
 H1244&gt;=Filters!$B$3,
 H1244&lt;=Filters!$B$4,
 I1244&gt;=Filters!$B$5,
 OR(Filters!$B$6="All",B1244=Filters!$B$6),
 F1244&gt;=Filters!$B$7,
 F1244&lt;=Filters!$B$8,
 OR(Filters!$B$9="All",G1244=Filters!$B$9)
)</f>
        <v>0</v>
      </c>
      <c r="AE1244">
        <f t="shared" si="247"/>
        <v>6</v>
      </c>
      <c r="AF1244">
        <f t="shared" si="248"/>
        <v>7</v>
      </c>
      <c r="AG1244">
        <f t="shared" si="249"/>
        <v>7</v>
      </c>
      <c r="AH1244" s="9" t="str">
        <f t="shared" si="250"/>
        <v/>
      </c>
      <c r="AI1244" s="9" t="str">
        <f t="shared" si="251"/>
        <v/>
      </c>
      <c r="AJ1244" s="9" t="str">
        <f t="shared" si="252"/>
        <v/>
      </c>
      <c r="AK1244" s="9" t="str">
        <f t="shared" si="253"/>
        <v/>
      </c>
      <c r="AL1244" s="9" t="str">
        <f t="shared" si="254"/>
        <v/>
      </c>
      <c r="AM1244" s="9" t="str">
        <f t="shared" si="255"/>
        <v/>
      </c>
      <c r="AN1244" s="9" t="str">
        <f t="shared" si="256"/>
        <v/>
      </c>
      <c r="AO1244" s="9" t="str">
        <f t="shared" si="257"/>
        <v/>
      </c>
      <c r="AP1244" s="9" t="str">
        <f t="shared" si="258"/>
        <v/>
      </c>
      <c r="AQ1244" s="10" t="str">
        <f t="shared" si="259"/>
        <v/>
      </c>
    </row>
    <row r="1245" spans="1:43">
      <c r="A1245">
        <v>1244</v>
      </c>
      <c r="B1245" t="s">
        <v>23</v>
      </c>
      <c r="C1245" t="s">
        <v>1620</v>
      </c>
      <c r="D1245" t="s">
        <v>1621</v>
      </c>
      <c r="E1245" t="s">
        <v>168</v>
      </c>
      <c r="G1245" t="s">
        <v>18</v>
      </c>
      <c r="H1245" s="4">
        <v>48573000</v>
      </c>
      <c r="I1245" s="5">
        <v>512</v>
      </c>
      <c r="J1245" s="5">
        <v>0</v>
      </c>
      <c r="K1245" s="5">
        <v>16</v>
      </c>
      <c r="L1245">
        <v>9.4</v>
      </c>
      <c r="M1245">
        <v>6.5</v>
      </c>
      <c r="N1245">
        <v>6.13</v>
      </c>
      <c r="O1245" s="6">
        <v>17.3</v>
      </c>
      <c r="P1245" s="7">
        <v>2.77</v>
      </c>
      <c r="U1245" t="s">
        <v>84</v>
      </c>
      <c r="V1245" t="s">
        <v>140</v>
      </c>
      <c r="W1245">
        <v>2.7</v>
      </c>
      <c r="X1245" t="s">
        <v>122</v>
      </c>
      <c r="Y1245" t="s">
        <v>145</v>
      </c>
      <c r="Z1245" t="s">
        <v>106</v>
      </c>
      <c r="AA1245" t="s">
        <v>169</v>
      </c>
      <c r="AB1245" t="s">
        <v>115</v>
      </c>
      <c r="AC1245">
        <v>1799</v>
      </c>
      <c r="AD1245" s="8" t="b">
        <f>AND(
 H1245&gt;=Filters!$B$3,
 H1245&lt;=Filters!$B$4,
 I1245&gt;=Filters!$B$5,
 OR(Filters!$B$6="All",B1245=Filters!$B$6),
 F1245&gt;=Filters!$B$7,
 F1245&lt;=Filters!$B$8,
 OR(Filters!$B$9="All",G1245=Filters!$B$9)
)</f>
        <v>0</v>
      </c>
      <c r="AE1245">
        <f t="shared" si="247"/>
        <v>6</v>
      </c>
      <c r="AF1245">
        <f t="shared" si="248"/>
        <v>7</v>
      </c>
      <c r="AG1245">
        <f t="shared" si="249"/>
        <v>7</v>
      </c>
      <c r="AH1245" s="9" t="str">
        <f t="shared" si="250"/>
        <v/>
      </c>
      <c r="AI1245" s="9" t="str">
        <f t="shared" si="251"/>
        <v/>
      </c>
      <c r="AJ1245" s="9" t="str">
        <f t="shared" si="252"/>
        <v/>
      </c>
      <c r="AK1245" s="9" t="str">
        <f t="shared" si="253"/>
        <v/>
      </c>
      <c r="AL1245" s="9" t="str">
        <f t="shared" si="254"/>
        <v/>
      </c>
      <c r="AM1245" s="9" t="str">
        <f t="shared" si="255"/>
        <v/>
      </c>
      <c r="AN1245" s="9" t="str">
        <f t="shared" si="256"/>
        <v/>
      </c>
      <c r="AO1245" s="9" t="str">
        <f t="shared" si="257"/>
        <v/>
      </c>
      <c r="AP1245" s="9" t="str">
        <f t="shared" si="258"/>
        <v/>
      </c>
      <c r="AQ1245" s="10" t="str">
        <f t="shared" si="259"/>
        <v/>
      </c>
    </row>
    <row r="1246" spans="1:43">
      <c r="A1246">
        <v>1245</v>
      </c>
      <c r="B1246" t="s">
        <v>26</v>
      </c>
      <c r="C1246" t="s">
        <v>632</v>
      </c>
      <c r="D1246" t="s">
        <v>399</v>
      </c>
      <c r="E1246" t="s">
        <v>97</v>
      </c>
      <c r="G1246" t="s">
        <v>18</v>
      </c>
      <c r="H1246" s="4">
        <v>29699730</v>
      </c>
      <c r="I1246" s="5">
        <v>256</v>
      </c>
      <c r="J1246" s="5">
        <v>0</v>
      </c>
      <c r="K1246" s="5">
        <v>4</v>
      </c>
      <c r="L1246">
        <v>6.6</v>
      </c>
      <c r="M1246">
        <v>3.5</v>
      </c>
      <c r="N1246">
        <v>6</v>
      </c>
      <c r="O1246" s="6">
        <v>14</v>
      </c>
      <c r="P1246" s="7">
        <v>1.54</v>
      </c>
      <c r="U1246" t="s">
        <v>84</v>
      </c>
      <c r="V1246" t="s">
        <v>375</v>
      </c>
      <c r="W1246">
        <v>2.2999999999999998</v>
      </c>
      <c r="X1246" t="s">
        <v>84</v>
      </c>
      <c r="Y1246" t="s">
        <v>130</v>
      </c>
      <c r="Z1246" t="s">
        <v>100</v>
      </c>
      <c r="AA1246" t="s">
        <v>101</v>
      </c>
      <c r="AB1246" t="s">
        <v>869</v>
      </c>
      <c r="AC1246">
        <v>1099.99</v>
      </c>
      <c r="AD1246" s="8" t="b">
        <f>AND(
 H1246&gt;=Filters!$B$3,
 H1246&lt;=Filters!$B$4,
 I1246&gt;=Filters!$B$5,
 OR(Filters!$B$6="All",B1246=Filters!$B$6),
 F1246&gt;=Filters!$B$7,
 F1246&lt;=Filters!$B$8,
 OR(Filters!$B$9="All",G1246=Filters!$B$9)
)</f>
        <v>0</v>
      </c>
      <c r="AE1246">
        <f t="shared" si="247"/>
        <v>6</v>
      </c>
      <c r="AF1246">
        <f t="shared" si="248"/>
        <v>7</v>
      </c>
      <c r="AG1246">
        <f t="shared" si="249"/>
        <v>7</v>
      </c>
      <c r="AH1246" s="9" t="str">
        <f t="shared" si="250"/>
        <v/>
      </c>
      <c r="AI1246" s="9" t="str">
        <f t="shared" si="251"/>
        <v/>
      </c>
      <c r="AJ1246" s="9" t="str">
        <f t="shared" si="252"/>
        <v/>
      </c>
      <c r="AK1246" s="9" t="str">
        <f t="shared" si="253"/>
        <v/>
      </c>
      <c r="AL1246" s="9" t="str">
        <f t="shared" si="254"/>
        <v/>
      </c>
      <c r="AM1246" s="9" t="str">
        <f t="shared" si="255"/>
        <v/>
      </c>
      <c r="AN1246" s="9" t="str">
        <f t="shared" si="256"/>
        <v/>
      </c>
      <c r="AO1246" s="9" t="str">
        <f t="shared" si="257"/>
        <v/>
      </c>
      <c r="AP1246" s="9" t="str">
        <f t="shared" si="258"/>
        <v/>
      </c>
      <c r="AQ1246" s="10" t="str">
        <f t="shared" si="259"/>
        <v/>
      </c>
    </row>
    <row r="1247" spans="1:43">
      <c r="A1247">
        <v>1246</v>
      </c>
      <c r="B1247" t="s">
        <v>21</v>
      </c>
      <c r="C1247" t="s">
        <v>1622</v>
      </c>
      <c r="D1247" t="s">
        <v>1623</v>
      </c>
      <c r="E1247" t="s">
        <v>158</v>
      </c>
      <c r="G1247" t="s">
        <v>18</v>
      </c>
      <c r="H1247" s="4">
        <v>43200000</v>
      </c>
      <c r="I1247" s="5">
        <v>256</v>
      </c>
      <c r="J1247" s="5">
        <v>1024</v>
      </c>
      <c r="K1247" s="5">
        <v>16</v>
      </c>
      <c r="L1247">
        <v>9.6</v>
      </c>
      <c r="M1247">
        <v>9.1999999999999993</v>
      </c>
      <c r="N1247">
        <v>6.32</v>
      </c>
      <c r="O1247" s="6">
        <v>15.6</v>
      </c>
      <c r="P1247" s="7">
        <v>2.5</v>
      </c>
      <c r="U1247" t="s">
        <v>84</v>
      </c>
      <c r="V1247" t="s">
        <v>210</v>
      </c>
      <c r="W1247">
        <v>2.8</v>
      </c>
      <c r="X1247" t="s">
        <v>122</v>
      </c>
      <c r="Y1247" t="s">
        <v>260</v>
      </c>
      <c r="Z1247" t="s">
        <v>212</v>
      </c>
      <c r="AA1247" t="s">
        <v>128</v>
      </c>
      <c r="AB1247" t="s">
        <v>115</v>
      </c>
      <c r="AC1247">
        <v>1600</v>
      </c>
      <c r="AD1247" s="8" t="b">
        <f>AND(
 H1247&gt;=Filters!$B$3,
 H1247&lt;=Filters!$B$4,
 I1247&gt;=Filters!$B$5,
 OR(Filters!$B$6="All",B1247=Filters!$B$6),
 F1247&gt;=Filters!$B$7,
 F1247&lt;=Filters!$B$8,
 OR(Filters!$B$9="All",G1247=Filters!$B$9)
)</f>
        <v>0</v>
      </c>
      <c r="AE1247">
        <f t="shared" si="247"/>
        <v>6</v>
      </c>
      <c r="AF1247">
        <f t="shared" si="248"/>
        <v>7</v>
      </c>
      <c r="AG1247">
        <f t="shared" si="249"/>
        <v>7</v>
      </c>
      <c r="AH1247" s="9" t="str">
        <f t="shared" si="250"/>
        <v/>
      </c>
      <c r="AI1247" s="9" t="str">
        <f t="shared" si="251"/>
        <v/>
      </c>
      <c r="AJ1247" s="9" t="str">
        <f t="shared" si="252"/>
        <v/>
      </c>
      <c r="AK1247" s="9" t="str">
        <f t="shared" si="253"/>
        <v/>
      </c>
      <c r="AL1247" s="9" t="str">
        <f t="shared" si="254"/>
        <v/>
      </c>
      <c r="AM1247" s="9" t="str">
        <f t="shared" si="255"/>
        <v/>
      </c>
      <c r="AN1247" s="9" t="str">
        <f t="shared" si="256"/>
        <v/>
      </c>
      <c r="AO1247" s="9" t="str">
        <f t="shared" si="257"/>
        <v/>
      </c>
      <c r="AP1247" s="9" t="str">
        <f t="shared" si="258"/>
        <v/>
      </c>
      <c r="AQ1247" s="10" t="str">
        <f t="shared" si="259"/>
        <v/>
      </c>
    </row>
    <row r="1248" spans="1:43">
      <c r="A1248">
        <v>1247</v>
      </c>
      <c r="B1248" t="s">
        <v>23</v>
      </c>
      <c r="C1248" t="s">
        <v>769</v>
      </c>
      <c r="D1248" t="s">
        <v>739</v>
      </c>
      <c r="E1248" t="s">
        <v>97</v>
      </c>
      <c r="G1248" t="s">
        <v>18</v>
      </c>
      <c r="H1248" s="4">
        <v>23625000</v>
      </c>
      <c r="I1248" s="5">
        <v>0</v>
      </c>
      <c r="J1248" s="5">
        <v>500</v>
      </c>
      <c r="K1248" s="5">
        <v>4</v>
      </c>
      <c r="L1248">
        <v>7</v>
      </c>
      <c r="M1248">
        <v>3.5</v>
      </c>
      <c r="N1248">
        <v>4</v>
      </c>
      <c r="O1248" s="6">
        <v>14</v>
      </c>
      <c r="P1248" s="7">
        <v>1.6</v>
      </c>
      <c r="U1248" t="s">
        <v>84</v>
      </c>
      <c r="V1248" t="s">
        <v>98</v>
      </c>
      <c r="W1248">
        <v>2.5</v>
      </c>
      <c r="X1248" t="s">
        <v>84</v>
      </c>
      <c r="Y1248" t="s">
        <v>99</v>
      </c>
      <c r="Z1248" t="s">
        <v>113</v>
      </c>
      <c r="AA1248" t="s">
        <v>114</v>
      </c>
      <c r="AB1248" t="s">
        <v>115</v>
      </c>
      <c r="AC1248">
        <v>875</v>
      </c>
      <c r="AD1248" s="8" t="b">
        <f>AND(
 H1248&gt;=Filters!$B$3,
 H1248&lt;=Filters!$B$4,
 I1248&gt;=Filters!$B$5,
 OR(Filters!$B$6="All",B1248=Filters!$B$6),
 F1248&gt;=Filters!$B$7,
 F1248&lt;=Filters!$B$8,
 OR(Filters!$B$9="All",G1248=Filters!$B$9)
)</f>
        <v>0</v>
      </c>
      <c r="AE1248">
        <f t="shared" si="247"/>
        <v>6</v>
      </c>
      <c r="AF1248">
        <f t="shared" si="248"/>
        <v>7</v>
      </c>
      <c r="AG1248">
        <f t="shared" si="249"/>
        <v>7</v>
      </c>
      <c r="AH1248" s="9" t="str">
        <f t="shared" si="250"/>
        <v/>
      </c>
      <c r="AI1248" s="9" t="str">
        <f t="shared" si="251"/>
        <v/>
      </c>
      <c r="AJ1248" s="9" t="str">
        <f t="shared" si="252"/>
        <v/>
      </c>
      <c r="AK1248" s="9" t="str">
        <f t="shared" si="253"/>
        <v/>
      </c>
      <c r="AL1248" s="9" t="str">
        <f t="shared" si="254"/>
        <v/>
      </c>
      <c r="AM1248" s="9" t="str">
        <f t="shared" si="255"/>
        <v/>
      </c>
      <c r="AN1248" s="9" t="str">
        <f t="shared" si="256"/>
        <v/>
      </c>
      <c r="AO1248" s="9" t="str">
        <f t="shared" si="257"/>
        <v/>
      </c>
      <c r="AP1248" s="9" t="str">
        <f t="shared" si="258"/>
        <v/>
      </c>
      <c r="AQ1248" s="10" t="str">
        <f t="shared" si="259"/>
        <v/>
      </c>
    </row>
    <row r="1249" spans="1:43">
      <c r="A1249">
        <v>1248</v>
      </c>
      <c r="B1249" t="s">
        <v>21</v>
      </c>
      <c r="C1249" t="s">
        <v>1624</v>
      </c>
      <c r="D1249" t="s">
        <v>1625</v>
      </c>
      <c r="E1249" t="s">
        <v>158</v>
      </c>
      <c r="G1249" t="s">
        <v>18</v>
      </c>
      <c r="H1249" s="4">
        <v>62775000</v>
      </c>
      <c r="I1249" s="5">
        <v>256</v>
      </c>
      <c r="J1249" s="5">
        <v>1024</v>
      </c>
      <c r="K1249" s="5">
        <v>16</v>
      </c>
      <c r="L1249">
        <v>9.1999999999999993</v>
      </c>
      <c r="M1249">
        <v>9.1999999999999993</v>
      </c>
      <c r="N1249">
        <v>6.32</v>
      </c>
      <c r="O1249" s="6">
        <v>15.6</v>
      </c>
      <c r="P1249" s="7">
        <v>2.34</v>
      </c>
      <c r="U1249" t="s">
        <v>84</v>
      </c>
      <c r="V1249" t="s">
        <v>808</v>
      </c>
      <c r="W1249">
        <v>2.6</v>
      </c>
      <c r="X1249" t="s">
        <v>122</v>
      </c>
      <c r="Y1249" t="s">
        <v>248</v>
      </c>
      <c r="Z1249" t="s">
        <v>212</v>
      </c>
      <c r="AA1249" t="s">
        <v>128</v>
      </c>
      <c r="AB1249" t="s">
        <v>115</v>
      </c>
      <c r="AC1249">
        <v>2325</v>
      </c>
      <c r="AD1249" s="8" t="b">
        <f>AND(
 H1249&gt;=Filters!$B$3,
 H1249&lt;=Filters!$B$4,
 I1249&gt;=Filters!$B$5,
 OR(Filters!$B$6="All",B1249=Filters!$B$6),
 F1249&gt;=Filters!$B$7,
 F1249&lt;=Filters!$B$8,
 OR(Filters!$B$9="All",G1249=Filters!$B$9)
)</f>
        <v>0</v>
      </c>
      <c r="AE1249">
        <f t="shared" si="247"/>
        <v>6</v>
      </c>
      <c r="AF1249">
        <f t="shared" si="248"/>
        <v>7</v>
      </c>
      <c r="AG1249">
        <f t="shared" si="249"/>
        <v>7</v>
      </c>
      <c r="AH1249" s="9" t="str">
        <f t="shared" si="250"/>
        <v/>
      </c>
      <c r="AI1249" s="9" t="str">
        <f t="shared" si="251"/>
        <v/>
      </c>
      <c r="AJ1249" s="9" t="str">
        <f t="shared" si="252"/>
        <v/>
      </c>
      <c r="AK1249" s="9" t="str">
        <f t="shared" si="253"/>
        <v/>
      </c>
      <c r="AL1249" s="9" t="str">
        <f t="shared" si="254"/>
        <v/>
      </c>
      <c r="AM1249" s="9" t="str">
        <f t="shared" si="255"/>
        <v/>
      </c>
      <c r="AN1249" s="9" t="str">
        <f t="shared" si="256"/>
        <v/>
      </c>
      <c r="AO1249" s="9" t="str">
        <f t="shared" si="257"/>
        <v/>
      </c>
      <c r="AP1249" s="9" t="str">
        <f t="shared" si="258"/>
        <v/>
      </c>
      <c r="AQ1249" s="10" t="str">
        <f t="shared" si="259"/>
        <v/>
      </c>
    </row>
    <row r="1250" spans="1:43">
      <c r="A1250">
        <v>1249</v>
      </c>
      <c r="B1250" t="s">
        <v>29</v>
      </c>
      <c r="C1250" t="s">
        <v>1626</v>
      </c>
      <c r="D1250" t="s">
        <v>1627</v>
      </c>
      <c r="E1250" t="s">
        <v>97</v>
      </c>
      <c r="G1250" t="s">
        <v>18</v>
      </c>
      <c r="H1250" s="4">
        <v>15471000</v>
      </c>
      <c r="I1250" s="5">
        <v>256</v>
      </c>
      <c r="J1250" s="5">
        <v>0</v>
      </c>
      <c r="K1250" s="5">
        <v>8</v>
      </c>
      <c r="L1250">
        <v>7</v>
      </c>
      <c r="M1250">
        <v>3.5</v>
      </c>
      <c r="N1250">
        <v>6.32</v>
      </c>
      <c r="O1250" s="6">
        <v>15.6</v>
      </c>
      <c r="P1250" s="7">
        <v>2.2999999999999998</v>
      </c>
      <c r="U1250" t="s">
        <v>84</v>
      </c>
      <c r="V1250" t="s">
        <v>98</v>
      </c>
      <c r="W1250">
        <v>2.5</v>
      </c>
      <c r="X1250" t="s">
        <v>84</v>
      </c>
      <c r="Y1250" t="s">
        <v>99</v>
      </c>
      <c r="Z1250" t="s">
        <v>100</v>
      </c>
      <c r="AA1250" t="s">
        <v>128</v>
      </c>
      <c r="AB1250" t="s">
        <v>102</v>
      </c>
      <c r="AC1250">
        <v>573</v>
      </c>
      <c r="AD1250" s="8" t="b">
        <f>AND(
 H1250&gt;=Filters!$B$3,
 H1250&lt;=Filters!$B$4,
 I1250&gt;=Filters!$B$5,
 OR(Filters!$B$6="All",B1250=Filters!$B$6),
 F1250&gt;=Filters!$B$7,
 F1250&lt;=Filters!$B$8,
 OR(Filters!$B$9="All",G1250=Filters!$B$9)
)</f>
        <v>1</v>
      </c>
      <c r="AE1250">
        <f t="shared" si="247"/>
        <v>6</v>
      </c>
      <c r="AF1250">
        <f t="shared" si="248"/>
        <v>7</v>
      </c>
      <c r="AG1250">
        <f t="shared" si="249"/>
        <v>7</v>
      </c>
      <c r="AH1250" s="9">
        <f t="shared" si="250"/>
        <v>0.69047619047619047</v>
      </c>
      <c r="AI1250" s="9">
        <f t="shared" si="251"/>
        <v>0.80952380952380942</v>
      </c>
      <c r="AJ1250" s="9">
        <f t="shared" si="252"/>
        <v>0.27380952380952378</v>
      </c>
      <c r="AK1250" s="9">
        <f t="shared" si="253"/>
        <v>0.60952380952380947</v>
      </c>
      <c r="AL1250" s="9">
        <f t="shared" si="254"/>
        <v>0.86904761904761896</v>
      </c>
      <c r="AM1250" s="9">
        <f t="shared" si="255"/>
        <v>0.5714285714285714</v>
      </c>
      <c r="AN1250" s="9">
        <f t="shared" si="256"/>
        <v>0.69047619047619047</v>
      </c>
      <c r="AO1250" s="9">
        <f t="shared" si="257"/>
        <v>0.69047619047619047</v>
      </c>
      <c r="AP1250" s="9">
        <f t="shared" si="258"/>
        <v>0.67043366414931838</v>
      </c>
      <c r="AQ1250" s="10">
        <f t="shared" si="259"/>
        <v>0.67043491414931833</v>
      </c>
    </row>
    <row r="1251" spans="1:43">
      <c r="A1251">
        <v>1250</v>
      </c>
      <c r="B1251" t="s">
        <v>23</v>
      </c>
      <c r="C1251" t="s">
        <v>1290</v>
      </c>
      <c r="D1251" t="s">
        <v>148</v>
      </c>
      <c r="E1251" t="s">
        <v>168</v>
      </c>
      <c r="G1251" t="s">
        <v>18</v>
      </c>
      <c r="H1251" s="4">
        <v>48951000</v>
      </c>
      <c r="I1251" s="5">
        <v>256</v>
      </c>
      <c r="J1251" s="5">
        <v>0</v>
      </c>
      <c r="K1251" s="5">
        <v>8</v>
      </c>
      <c r="L1251">
        <v>4.4000000000000004</v>
      </c>
      <c r="M1251">
        <v>3.5</v>
      </c>
      <c r="N1251">
        <v>8.4600000000000009</v>
      </c>
      <c r="O1251" s="6">
        <v>13.3</v>
      </c>
      <c r="P1251" s="7">
        <v>1.24</v>
      </c>
      <c r="U1251" t="s">
        <v>84</v>
      </c>
      <c r="V1251" t="s">
        <v>442</v>
      </c>
      <c r="W1251">
        <v>1.2</v>
      </c>
      <c r="X1251" t="s">
        <v>84</v>
      </c>
      <c r="Y1251" t="s">
        <v>138</v>
      </c>
      <c r="Z1251" t="s">
        <v>100</v>
      </c>
      <c r="AA1251" t="s">
        <v>333</v>
      </c>
      <c r="AB1251" t="s">
        <v>115</v>
      </c>
      <c r="AC1251">
        <v>1813</v>
      </c>
      <c r="AD1251" s="8" t="b">
        <f>AND(
 H1251&gt;=Filters!$B$3,
 H1251&lt;=Filters!$B$4,
 I1251&gt;=Filters!$B$5,
 OR(Filters!$B$6="All",B1251=Filters!$B$6),
 F1251&gt;=Filters!$B$7,
 F1251&lt;=Filters!$B$8,
 OR(Filters!$B$9="All",G1251=Filters!$B$9)
)</f>
        <v>0</v>
      </c>
      <c r="AE1251">
        <f t="shared" si="247"/>
        <v>6</v>
      </c>
      <c r="AF1251">
        <f t="shared" si="248"/>
        <v>7</v>
      </c>
      <c r="AG1251">
        <f t="shared" si="249"/>
        <v>7</v>
      </c>
      <c r="AH1251" s="9" t="str">
        <f t="shared" si="250"/>
        <v/>
      </c>
      <c r="AI1251" s="9" t="str">
        <f t="shared" si="251"/>
        <v/>
      </c>
      <c r="AJ1251" s="9" t="str">
        <f t="shared" si="252"/>
        <v/>
      </c>
      <c r="AK1251" s="9" t="str">
        <f t="shared" si="253"/>
        <v/>
      </c>
      <c r="AL1251" s="9" t="str">
        <f t="shared" si="254"/>
        <v/>
      </c>
      <c r="AM1251" s="9" t="str">
        <f t="shared" si="255"/>
        <v/>
      </c>
      <c r="AN1251" s="9" t="str">
        <f t="shared" si="256"/>
        <v/>
      </c>
      <c r="AO1251" s="9" t="str">
        <f t="shared" si="257"/>
        <v/>
      </c>
      <c r="AP1251" s="9" t="str">
        <f t="shared" si="258"/>
        <v/>
      </c>
      <c r="AQ1251" s="10" t="str">
        <f t="shared" si="259"/>
        <v/>
      </c>
    </row>
    <row r="1252" spans="1:43">
      <c r="A1252">
        <v>1251</v>
      </c>
      <c r="B1252" t="s">
        <v>23</v>
      </c>
      <c r="C1252" t="s">
        <v>639</v>
      </c>
      <c r="D1252" t="s">
        <v>640</v>
      </c>
      <c r="E1252" t="s">
        <v>97</v>
      </c>
      <c r="G1252" t="s">
        <v>18</v>
      </c>
      <c r="H1252" s="4">
        <v>8748000</v>
      </c>
      <c r="I1252" s="5">
        <v>0</v>
      </c>
      <c r="J1252" s="5">
        <v>500</v>
      </c>
      <c r="K1252" s="5">
        <v>4</v>
      </c>
      <c r="L1252">
        <v>2.2000000000000002</v>
      </c>
      <c r="M1252">
        <v>3.5</v>
      </c>
      <c r="N1252">
        <v>3.92</v>
      </c>
      <c r="O1252" s="6">
        <v>15.6</v>
      </c>
      <c r="P1252" s="7">
        <v>2.2000000000000002</v>
      </c>
      <c r="U1252" t="s">
        <v>84</v>
      </c>
      <c r="V1252" t="s">
        <v>611</v>
      </c>
      <c r="W1252">
        <v>1.6</v>
      </c>
      <c r="X1252" t="s">
        <v>84</v>
      </c>
      <c r="Y1252" t="s">
        <v>187</v>
      </c>
      <c r="Z1252" t="s">
        <v>113</v>
      </c>
      <c r="AA1252" t="s">
        <v>114</v>
      </c>
      <c r="AB1252" t="s">
        <v>201</v>
      </c>
      <c r="AC1252">
        <v>324</v>
      </c>
      <c r="AD1252" s="8" t="b">
        <f>AND(
 H1252&gt;=Filters!$B$3,
 H1252&lt;=Filters!$B$4,
 I1252&gt;=Filters!$B$5,
 OR(Filters!$B$6="All",B1252=Filters!$B$6),
 F1252&gt;=Filters!$B$7,
 F1252&lt;=Filters!$B$8,
 OR(Filters!$B$9="All",G1252=Filters!$B$9)
)</f>
        <v>0</v>
      </c>
      <c r="AE1252">
        <f t="shared" si="247"/>
        <v>6</v>
      </c>
      <c r="AF1252">
        <f t="shared" si="248"/>
        <v>7</v>
      </c>
      <c r="AG1252">
        <f t="shared" si="249"/>
        <v>7</v>
      </c>
      <c r="AH1252" s="9" t="str">
        <f t="shared" si="250"/>
        <v/>
      </c>
      <c r="AI1252" s="9" t="str">
        <f t="shared" si="251"/>
        <v/>
      </c>
      <c r="AJ1252" s="9" t="str">
        <f t="shared" si="252"/>
        <v/>
      </c>
      <c r="AK1252" s="9" t="str">
        <f t="shared" si="253"/>
        <v/>
      </c>
      <c r="AL1252" s="9" t="str">
        <f t="shared" si="254"/>
        <v/>
      </c>
      <c r="AM1252" s="9" t="str">
        <f t="shared" si="255"/>
        <v/>
      </c>
      <c r="AN1252" s="9" t="str">
        <f t="shared" si="256"/>
        <v/>
      </c>
      <c r="AO1252" s="9" t="str">
        <f t="shared" si="257"/>
        <v/>
      </c>
      <c r="AP1252" s="9" t="str">
        <f t="shared" si="258"/>
        <v/>
      </c>
      <c r="AQ1252" s="10" t="str">
        <f t="shared" si="259"/>
        <v/>
      </c>
    </row>
    <row r="1253" spans="1:43">
      <c r="A1253">
        <v>1252</v>
      </c>
      <c r="B1253" t="s">
        <v>26</v>
      </c>
      <c r="C1253" t="s">
        <v>162</v>
      </c>
      <c r="D1253" t="s">
        <v>163</v>
      </c>
      <c r="E1253" t="s">
        <v>97</v>
      </c>
      <c r="G1253" t="s">
        <v>18</v>
      </c>
      <c r="H1253" s="4">
        <v>10773000</v>
      </c>
      <c r="I1253" s="5">
        <v>0</v>
      </c>
      <c r="J1253" s="5">
        <v>500</v>
      </c>
      <c r="K1253" s="5">
        <v>4</v>
      </c>
      <c r="L1253">
        <v>6</v>
      </c>
      <c r="M1253">
        <v>6.5</v>
      </c>
      <c r="N1253">
        <v>3.92</v>
      </c>
      <c r="O1253" s="6">
        <v>15.6</v>
      </c>
      <c r="P1253" s="7">
        <v>1.86</v>
      </c>
      <c r="U1253" t="s">
        <v>104</v>
      </c>
      <c r="V1253" t="s">
        <v>194</v>
      </c>
      <c r="W1253">
        <v>2.5</v>
      </c>
      <c r="X1253" t="s">
        <v>104</v>
      </c>
      <c r="Y1253" t="s">
        <v>236</v>
      </c>
      <c r="Z1253" t="s">
        <v>113</v>
      </c>
      <c r="AA1253" t="s">
        <v>114</v>
      </c>
      <c r="AB1253" t="s">
        <v>115</v>
      </c>
      <c r="AC1253">
        <v>399</v>
      </c>
      <c r="AD1253" s="8" t="b">
        <f>AND(
 H1253&gt;=Filters!$B$3,
 H1253&lt;=Filters!$B$4,
 I1253&gt;=Filters!$B$5,
 OR(Filters!$B$6="All",B1253=Filters!$B$6),
 F1253&gt;=Filters!$B$7,
 F1253&lt;=Filters!$B$8,
 OR(Filters!$B$9="All",G1253=Filters!$B$9)
)</f>
        <v>0</v>
      </c>
      <c r="AE1253">
        <f t="shared" si="247"/>
        <v>6</v>
      </c>
      <c r="AF1253">
        <f t="shared" si="248"/>
        <v>7</v>
      </c>
      <c r="AG1253">
        <f t="shared" si="249"/>
        <v>7</v>
      </c>
      <c r="AH1253" s="9" t="str">
        <f t="shared" si="250"/>
        <v/>
      </c>
      <c r="AI1253" s="9" t="str">
        <f t="shared" si="251"/>
        <v/>
      </c>
      <c r="AJ1253" s="9" t="str">
        <f t="shared" si="252"/>
        <v/>
      </c>
      <c r="AK1253" s="9" t="str">
        <f t="shared" si="253"/>
        <v/>
      </c>
      <c r="AL1253" s="9" t="str">
        <f t="shared" si="254"/>
        <v/>
      </c>
      <c r="AM1253" s="9" t="str">
        <f t="shared" si="255"/>
        <v/>
      </c>
      <c r="AN1253" s="9" t="str">
        <f t="shared" si="256"/>
        <v/>
      </c>
      <c r="AO1253" s="9" t="str">
        <f t="shared" si="257"/>
        <v/>
      </c>
      <c r="AP1253" s="9" t="str">
        <f t="shared" si="258"/>
        <v/>
      </c>
      <c r="AQ1253" s="10" t="str">
        <f t="shared" si="259"/>
        <v/>
      </c>
    </row>
    <row r="1254" spans="1:43">
      <c r="A1254">
        <v>1253</v>
      </c>
      <c r="B1254" t="s">
        <v>29</v>
      </c>
      <c r="C1254" t="s">
        <v>1545</v>
      </c>
      <c r="D1254" t="s">
        <v>1546</v>
      </c>
      <c r="E1254" t="s">
        <v>97</v>
      </c>
      <c r="G1254" t="s">
        <v>18</v>
      </c>
      <c r="H1254" s="4">
        <v>15363000</v>
      </c>
      <c r="I1254" s="5">
        <v>128</v>
      </c>
      <c r="J1254" s="5">
        <v>0</v>
      </c>
      <c r="K1254" s="5">
        <v>6</v>
      </c>
      <c r="L1254">
        <v>4.5999999999999996</v>
      </c>
      <c r="M1254">
        <v>6.5</v>
      </c>
      <c r="N1254">
        <v>5.92</v>
      </c>
      <c r="O1254" s="6">
        <v>15.6</v>
      </c>
      <c r="P1254" s="7">
        <v>2.4</v>
      </c>
      <c r="U1254" t="s">
        <v>84</v>
      </c>
      <c r="V1254" t="s">
        <v>812</v>
      </c>
      <c r="W1254">
        <v>2.2999999999999998</v>
      </c>
      <c r="X1254" t="s">
        <v>122</v>
      </c>
      <c r="Y1254" t="s">
        <v>230</v>
      </c>
      <c r="Z1254" t="s">
        <v>87</v>
      </c>
      <c r="AA1254" t="s">
        <v>101</v>
      </c>
      <c r="AB1254" t="s">
        <v>115</v>
      </c>
      <c r="AC1254">
        <v>569</v>
      </c>
      <c r="AD1254" s="8" t="b">
        <f>AND(
 H1254&gt;=Filters!$B$3,
 H1254&lt;=Filters!$B$4,
 I1254&gt;=Filters!$B$5,
 OR(Filters!$B$6="All",B1254=Filters!$B$6),
 F1254&gt;=Filters!$B$7,
 F1254&lt;=Filters!$B$8,
 OR(Filters!$B$9="All",G1254=Filters!$B$9)
)</f>
        <v>0</v>
      </c>
      <c r="AE1254">
        <f t="shared" si="247"/>
        <v>6</v>
      </c>
      <c r="AF1254">
        <f t="shared" si="248"/>
        <v>7</v>
      </c>
      <c r="AG1254">
        <f t="shared" si="249"/>
        <v>7</v>
      </c>
      <c r="AH1254" s="9" t="str">
        <f t="shared" si="250"/>
        <v/>
      </c>
      <c r="AI1254" s="9" t="str">
        <f t="shared" si="251"/>
        <v/>
      </c>
      <c r="AJ1254" s="9" t="str">
        <f t="shared" si="252"/>
        <v/>
      </c>
      <c r="AK1254" s="9" t="str">
        <f t="shared" si="253"/>
        <v/>
      </c>
      <c r="AL1254" s="9" t="str">
        <f t="shared" si="254"/>
        <v/>
      </c>
      <c r="AM1254" s="9" t="str">
        <f t="shared" si="255"/>
        <v/>
      </c>
      <c r="AN1254" s="9" t="str">
        <f t="shared" si="256"/>
        <v/>
      </c>
      <c r="AO1254" s="9" t="str">
        <f t="shared" si="257"/>
        <v/>
      </c>
      <c r="AP1254" s="9" t="str">
        <f t="shared" si="258"/>
        <v/>
      </c>
      <c r="AQ1254" s="10" t="str">
        <f t="shared" si="259"/>
        <v/>
      </c>
    </row>
    <row r="1255" spans="1:43">
      <c r="A1255">
        <v>1254</v>
      </c>
      <c r="B1255" t="s">
        <v>29</v>
      </c>
      <c r="C1255" t="s">
        <v>1628</v>
      </c>
      <c r="D1255" t="s">
        <v>1629</v>
      </c>
      <c r="E1255" t="s">
        <v>97</v>
      </c>
      <c r="G1255" t="s">
        <v>18</v>
      </c>
      <c r="H1255" s="4">
        <v>28944000</v>
      </c>
      <c r="I1255" s="5">
        <v>256</v>
      </c>
      <c r="J1255" s="5">
        <v>0</v>
      </c>
      <c r="K1255" s="5">
        <v>8</v>
      </c>
      <c r="L1255">
        <v>6.6</v>
      </c>
      <c r="M1255">
        <v>3.5</v>
      </c>
      <c r="N1255">
        <v>6.4</v>
      </c>
      <c r="O1255" s="6">
        <v>14</v>
      </c>
      <c r="P1255" s="7">
        <v>1.9</v>
      </c>
      <c r="U1255" t="s">
        <v>84</v>
      </c>
      <c r="V1255" t="s">
        <v>375</v>
      </c>
      <c r="W1255">
        <v>2.2999999999999998</v>
      </c>
      <c r="X1255" t="s">
        <v>84</v>
      </c>
      <c r="Y1255" t="s">
        <v>130</v>
      </c>
      <c r="Z1255" t="s">
        <v>100</v>
      </c>
      <c r="AA1255" t="s">
        <v>128</v>
      </c>
      <c r="AB1255" t="s">
        <v>115</v>
      </c>
      <c r="AC1255">
        <v>1072</v>
      </c>
      <c r="AD1255" s="8" t="b">
        <f>AND(
 H1255&gt;=Filters!$B$3,
 H1255&lt;=Filters!$B$4,
 I1255&gt;=Filters!$B$5,
 OR(Filters!$B$6="All",B1255=Filters!$B$6),
 F1255&gt;=Filters!$B$7,
 F1255&lt;=Filters!$B$8,
 OR(Filters!$B$9="All",G1255=Filters!$B$9)
)</f>
        <v>0</v>
      </c>
      <c r="AE1255">
        <f t="shared" si="247"/>
        <v>6</v>
      </c>
      <c r="AF1255">
        <f t="shared" si="248"/>
        <v>7</v>
      </c>
      <c r="AG1255">
        <f t="shared" si="249"/>
        <v>7</v>
      </c>
      <c r="AH1255" s="9" t="str">
        <f t="shared" si="250"/>
        <v/>
      </c>
      <c r="AI1255" s="9" t="str">
        <f t="shared" si="251"/>
        <v/>
      </c>
      <c r="AJ1255" s="9" t="str">
        <f t="shared" si="252"/>
        <v/>
      </c>
      <c r="AK1255" s="9" t="str">
        <f t="shared" si="253"/>
        <v/>
      </c>
      <c r="AL1255" s="9" t="str">
        <f t="shared" si="254"/>
        <v/>
      </c>
      <c r="AM1255" s="9" t="str">
        <f t="shared" si="255"/>
        <v/>
      </c>
      <c r="AN1255" s="9" t="str">
        <f t="shared" si="256"/>
        <v/>
      </c>
      <c r="AO1255" s="9" t="str">
        <f t="shared" si="257"/>
        <v/>
      </c>
      <c r="AP1255" s="9" t="str">
        <f t="shared" si="258"/>
        <v/>
      </c>
      <c r="AQ1255" s="10" t="str">
        <f t="shared" si="259"/>
        <v/>
      </c>
    </row>
    <row r="1256" spans="1:43">
      <c r="A1256">
        <v>1255</v>
      </c>
      <c r="B1256" t="s">
        <v>23</v>
      </c>
      <c r="C1256" t="s">
        <v>639</v>
      </c>
      <c r="D1256" t="s">
        <v>640</v>
      </c>
      <c r="E1256" t="s">
        <v>97</v>
      </c>
      <c r="G1256" t="s">
        <v>18</v>
      </c>
      <c r="H1256" s="4">
        <v>11987730</v>
      </c>
      <c r="I1256" s="5">
        <v>0</v>
      </c>
      <c r="J1256" s="5">
        <v>500</v>
      </c>
      <c r="K1256" s="5">
        <v>4</v>
      </c>
      <c r="L1256">
        <v>2.2000000000000002</v>
      </c>
      <c r="M1256">
        <v>3.5</v>
      </c>
      <c r="N1256">
        <v>3.92</v>
      </c>
      <c r="O1256" s="6">
        <v>15.6</v>
      </c>
      <c r="P1256" s="7">
        <v>2.2000000000000002</v>
      </c>
      <c r="U1256" t="s">
        <v>84</v>
      </c>
      <c r="V1256" t="s">
        <v>1470</v>
      </c>
      <c r="W1256">
        <v>1.6</v>
      </c>
      <c r="X1256" t="s">
        <v>84</v>
      </c>
      <c r="Y1256" t="s">
        <v>187</v>
      </c>
      <c r="Z1256" t="s">
        <v>113</v>
      </c>
      <c r="AA1256" t="s">
        <v>114</v>
      </c>
      <c r="AB1256" t="s">
        <v>115</v>
      </c>
      <c r="AC1256">
        <v>443.99</v>
      </c>
      <c r="AD1256" s="8" t="b">
        <f>AND(
 H1256&gt;=Filters!$B$3,
 H1256&lt;=Filters!$B$4,
 I1256&gt;=Filters!$B$5,
 OR(Filters!$B$6="All",B1256=Filters!$B$6),
 F1256&gt;=Filters!$B$7,
 F1256&lt;=Filters!$B$8,
 OR(Filters!$B$9="All",G1256=Filters!$B$9)
)</f>
        <v>0</v>
      </c>
      <c r="AE1256">
        <f t="shared" si="247"/>
        <v>6</v>
      </c>
      <c r="AF1256">
        <f t="shared" si="248"/>
        <v>7</v>
      </c>
      <c r="AG1256">
        <f t="shared" si="249"/>
        <v>7</v>
      </c>
      <c r="AH1256" s="9" t="str">
        <f t="shared" si="250"/>
        <v/>
      </c>
      <c r="AI1256" s="9" t="str">
        <f t="shared" si="251"/>
        <v/>
      </c>
      <c r="AJ1256" s="9" t="str">
        <f t="shared" si="252"/>
        <v/>
      </c>
      <c r="AK1256" s="9" t="str">
        <f t="shared" si="253"/>
        <v/>
      </c>
      <c r="AL1256" s="9" t="str">
        <f t="shared" si="254"/>
        <v/>
      </c>
      <c r="AM1256" s="9" t="str">
        <f t="shared" si="255"/>
        <v/>
      </c>
      <c r="AN1256" s="9" t="str">
        <f t="shared" si="256"/>
        <v/>
      </c>
      <c r="AO1256" s="9" t="str">
        <f t="shared" si="257"/>
        <v/>
      </c>
      <c r="AP1256" s="9" t="str">
        <f t="shared" si="258"/>
        <v/>
      </c>
      <c r="AQ1256" s="10" t="str">
        <f t="shared" si="259"/>
        <v/>
      </c>
    </row>
    <row r="1257" spans="1:43">
      <c r="A1257">
        <v>1256</v>
      </c>
      <c r="B1257" t="s">
        <v>21</v>
      </c>
      <c r="C1257" t="s">
        <v>1630</v>
      </c>
      <c r="D1257" t="s">
        <v>1631</v>
      </c>
      <c r="E1257" t="s">
        <v>97</v>
      </c>
      <c r="G1257" t="s">
        <v>18</v>
      </c>
      <c r="H1257" s="4">
        <v>9153000</v>
      </c>
      <c r="I1257" s="5">
        <v>0</v>
      </c>
      <c r="J1257" s="5">
        <v>1024</v>
      </c>
      <c r="K1257" s="5">
        <v>4</v>
      </c>
      <c r="L1257">
        <v>1</v>
      </c>
      <c r="M1257">
        <v>3.5</v>
      </c>
      <c r="N1257">
        <v>3.92</v>
      </c>
      <c r="O1257" s="6">
        <v>15.6</v>
      </c>
      <c r="P1257" s="7">
        <v>2</v>
      </c>
      <c r="U1257" t="s">
        <v>84</v>
      </c>
      <c r="V1257" t="s">
        <v>198</v>
      </c>
      <c r="W1257">
        <v>1.1000000000000001</v>
      </c>
      <c r="X1257" t="s">
        <v>84</v>
      </c>
      <c r="Y1257" t="s">
        <v>199</v>
      </c>
      <c r="Z1257" t="s">
        <v>146</v>
      </c>
      <c r="AA1257" t="s">
        <v>114</v>
      </c>
      <c r="AB1257" t="s">
        <v>115</v>
      </c>
      <c r="AC1257">
        <v>339</v>
      </c>
      <c r="AD1257" s="8" t="b">
        <f>AND(
 H1257&gt;=Filters!$B$3,
 H1257&lt;=Filters!$B$4,
 I1257&gt;=Filters!$B$5,
 OR(Filters!$B$6="All",B1257=Filters!$B$6),
 F1257&gt;=Filters!$B$7,
 F1257&lt;=Filters!$B$8,
 OR(Filters!$B$9="All",G1257=Filters!$B$9)
)</f>
        <v>0</v>
      </c>
      <c r="AE1257">
        <f t="shared" si="247"/>
        <v>6</v>
      </c>
      <c r="AF1257">
        <f t="shared" si="248"/>
        <v>7</v>
      </c>
      <c r="AG1257">
        <f t="shared" si="249"/>
        <v>7</v>
      </c>
      <c r="AH1257" s="9" t="str">
        <f t="shared" si="250"/>
        <v/>
      </c>
      <c r="AI1257" s="9" t="str">
        <f t="shared" si="251"/>
        <v/>
      </c>
      <c r="AJ1257" s="9" t="str">
        <f t="shared" si="252"/>
        <v/>
      </c>
      <c r="AK1257" s="9" t="str">
        <f t="shared" si="253"/>
        <v/>
      </c>
      <c r="AL1257" s="9" t="str">
        <f t="shared" si="254"/>
        <v/>
      </c>
      <c r="AM1257" s="9" t="str">
        <f t="shared" si="255"/>
        <v/>
      </c>
      <c r="AN1257" s="9" t="str">
        <f t="shared" si="256"/>
        <v/>
      </c>
      <c r="AO1257" s="9" t="str">
        <f t="shared" si="257"/>
        <v/>
      </c>
      <c r="AP1257" s="9" t="str">
        <f t="shared" si="258"/>
        <v/>
      </c>
      <c r="AQ1257" s="10" t="str">
        <f t="shared" si="259"/>
        <v/>
      </c>
    </row>
    <row r="1258" spans="1:43">
      <c r="A1258">
        <v>1257</v>
      </c>
      <c r="B1258" t="s">
        <v>21</v>
      </c>
      <c r="C1258" t="s">
        <v>1632</v>
      </c>
      <c r="D1258" t="s">
        <v>1633</v>
      </c>
      <c r="E1258" t="s">
        <v>158</v>
      </c>
      <c r="G1258" t="s">
        <v>18</v>
      </c>
      <c r="H1258" s="4">
        <v>51300000</v>
      </c>
      <c r="I1258" s="5">
        <v>128</v>
      </c>
      <c r="J1258" s="5">
        <v>1024</v>
      </c>
      <c r="K1258" s="5">
        <v>16</v>
      </c>
      <c r="L1258">
        <v>9.1999999999999993</v>
      </c>
      <c r="M1258">
        <v>9.1999999999999993</v>
      </c>
      <c r="N1258">
        <v>6.24</v>
      </c>
      <c r="O1258" s="6">
        <v>17.3</v>
      </c>
      <c r="P1258" s="7">
        <v>4</v>
      </c>
      <c r="U1258" t="s">
        <v>84</v>
      </c>
      <c r="V1258" t="s">
        <v>808</v>
      </c>
      <c r="W1258">
        <v>2.6</v>
      </c>
      <c r="X1258" t="s">
        <v>122</v>
      </c>
      <c r="Y1258" t="s">
        <v>963</v>
      </c>
      <c r="Z1258" t="s">
        <v>161</v>
      </c>
      <c r="AA1258" t="s">
        <v>128</v>
      </c>
      <c r="AB1258" t="s">
        <v>115</v>
      </c>
      <c r="AC1258">
        <v>1900</v>
      </c>
      <c r="AD1258" s="8" t="b">
        <f>AND(
 H1258&gt;=Filters!$B$3,
 H1258&lt;=Filters!$B$4,
 I1258&gt;=Filters!$B$5,
 OR(Filters!$B$6="All",B1258=Filters!$B$6),
 F1258&gt;=Filters!$B$7,
 F1258&lt;=Filters!$B$8,
 OR(Filters!$B$9="All",G1258=Filters!$B$9)
)</f>
        <v>0</v>
      </c>
      <c r="AE1258">
        <f t="shared" si="247"/>
        <v>6</v>
      </c>
      <c r="AF1258">
        <f t="shared" si="248"/>
        <v>7</v>
      </c>
      <c r="AG1258">
        <f t="shared" si="249"/>
        <v>7</v>
      </c>
      <c r="AH1258" s="9" t="str">
        <f t="shared" si="250"/>
        <v/>
      </c>
      <c r="AI1258" s="9" t="str">
        <f t="shared" si="251"/>
        <v/>
      </c>
      <c r="AJ1258" s="9" t="str">
        <f t="shared" si="252"/>
        <v/>
      </c>
      <c r="AK1258" s="9" t="str">
        <f t="shared" si="253"/>
        <v/>
      </c>
      <c r="AL1258" s="9" t="str">
        <f t="shared" si="254"/>
        <v/>
      </c>
      <c r="AM1258" s="9" t="str">
        <f t="shared" si="255"/>
        <v/>
      </c>
      <c r="AN1258" s="9" t="str">
        <f t="shared" si="256"/>
        <v/>
      </c>
      <c r="AO1258" s="9" t="str">
        <f t="shared" si="257"/>
        <v/>
      </c>
      <c r="AP1258" s="9" t="str">
        <f t="shared" si="258"/>
        <v/>
      </c>
      <c r="AQ1258" s="10" t="str">
        <f t="shared" si="259"/>
        <v/>
      </c>
    </row>
    <row r="1259" spans="1:43">
      <c r="A1259">
        <v>1258</v>
      </c>
      <c r="B1259" t="s">
        <v>23</v>
      </c>
      <c r="C1259" t="s">
        <v>540</v>
      </c>
      <c r="D1259" t="s">
        <v>541</v>
      </c>
      <c r="E1259" t="s">
        <v>97</v>
      </c>
      <c r="G1259" t="s">
        <v>18</v>
      </c>
      <c r="H1259" s="4">
        <v>13230000</v>
      </c>
      <c r="I1259" s="5">
        <v>0</v>
      </c>
      <c r="J1259" s="5">
        <v>500</v>
      </c>
      <c r="K1259" s="5">
        <v>4</v>
      </c>
      <c r="L1259">
        <v>4</v>
      </c>
      <c r="M1259">
        <v>3.5</v>
      </c>
      <c r="N1259">
        <v>3.92</v>
      </c>
      <c r="O1259" s="6">
        <v>15.6</v>
      </c>
      <c r="P1259" s="7">
        <v>2.29</v>
      </c>
      <c r="U1259" t="s">
        <v>84</v>
      </c>
      <c r="V1259" t="s">
        <v>129</v>
      </c>
      <c r="W1259">
        <v>2</v>
      </c>
      <c r="X1259" t="s">
        <v>84</v>
      </c>
      <c r="Y1259" t="s">
        <v>130</v>
      </c>
      <c r="Z1259" t="s">
        <v>113</v>
      </c>
      <c r="AA1259" t="s">
        <v>114</v>
      </c>
      <c r="AB1259" t="s">
        <v>115</v>
      </c>
      <c r="AC1259">
        <v>490</v>
      </c>
      <c r="AD1259" s="8" t="b">
        <f>AND(
 H1259&gt;=Filters!$B$3,
 H1259&lt;=Filters!$B$4,
 I1259&gt;=Filters!$B$5,
 OR(Filters!$B$6="All",B1259=Filters!$B$6),
 F1259&gt;=Filters!$B$7,
 F1259&lt;=Filters!$B$8,
 OR(Filters!$B$9="All",G1259=Filters!$B$9)
)</f>
        <v>0</v>
      </c>
      <c r="AE1259">
        <f t="shared" si="247"/>
        <v>6</v>
      </c>
      <c r="AF1259">
        <f t="shared" si="248"/>
        <v>7</v>
      </c>
      <c r="AG1259">
        <f t="shared" si="249"/>
        <v>7</v>
      </c>
      <c r="AH1259" s="9" t="str">
        <f t="shared" si="250"/>
        <v/>
      </c>
      <c r="AI1259" s="9" t="str">
        <f t="shared" si="251"/>
        <v/>
      </c>
      <c r="AJ1259" s="9" t="str">
        <f t="shared" si="252"/>
        <v/>
      </c>
      <c r="AK1259" s="9" t="str">
        <f t="shared" si="253"/>
        <v/>
      </c>
      <c r="AL1259" s="9" t="str">
        <f t="shared" si="254"/>
        <v/>
      </c>
      <c r="AM1259" s="9" t="str">
        <f t="shared" si="255"/>
        <v/>
      </c>
      <c r="AN1259" s="9" t="str">
        <f t="shared" si="256"/>
        <v/>
      </c>
      <c r="AO1259" s="9" t="str">
        <f t="shared" si="257"/>
        <v/>
      </c>
      <c r="AP1259" s="9" t="str">
        <f t="shared" si="258"/>
        <v/>
      </c>
      <c r="AQ1259" s="10" t="str">
        <f t="shared" si="259"/>
        <v/>
      </c>
    </row>
    <row r="1260" spans="1:43">
      <c r="A1260">
        <v>1259</v>
      </c>
      <c r="B1260" t="s">
        <v>29</v>
      </c>
      <c r="C1260" t="s">
        <v>1634</v>
      </c>
      <c r="D1260" t="s">
        <v>1635</v>
      </c>
      <c r="E1260" t="s">
        <v>97</v>
      </c>
      <c r="G1260" t="s">
        <v>18</v>
      </c>
      <c r="H1260" s="4">
        <v>24165000</v>
      </c>
      <c r="I1260" s="5">
        <v>0</v>
      </c>
      <c r="J1260" s="5">
        <v>0</v>
      </c>
      <c r="K1260" s="5">
        <v>8</v>
      </c>
      <c r="L1260">
        <v>9</v>
      </c>
      <c r="M1260">
        <v>6.5</v>
      </c>
      <c r="N1260">
        <v>5.92</v>
      </c>
      <c r="O1260" s="6">
        <v>15.6</v>
      </c>
      <c r="P1260" s="7">
        <v>2.3199999999999998</v>
      </c>
      <c r="U1260" t="s">
        <v>84</v>
      </c>
      <c r="V1260" t="s">
        <v>485</v>
      </c>
      <c r="W1260">
        <v>2.5</v>
      </c>
      <c r="X1260" t="s">
        <v>104</v>
      </c>
      <c r="Y1260" t="s">
        <v>1454</v>
      </c>
      <c r="Z1260" t="s">
        <v>393</v>
      </c>
      <c r="AA1260" t="s">
        <v>101</v>
      </c>
      <c r="AB1260" t="s">
        <v>869</v>
      </c>
      <c r="AC1260">
        <v>895</v>
      </c>
      <c r="AD1260" s="8" t="b">
        <f>AND(
 H1260&gt;=Filters!$B$3,
 H1260&lt;=Filters!$B$4,
 I1260&gt;=Filters!$B$5,
 OR(Filters!$B$6="All",B1260=Filters!$B$6),
 F1260&gt;=Filters!$B$7,
 F1260&lt;=Filters!$B$8,
 OR(Filters!$B$9="All",G1260=Filters!$B$9)
)</f>
        <v>0</v>
      </c>
      <c r="AE1260">
        <f t="shared" si="247"/>
        <v>6</v>
      </c>
      <c r="AF1260">
        <f t="shared" si="248"/>
        <v>7</v>
      </c>
      <c r="AG1260">
        <f t="shared" si="249"/>
        <v>7</v>
      </c>
      <c r="AH1260" s="9" t="str">
        <f t="shared" si="250"/>
        <v/>
      </c>
      <c r="AI1260" s="9" t="str">
        <f t="shared" si="251"/>
        <v/>
      </c>
      <c r="AJ1260" s="9" t="str">
        <f t="shared" si="252"/>
        <v/>
      </c>
      <c r="AK1260" s="9" t="str">
        <f t="shared" si="253"/>
        <v/>
      </c>
      <c r="AL1260" s="9" t="str">
        <f t="shared" si="254"/>
        <v/>
      </c>
      <c r="AM1260" s="9" t="str">
        <f t="shared" si="255"/>
        <v/>
      </c>
      <c r="AN1260" s="9" t="str">
        <f t="shared" si="256"/>
        <v/>
      </c>
      <c r="AO1260" s="9" t="str">
        <f t="shared" si="257"/>
        <v/>
      </c>
      <c r="AP1260" s="9" t="str">
        <f t="shared" si="258"/>
        <v/>
      </c>
      <c r="AQ1260" s="10" t="str">
        <f t="shared" si="259"/>
        <v/>
      </c>
    </row>
    <row r="1261" spans="1:43">
      <c r="A1261">
        <v>1260</v>
      </c>
      <c r="B1261" t="s">
        <v>30</v>
      </c>
      <c r="C1261" t="s">
        <v>1636</v>
      </c>
      <c r="D1261" t="s">
        <v>1637</v>
      </c>
      <c r="E1261" t="s">
        <v>158</v>
      </c>
      <c r="G1261" t="s">
        <v>18</v>
      </c>
      <c r="H1261" s="4">
        <v>33183000</v>
      </c>
      <c r="I1261" s="5">
        <v>128</v>
      </c>
      <c r="J1261" s="5">
        <v>1024</v>
      </c>
      <c r="K1261" s="5">
        <v>8</v>
      </c>
      <c r="L1261">
        <v>9.1999999999999993</v>
      </c>
      <c r="M1261">
        <v>9.1999999999999993</v>
      </c>
      <c r="N1261">
        <v>5.92</v>
      </c>
      <c r="O1261" s="6">
        <v>15.6</v>
      </c>
      <c r="P1261" s="7">
        <v>2.4</v>
      </c>
      <c r="U1261" t="s">
        <v>84</v>
      </c>
      <c r="V1261" t="s">
        <v>808</v>
      </c>
      <c r="W1261">
        <v>2.6</v>
      </c>
      <c r="X1261" t="s">
        <v>122</v>
      </c>
      <c r="Y1261" t="s">
        <v>874</v>
      </c>
      <c r="Z1261" t="s">
        <v>161</v>
      </c>
      <c r="AA1261" t="s">
        <v>101</v>
      </c>
      <c r="AB1261" t="s">
        <v>115</v>
      </c>
      <c r="AC1261">
        <v>1229</v>
      </c>
      <c r="AD1261" s="8" t="b">
        <f>AND(
 H1261&gt;=Filters!$B$3,
 H1261&lt;=Filters!$B$4,
 I1261&gt;=Filters!$B$5,
 OR(Filters!$B$6="All",B1261=Filters!$B$6),
 F1261&gt;=Filters!$B$7,
 F1261&lt;=Filters!$B$8,
 OR(Filters!$B$9="All",G1261=Filters!$B$9)
)</f>
        <v>0</v>
      </c>
      <c r="AE1261">
        <f t="shared" si="247"/>
        <v>6</v>
      </c>
      <c r="AF1261">
        <f t="shared" si="248"/>
        <v>7</v>
      </c>
      <c r="AG1261">
        <f t="shared" si="249"/>
        <v>7</v>
      </c>
      <c r="AH1261" s="9" t="str">
        <f t="shared" si="250"/>
        <v/>
      </c>
      <c r="AI1261" s="9" t="str">
        <f t="shared" si="251"/>
        <v/>
      </c>
      <c r="AJ1261" s="9" t="str">
        <f t="shared" si="252"/>
        <v/>
      </c>
      <c r="AK1261" s="9" t="str">
        <f t="shared" si="253"/>
        <v/>
      </c>
      <c r="AL1261" s="9" t="str">
        <f t="shared" si="254"/>
        <v/>
      </c>
      <c r="AM1261" s="9" t="str">
        <f t="shared" si="255"/>
        <v/>
      </c>
      <c r="AN1261" s="9" t="str">
        <f t="shared" si="256"/>
        <v/>
      </c>
      <c r="AO1261" s="9" t="str">
        <f t="shared" si="257"/>
        <v/>
      </c>
      <c r="AP1261" s="9" t="str">
        <f t="shared" si="258"/>
        <v/>
      </c>
      <c r="AQ1261" s="10" t="str">
        <f t="shared" si="259"/>
        <v/>
      </c>
    </row>
    <row r="1262" spans="1:43">
      <c r="A1262">
        <v>1261</v>
      </c>
      <c r="B1262" t="s">
        <v>29</v>
      </c>
      <c r="C1262" t="s">
        <v>1638</v>
      </c>
      <c r="D1262" t="s">
        <v>1639</v>
      </c>
      <c r="E1262" t="s">
        <v>168</v>
      </c>
      <c r="G1262" t="s">
        <v>18</v>
      </c>
      <c r="H1262" s="4">
        <v>22491270</v>
      </c>
      <c r="I1262" s="5">
        <v>128</v>
      </c>
      <c r="J1262" s="5">
        <v>0</v>
      </c>
      <c r="K1262" s="5">
        <v>4</v>
      </c>
      <c r="L1262">
        <v>6.6</v>
      </c>
      <c r="M1262">
        <v>3.5</v>
      </c>
      <c r="N1262">
        <v>6.3</v>
      </c>
      <c r="O1262" s="6">
        <v>14</v>
      </c>
      <c r="P1262" s="7">
        <v>1.8</v>
      </c>
      <c r="U1262" t="s">
        <v>84</v>
      </c>
      <c r="V1262" t="s">
        <v>375</v>
      </c>
      <c r="W1262">
        <v>2.2999999999999998</v>
      </c>
      <c r="X1262" t="s">
        <v>84</v>
      </c>
      <c r="Y1262" t="s">
        <v>130</v>
      </c>
      <c r="Z1262" t="s">
        <v>87</v>
      </c>
      <c r="AA1262" t="s">
        <v>169</v>
      </c>
      <c r="AB1262" t="s">
        <v>115</v>
      </c>
      <c r="AC1262">
        <v>833.01</v>
      </c>
      <c r="AD1262" s="8" t="b">
        <f>AND(
 H1262&gt;=Filters!$B$3,
 H1262&lt;=Filters!$B$4,
 I1262&gt;=Filters!$B$5,
 OR(Filters!$B$6="All",B1262=Filters!$B$6),
 F1262&gt;=Filters!$B$7,
 F1262&lt;=Filters!$B$8,
 OR(Filters!$B$9="All",G1262=Filters!$B$9)
)</f>
        <v>0</v>
      </c>
      <c r="AE1262">
        <f t="shared" si="247"/>
        <v>6</v>
      </c>
      <c r="AF1262">
        <f t="shared" si="248"/>
        <v>7</v>
      </c>
      <c r="AG1262">
        <f t="shared" si="249"/>
        <v>7</v>
      </c>
      <c r="AH1262" s="9" t="str">
        <f t="shared" si="250"/>
        <v/>
      </c>
      <c r="AI1262" s="9" t="str">
        <f t="shared" si="251"/>
        <v/>
      </c>
      <c r="AJ1262" s="9" t="str">
        <f t="shared" si="252"/>
        <v/>
      </c>
      <c r="AK1262" s="9" t="str">
        <f t="shared" si="253"/>
        <v/>
      </c>
      <c r="AL1262" s="9" t="str">
        <f t="shared" si="254"/>
        <v/>
      </c>
      <c r="AM1262" s="9" t="str">
        <f t="shared" si="255"/>
        <v/>
      </c>
      <c r="AN1262" s="9" t="str">
        <f t="shared" si="256"/>
        <v/>
      </c>
      <c r="AO1262" s="9" t="str">
        <f t="shared" si="257"/>
        <v/>
      </c>
      <c r="AP1262" s="9" t="str">
        <f t="shared" si="258"/>
        <v/>
      </c>
      <c r="AQ1262" s="10" t="str">
        <f t="shared" si="259"/>
        <v/>
      </c>
    </row>
    <row r="1263" spans="1:43">
      <c r="A1263">
        <v>1262</v>
      </c>
      <c r="B1263" t="s">
        <v>21</v>
      </c>
      <c r="C1263" t="s">
        <v>1640</v>
      </c>
      <c r="D1263" t="s">
        <v>1641</v>
      </c>
      <c r="E1263" t="s">
        <v>83</v>
      </c>
      <c r="G1263" t="s">
        <v>18</v>
      </c>
      <c r="H1263" s="4">
        <v>19683000</v>
      </c>
      <c r="I1263" s="5">
        <v>512</v>
      </c>
      <c r="J1263" s="5">
        <v>0</v>
      </c>
      <c r="K1263" s="5">
        <v>8</v>
      </c>
      <c r="L1263">
        <v>2.8</v>
      </c>
      <c r="M1263">
        <v>3.5</v>
      </c>
      <c r="N1263">
        <v>6.37</v>
      </c>
      <c r="O1263" s="6">
        <v>13.3</v>
      </c>
      <c r="P1263" s="7">
        <v>1.2</v>
      </c>
      <c r="U1263" t="s">
        <v>84</v>
      </c>
      <c r="V1263" t="s">
        <v>1642</v>
      </c>
      <c r="W1263">
        <v>0.9</v>
      </c>
      <c r="X1263" t="s">
        <v>84</v>
      </c>
      <c r="Y1263" t="s">
        <v>381</v>
      </c>
      <c r="Z1263" t="s">
        <v>106</v>
      </c>
      <c r="AA1263" t="s">
        <v>128</v>
      </c>
      <c r="AB1263" t="s">
        <v>115</v>
      </c>
      <c r="AC1263">
        <v>729</v>
      </c>
      <c r="AD1263" s="8" t="b">
        <f>AND(
 H1263&gt;=Filters!$B$3,
 H1263&lt;=Filters!$B$4,
 I1263&gt;=Filters!$B$5,
 OR(Filters!$B$6="All",B1263=Filters!$B$6),
 F1263&gt;=Filters!$B$7,
 F1263&lt;=Filters!$B$8,
 OR(Filters!$B$9="All",G1263=Filters!$B$9)
)</f>
        <v>1</v>
      </c>
      <c r="AE1263">
        <f t="shared" si="247"/>
        <v>6</v>
      </c>
      <c r="AF1263">
        <f t="shared" si="248"/>
        <v>7</v>
      </c>
      <c r="AG1263">
        <f t="shared" si="249"/>
        <v>7</v>
      </c>
      <c r="AH1263" s="9">
        <f t="shared" si="250"/>
        <v>0.19047619047619047</v>
      </c>
      <c r="AI1263" s="9">
        <f t="shared" si="251"/>
        <v>0.80952380952380942</v>
      </c>
      <c r="AJ1263" s="9">
        <f t="shared" si="252"/>
        <v>0.27380952380952378</v>
      </c>
      <c r="AK1263" s="9">
        <f t="shared" si="253"/>
        <v>0.6154761904761904</v>
      </c>
      <c r="AL1263" s="9">
        <f t="shared" si="254"/>
        <v>1</v>
      </c>
      <c r="AM1263" s="9">
        <f t="shared" si="255"/>
        <v>0.5714285714285714</v>
      </c>
      <c r="AN1263" s="9">
        <f t="shared" si="256"/>
        <v>0.69047619047619047</v>
      </c>
      <c r="AO1263" s="9">
        <f t="shared" si="257"/>
        <v>0.69047619047619047</v>
      </c>
      <c r="AP1263" s="9">
        <f t="shared" si="258"/>
        <v>0.57311952616867989</v>
      </c>
      <c r="AQ1263" s="10">
        <f t="shared" si="259"/>
        <v>0.57312078916867992</v>
      </c>
    </row>
    <row r="1264" spans="1:43">
      <c r="A1264">
        <v>1263</v>
      </c>
      <c r="B1264" t="s">
        <v>23</v>
      </c>
      <c r="C1264" t="s">
        <v>132</v>
      </c>
      <c r="D1264" t="s">
        <v>133</v>
      </c>
      <c r="E1264" t="s">
        <v>97</v>
      </c>
      <c r="G1264" t="s">
        <v>18</v>
      </c>
      <c r="H1264" s="4">
        <v>12393000</v>
      </c>
      <c r="I1264" s="5">
        <v>0</v>
      </c>
      <c r="J1264" s="5">
        <v>1024</v>
      </c>
      <c r="K1264" s="5">
        <v>6</v>
      </c>
      <c r="L1264">
        <v>4.8</v>
      </c>
      <c r="M1264">
        <v>3.5</v>
      </c>
      <c r="N1264">
        <v>3.92</v>
      </c>
      <c r="O1264" s="6">
        <v>15.6</v>
      </c>
      <c r="P1264" s="7">
        <v>2.2999999999999998</v>
      </c>
      <c r="U1264" t="s">
        <v>84</v>
      </c>
      <c r="V1264" t="s">
        <v>144</v>
      </c>
      <c r="W1264">
        <v>2.4</v>
      </c>
      <c r="X1264" t="s">
        <v>84</v>
      </c>
      <c r="Y1264" t="s">
        <v>99</v>
      </c>
      <c r="Z1264" t="s">
        <v>146</v>
      </c>
      <c r="AA1264" t="s">
        <v>114</v>
      </c>
      <c r="AB1264" t="s">
        <v>115</v>
      </c>
      <c r="AC1264">
        <v>459</v>
      </c>
      <c r="AD1264" s="8" t="b">
        <f>AND(
 H1264&gt;=Filters!$B$3,
 H1264&lt;=Filters!$B$4,
 I1264&gt;=Filters!$B$5,
 OR(Filters!$B$6="All",B1264=Filters!$B$6),
 F1264&gt;=Filters!$B$7,
 F1264&lt;=Filters!$B$8,
 OR(Filters!$B$9="All",G1264=Filters!$B$9)
)</f>
        <v>0</v>
      </c>
      <c r="AE1264">
        <f t="shared" si="247"/>
        <v>6</v>
      </c>
      <c r="AF1264">
        <f t="shared" si="248"/>
        <v>7</v>
      </c>
      <c r="AG1264">
        <f t="shared" si="249"/>
        <v>7</v>
      </c>
      <c r="AH1264" s="9" t="str">
        <f t="shared" si="250"/>
        <v/>
      </c>
      <c r="AI1264" s="9" t="str">
        <f t="shared" si="251"/>
        <v/>
      </c>
      <c r="AJ1264" s="9" t="str">
        <f t="shared" si="252"/>
        <v/>
      </c>
      <c r="AK1264" s="9" t="str">
        <f t="shared" si="253"/>
        <v/>
      </c>
      <c r="AL1264" s="9" t="str">
        <f t="shared" si="254"/>
        <v/>
      </c>
      <c r="AM1264" s="9" t="str">
        <f t="shared" si="255"/>
        <v/>
      </c>
      <c r="AN1264" s="9" t="str">
        <f t="shared" si="256"/>
        <v/>
      </c>
      <c r="AO1264" s="9" t="str">
        <f t="shared" si="257"/>
        <v/>
      </c>
      <c r="AP1264" s="9" t="str">
        <f t="shared" si="258"/>
        <v/>
      </c>
      <c r="AQ1264" s="10" t="str">
        <f t="shared" si="259"/>
        <v/>
      </c>
    </row>
    <row r="1265" spans="1:43">
      <c r="A1265">
        <v>1264</v>
      </c>
      <c r="B1265" t="s">
        <v>17</v>
      </c>
      <c r="C1265" t="s">
        <v>1643</v>
      </c>
      <c r="D1265" t="s">
        <v>1644</v>
      </c>
      <c r="E1265" t="s">
        <v>97</v>
      </c>
      <c r="G1265" t="s">
        <v>18</v>
      </c>
      <c r="H1265" s="4">
        <v>7803000</v>
      </c>
      <c r="I1265" s="5">
        <v>0</v>
      </c>
      <c r="J1265" s="5">
        <v>500</v>
      </c>
      <c r="K1265" s="5">
        <v>4</v>
      </c>
      <c r="L1265">
        <v>1.2</v>
      </c>
      <c r="M1265">
        <v>3.5</v>
      </c>
      <c r="N1265">
        <v>3.92</v>
      </c>
      <c r="O1265" s="6">
        <v>15.6</v>
      </c>
      <c r="P1265" s="7">
        <v>2.4</v>
      </c>
      <c r="U1265" t="s">
        <v>84</v>
      </c>
      <c r="V1265" t="s">
        <v>263</v>
      </c>
      <c r="W1265">
        <v>1.6</v>
      </c>
      <c r="X1265" t="s">
        <v>84</v>
      </c>
      <c r="Y1265" t="s">
        <v>154</v>
      </c>
      <c r="Z1265" t="s">
        <v>113</v>
      </c>
      <c r="AA1265" t="s">
        <v>114</v>
      </c>
      <c r="AB1265" t="s">
        <v>201</v>
      </c>
      <c r="AC1265">
        <v>289</v>
      </c>
      <c r="AD1265" s="8" t="b">
        <f>AND(
 H1265&gt;=Filters!$B$3,
 H1265&lt;=Filters!$B$4,
 I1265&gt;=Filters!$B$5,
 OR(Filters!$B$6="All",B1265=Filters!$B$6),
 F1265&gt;=Filters!$B$7,
 F1265&lt;=Filters!$B$8,
 OR(Filters!$B$9="All",G1265=Filters!$B$9)
)</f>
        <v>0</v>
      </c>
      <c r="AE1265">
        <f t="shared" si="247"/>
        <v>6</v>
      </c>
      <c r="AF1265">
        <f t="shared" si="248"/>
        <v>7</v>
      </c>
      <c r="AG1265">
        <f t="shared" si="249"/>
        <v>7</v>
      </c>
      <c r="AH1265" s="9" t="str">
        <f t="shared" si="250"/>
        <v/>
      </c>
      <c r="AI1265" s="9" t="str">
        <f t="shared" si="251"/>
        <v/>
      </c>
      <c r="AJ1265" s="9" t="str">
        <f t="shared" si="252"/>
        <v/>
      </c>
      <c r="AK1265" s="9" t="str">
        <f t="shared" si="253"/>
        <v/>
      </c>
      <c r="AL1265" s="9" t="str">
        <f t="shared" si="254"/>
        <v/>
      </c>
      <c r="AM1265" s="9" t="str">
        <f t="shared" si="255"/>
        <v/>
      </c>
      <c r="AN1265" s="9" t="str">
        <f t="shared" si="256"/>
        <v/>
      </c>
      <c r="AO1265" s="9" t="str">
        <f t="shared" si="257"/>
        <v/>
      </c>
      <c r="AP1265" s="9" t="str">
        <f t="shared" si="258"/>
        <v/>
      </c>
      <c r="AQ1265" s="10" t="str">
        <f t="shared" si="259"/>
        <v/>
      </c>
    </row>
    <row r="1266" spans="1:43">
      <c r="A1266">
        <v>1265</v>
      </c>
      <c r="B1266" t="s">
        <v>23</v>
      </c>
      <c r="C1266" t="s">
        <v>639</v>
      </c>
      <c r="D1266" t="s">
        <v>640</v>
      </c>
      <c r="E1266" t="s">
        <v>97</v>
      </c>
      <c r="G1266" t="s">
        <v>18</v>
      </c>
      <c r="H1266" s="4">
        <v>10233000</v>
      </c>
      <c r="I1266" s="5">
        <v>0</v>
      </c>
      <c r="J1266" s="5">
        <v>500</v>
      </c>
      <c r="K1266" s="5">
        <v>2</v>
      </c>
      <c r="L1266">
        <v>1.2</v>
      </c>
      <c r="M1266">
        <v>3.5</v>
      </c>
      <c r="N1266">
        <v>3.92</v>
      </c>
      <c r="O1266" s="6">
        <v>15.6</v>
      </c>
      <c r="P1266" s="7">
        <v>2.2000000000000002</v>
      </c>
      <c r="U1266" t="s">
        <v>84</v>
      </c>
      <c r="V1266" t="s">
        <v>1075</v>
      </c>
      <c r="W1266">
        <v>1.6</v>
      </c>
      <c r="X1266" t="s">
        <v>84</v>
      </c>
      <c r="Y1266" t="s">
        <v>187</v>
      </c>
      <c r="Z1266" t="s">
        <v>113</v>
      </c>
      <c r="AA1266" t="s">
        <v>114</v>
      </c>
      <c r="AB1266" t="s">
        <v>115</v>
      </c>
      <c r="AC1266">
        <v>379</v>
      </c>
      <c r="AD1266" s="8" t="b">
        <f>AND(
 H1266&gt;=Filters!$B$3,
 H1266&lt;=Filters!$B$4,
 I1266&gt;=Filters!$B$5,
 OR(Filters!$B$6="All",B1266=Filters!$B$6),
 F1266&gt;=Filters!$B$7,
 F1266&lt;=Filters!$B$8,
 OR(Filters!$B$9="All",G1266=Filters!$B$9)
)</f>
        <v>0</v>
      </c>
      <c r="AE1266">
        <f t="shared" si="247"/>
        <v>6</v>
      </c>
      <c r="AF1266">
        <f t="shared" si="248"/>
        <v>7</v>
      </c>
      <c r="AG1266">
        <f t="shared" si="249"/>
        <v>7</v>
      </c>
      <c r="AH1266" s="9" t="str">
        <f t="shared" si="250"/>
        <v/>
      </c>
      <c r="AI1266" s="9" t="str">
        <f t="shared" si="251"/>
        <v/>
      </c>
      <c r="AJ1266" s="9" t="str">
        <f t="shared" si="252"/>
        <v/>
      </c>
      <c r="AK1266" s="9" t="str">
        <f t="shared" si="253"/>
        <v/>
      </c>
      <c r="AL1266" s="9" t="str">
        <f t="shared" si="254"/>
        <v/>
      </c>
      <c r="AM1266" s="9" t="str">
        <f t="shared" si="255"/>
        <v/>
      </c>
      <c r="AN1266" s="9" t="str">
        <f t="shared" si="256"/>
        <v/>
      </c>
      <c r="AO1266" s="9" t="str">
        <f t="shared" si="257"/>
        <v/>
      </c>
      <c r="AP1266" s="9" t="str">
        <f t="shared" si="258"/>
        <v/>
      </c>
      <c r="AQ1266" s="10" t="str">
        <f t="shared" si="259"/>
        <v/>
      </c>
    </row>
    <row r="1267" spans="1:43">
      <c r="A1267">
        <v>1266</v>
      </c>
      <c r="B1267" t="s">
        <v>29</v>
      </c>
      <c r="C1267" t="s">
        <v>1298</v>
      </c>
      <c r="D1267" t="s">
        <v>1020</v>
      </c>
      <c r="E1267" t="s">
        <v>97</v>
      </c>
      <c r="G1267" t="s">
        <v>18</v>
      </c>
      <c r="H1267" s="4">
        <v>24273000</v>
      </c>
      <c r="I1267" s="5">
        <v>0</v>
      </c>
      <c r="J1267" s="5">
        <v>1024</v>
      </c>
      <c r="K1267" s="5">
        <v>8</v>
      </c>
      <c r="L1267">
        <v>9.1999999999999993</v>
      </c>
      <c r="M1267">
        <v>9.1999999999999993</v>
      </c>
      <c r="N1267">
        <v>6.32</v>
      </c>
      <c r="O1267" s="6">
        <v>15.6</v>
      </c>
      <c r="P1267" s="7">
        <v>2.6</v>
      </c>
      <c r="U1267" t="s">
        <v>84</v>
      </c>
      <c r="V1267" t="s">
        <v>808</v>
      </c>
      <c r="W1267">
        <v>2.6</v>
      </c>
      <c r="X1267" t="s">
        <v>122</v>
      </c>
      <c r="Y1267" t="s">
        <v>874</v>
      </c>
      <c r="Z1267" t="s">
        <v>146</v>
      </c>
      <c r="AA1267" t="s">
        <v>128</v>
      </c>
      <c r="AB1267" t="s">
        <v>115</v>
      </c>
      <c r="AC1267">
        <v>899</v>
      </c>
      <c r="AD1267" s="8" t="b">
        <f>AND(
 H1267&gt;=Filters!$B$3,
 H1267&lt;=Filters!$B$4,
 I1267&gt;=Filters!$B$5,
 OR(Filters!$B$6="All",B1267=Filters!$B$6),
 F1267&gt;=Filters!$B$7,
 F1267&lt;=Filters!$B$8,
 OR(Filters!$B$9="All",G1267=Filters!$B$9)
)</f>
        <v>0</v>
      </c>
      <c r="AE1267">
        <f t="shared" si="247"/>
        <v>6</v>
      </c>
      <c r="AF1267">
        <f t="shared" si="248"/>
        <v>7</v>
      </c>
      <c r="AG1267">
        <f t="shared" si="249"/>
        <v>7</v>
      </c>
      <c r="AH1267" s="9" t="str">
        <f t="shared" si="250"/>
        <v/>
      </c>
      <c r="AI1267" s="9" t="str">
        <f t="shared" si="251"/>
        <v/>
      </c>
      <c r="AJ1267" s="9" t="str">
        <f t="shared" si="252"/>
        <v/>
      </c>
      <c r="AK1267" s="9" t="str">
        <f t="shared" si="253"/>
        <v/>
      </c>
      <c r="AL1267" s="9" t="str">
        <f t="shared" si="254"/>
        <v/>
      </c>
      <c r="AM1267" s="9" t="str">
        <f t="shared" si="255"/>
        <v/>
      </c>
      <c r="AN1267" s="9" t="str">
        <f t="shared" si="256"/>
        <v/>
      </c>
      <c r="AO1267" s="9" t="str">
        <f t="shared" si="257"/>
        <v/>
      </c>
      <c r="AP1267" s="9" t="str">
        <f t="shared" si="258"/>
        <v/>
      </c>
      <c r="AQ1267" s="10" t="str">
        <f t="shared" si="259"/>
        <v/>
      </c>
    </row>
    <row r="1268" spans="1:43">
      <c r="A1268">
        <v>1267</v>
      </c>
      <c r="B1268" t="s">
        <v>26</v>
      </c>
      <c r="C1268" t="s">
        <v>1645</v>
      </c>
      <c r="D1268" t="s">
        <v>1646</v>
      </c>
      <c r="E1268" t="s">
        <v>97</v>
      </c>
      <c r="G1268" t="s">
        <v>18</v>
      </c>
      <c r="H1268" s="4">
        <v>14849730</v>
      </c>
      <c r="I1268" s="5">
        <v>0</v>
      </c>
      <c r="J1268" s="5">
        <v>0</v>
      </c>
      <c r="K1268" s="5">
        <v>6</v>
      </c>
      <c r="L1268">
        <v>6.8</v>
      </c>
      <c r="M1268">
        <v>6.5</v>
      </c>
      <c r="N1268">
        <v>5.92</v>
      </c>
      <c r="O1268" s="6">
        <v>15.6</v>
      </c>
      <c r="P1268" s="7">
        <v>2.04</v>
      </c>
      <c r="U1268" t="s">
        <v>104</v>
      </c>
      <c r="V1268" t="s">
        <v>1647</v>
      </c>
      <c r="W1268">
        <v>2.9</v>
      </c>
      <c r="X1268" t="s">
        <v>104</v>
      </c>
      <c r="Y1268" t="s">
        <v>1066</v>
      </c>
      <c r="Z1268" t="s">
        <v>393</v>
      </c>
      <c r="AA1268" t="s">
        <v>101</v>
      </c>
      <c r="AB1268" t="s">
        <v>115</v>
      </c>
      <c r="AC1268">
        <v>549.99</v>
      </c>
      <c r="AD1268" s="8" t="b">
        <f>AND(
 H1268&gt;=Filters!$B$3,
 H1268&lt;=Filters!$B$4,
 I1268&gt;=Filters!$B$5,
 OR(Filters!$B$6="All",B1268=Filters!$B$6),
 F1268&gt;=Filters!$B$7,
 F1268&lt;=Filters!$B$8,
 OR(Filters!$B$9="All",G1268=Filters!$B$9)
)</f>
        <v>0</v>
      </c>
      <c r="AE1268">
        <f t="shared" si="247"/>
        <v>6</v>
      </c>
      <c r="AF1268">
        <f t="shared" si="248"/>
        <v>7</v>
      </c>
      <c r="AG1268">
        <f t="shared" si="249"/>
        <v>7</v>
      </c>
      <c r="AH1268" s="9" t="str">
        <f t="shared" si="250"/>
        <v/>
      </c>
      <c r="AI1268" s="9" t="str">
        <f t="shared" si="251"/>
        <v/>
      </c>
      <c r="AJ1268" s="9" t="str">
        <f t="shared" si="252"/>
        <v/>
      </c>
      <c r="AK1268" s="9" t="str">
        <f t="shared" si="253"/>
        <v/>
      </c>
      <c r="AL1268" s="9" t="str">
        <f t="shared" si="254"/>
        <v/>
      </c>
      <c r="AM1268" s="9" t="str">
        <f t="shared" si="255"/>
        <v/>
      </c>
      <c r="AN1268" s="9" t="str">
        <f t="shared" si="256"/>
        <v/>
      </c>
      <c r="AO1268" s="9" t="str">
        <f t="shared" si="257"/>
        <v/>
      </c>
      <c r="AP1268" s="9" t="str">
        <f t="shared" si="258"/>
        <v/>
      </c>
      <c r="AQ1268" s="10" t="str">
        <f t="shared" si="259"/>
        <v/>
      </c>
    </row>
    <row r="1269" spans="1:43">
      <c r="A1269">
        <v>1268</v>
      </c>
      <c r="B1269" t="s">
        <v>23</v>
      </c>
      <c r="C1269" t="s">
        <v>132</v>
      </c>
      <c r="D1269" t="s">
        <v>133</v>
      </c>
      <c r="E1269" t="s">
        <v>97</v>
      </c>
      <c r="G1269" t="s">
        <v>18</v>
      </c>
      <c r="H1269" s="4">
        <v>21761730</v>
      </c>
      <c r="I1269" s="5">
        <v>0</v>
      </c>
      <c r="J1269" s="5">
        <v>1024</v>
      </c>
      <c r="K1269" s="5">
        <v>8</v>
      </c>
      <c r="L1269">
        <v>9.4</v>
      </c>
      <c r="M1269">
        <v>6.5</v>
      </c>
      <c r="N1269">
        <v>3.92</v>
      </c>
      <c r="O1269" s="6">
        <v>15.6</v>
      </c>
      <c r="P1269" s="7">
        <v>2.2999999999999998</v>
      </c>
      <c r="U1269" t="s">
        <v>84</v>
      </c>
      <c r="V1269" t="s">
        <v>140</v>
      </c>
      <c r="W1269">
        <v>2.7</v>
      </c>
      <c r="X1269" t="s">
        <v>104</v>
      </c>
      <c r="Y1269" t="s">
        <v>134</v>
      </c>
      <c r="Z1269" t="s">
        <v>146</v>
      </c>
      <c r="AA1269" t="s">
        <v>114</v>
      </c>
      <c r="AB1269" t="s">
        <v>201</v>
      </c>
      <c r="AC1269">
        <v>805.99</v>
      </c>
      <c r="AD1269" s="8" t="b">
        <f>AND(
 H1269&gt;=Filters!$B$3,
 H1269&lt;=Filters!$B$4,
 I1269&gt;=Filters!$B$5,
 OR(Filters!$B$6="All",B1269=Filters!$B$6),
 F1269&gt;=Filters!$B$7,
 F1269&lt;=Filters!$B$8,
 OR(Filters!$B$9="All",G1269=Filters!$B$9)
)</f>
        <v>0</v>
      </c>
      <c r="AE1269">
        <f t="shared" si="247"/>
        <v>6</v>
      </c>
      <c r="AF1269">
        <f t="shared" si="248"/>
        <v>7</v>
      </c>
      <c r="AG1269">
        <f t="shared" si="249"/>
        <v>7</v>
      </c>
      <c r="AH1269" s="9" t="str">
        <f t="shared" si="250"/>
        <v/>
      </c>
      <c r="AI1269" s="9" t="str">
        <f t="shared" si="251"/>
        <v/>
      </c>
      <c r="AJ1269" s="9" t="str">
        <f t="shared" si="252"/>
        <v/>
      </c>
      <c r="AK1269" s="9" t="str">
        <f t="shared" si="253"/>
        <v/>
      </c>
      <c r="AL1269" s="9" t="str">
        <f t="shared" si="254"/>
        <v/>
      </c>
      <c r="AM1269" s="9" t="str">
        <f t="shared" si="255"/>
        <v/>
      </c>
      <c r="AN1269" s="9" t="str">
        <f t="shared" si="256"/>
        <v/>
      </c>
      <c r="AO1269" s="9" t="str">
        <f t="shared" si="257"/>
        <v/>
      </c>
      <c r="AP1269" s="9" t="str">
        <f t="shared" si="258"/>
        <v/>
      </c>
      <c r="AQ1269" s="10" t="str">
        <f t="shared" si="259"/>
        <v/>
      </c>
    </row>
    <row r="1270" spans="1:43">
      <c r="A1270">
        <v>1269</v>
      </c>
      <c r="B1270" t="s">
        <v>26</v>
      </c>
      <c r="C1270" t="s">
        <v>1648</v>
      </c>
      <c r="D1270" t="s">
        <v>1649</v>
      </c>
      <c r="E1270" t="s">
        <v>152</v>
      </c>
      <c r="G1270" t="s">
        <v>18</v>
      </c>
      <c r="H1270" s="4">
        <v>5643000</v>
      </c>
      <c r="I1270" s="5">
        <v>32</v>
      </c>
      <c r="J1270" s="5">
        <v>0</v>
      </c>
      <c r="K1270" s="5">
        <v>2</v>
      </c>
      <c r="L1270">
        <v>1.2</v>
      </c>
      <c r="M1270">
        <v>3.5</v>
      </c>
      <c r="N1270">
        <v>3.88</v>
      </c>
      <c r="O1270" s="6">
        <v>11.6</v>
      </c>
      <c r="P1270" s="7">
        <v>1.17</v>
      </c>
      <c r="U1270" t="s">
        <v>84</v>
      </c>
      <c r="V1270" t="s">
        <v>263</v>
      </c>
      <c r="W1270">
        <v>1.6</v>
      </c>
      <c r="X1270" t="s">
        <v>84</v>
      </c>
      <c r="Y1270" t="s">
        <v>154</v>
      </c>
      <c r="Z1270" t="s">
        <v>155</v>
      </c>
      <c r="AA1270" t="s">
        <v>114</v>
      </c>
      <c r="AB1270" t="s">
        <v>115</v>
      </c>
      <c r="AC1270">
        <v>209</v>
      </c>
      <c r="AD1270" s="8" t="b">
        <f>AND(
 H1270&gt;=Filters!$B$3,
 H1270&lt;=Filters!$B$4,
 I1270&gt;=Filters!$B$5,
 OR(Filters!$B$6="All",B1270=Filters!$B$6),
 F1270&gt;=Filters!$B$7,
 F1270&lt;=Filters!$B$8,
 OR(Filters!$B$9="All",G1270=Filters!$B$9)
)</f>
        <v>0</v>
      </c>
      <c r="AE1270">
        <f t="shared" si="247"/>
        <v>6</v>
      </c>
      <c r="AF1270">
        <f t="shared" si="248"/>
        <v>7</v>
      </c>
      <c r="AG1270">
        <f t="shared" si="249"/>
        <v>7</v>
      </c>
      <c r="AH1270" s="9" t="str">
        <f t="shared" si="250"/>
        <v/>
      </c>
      <c r="AI1270" s="9" t="str">
        <f t="shared" si="251"/>
        <v/>
      </c>
      <c r="AJ1270" s="9" t="str">
        <f t="shared" si="252"/>
        <v/>
      </c>
      <c r="AK1270" s="9" t="str">
        <f t="shared" si="253"/>
        <v/>
      </c>
      <c r="AL1270" s="9" t="str">
        <f t="shared" si="254"/>
        <v/>
      </c>
      <c r="AM1270" s="9" t="str">
        <f t="shared" si="255"/>
        <v/>
      </c>
      <c r="AN1270" s="9" t="str">
        <f t="shared" si="256"/>
        <v/>
      </c>
      <c r="AO1270" s="9" t="str">
        <f t="shared" si="257"/>
        <v/>
      </c>
      <c r="AP1270" s="9" t="str">
        <f t="shared" si="258"/>
        <v/>
      </c>
      <c r="AQ1270" s="10" t="str">
        <f t="shared" si="259"/>
        <v/>
      </c>
    </row>
    <row r="1271" spans="1:43">
      <c r="A1271">
        <v>1270</v>
      </c>
      <c r="B1271" t="s">
        <v>21</v>
      </c>
      <c r="C1271" t="s">
        <v>1650</v>
      </c>
      <c r="D1271" t="s">
        <v>1651</v>
      </c>
      <c r="E1271" t="s">
        <v>97</v>
      </c>
      <c r="G1271" t="s">
        <v>18</v>
      </c>
      <c r="H1271" s="4">
        <v>19448640</v>
      </c>
      <c r="I1271" s="5">
        <v>0</v>
      </c>
      <c r="J1271" s="5">
        <v>500</v>
      </c>
      <c r="K1271" s="5">
        <v>4</v>
      </c>
      <c r="L1271">
        <v>9</v>
      </c>
      <c r="M1271">
        <v>8.5</v>
      </c>
      <c r="N1271">
        <v>3.92</v>
      </c>
      <c r="O1271" s="6">
        <v>15.6</v>
      </c>
      <c r="P1271" s="7">
        <v>2.2000000000000002</v>
      </c>
      <c r="U1271" t="s">
        <v>84</v>
      </c>
      <c r="V1271" t="s">
        <v>485</v>
      </c>
      <c r="W1271">
        <v>2.5</v>
      </c>
      <c r="X1271" t="s">
        <v>122</v>
      </c>
      <c r="Y1271" t="s">
        <v>311</v>
      </c>
      <c r="Z1271" t="s">
        <v>113</v>
      </c>
      <c r="AA1271" t="s">
        <v>114</v>
      </c>
      <c r="AB1271" t="s">
        <v>115</v>
      </c>
      <c r="AC1271">
        <v>720.32</v>
      </c>
      <c r="AD1271" s="8" t="b">
        <f>AND(
 H1271&gt;=Filters!$B$3,
 H1271&lt;=Filters!$B$4,
 I1271&gt;=Filters!$B$5,
 OR(Filters!$B$6="All",B1271=Filters!$B$6),
 F1271&gt;=Filters!$B$7,
 F1271&lt;=Filters!$B$8,
 OR(Filters!$B$9="All",G1271=Filters!$B$9)
)</f>
        <v>0</v>
      </c>
      <c r="AE1271">
        <f t="shared" si="247"/>
        <v>6</v>
      </c>
      <c r="AF1271">
        <f t="shared" si="248"/>
        <v>7</v>
      </c>
      <c r="AG1271">
        <f t="shared" si="249"/>
        <v>7</v>
      </c>
      <c r="AH1271" s="9" t="str">
        <f t="shared" si="250"/>
        <v/>
      </c>
      <c r="AI1271" s="9" t="str">
        <f t="shared" si="251"/>
        <v/>
      </c>
      <c r="AJ1271" s="9" t="str">
        <f t="shared" si="252"/>
        <v/>
      </c>
      <c r="AK1271" s="9" t="str">
        <f t="shared" si="253"/>
        <v/>
      </c>
      <c r="AL1271" s="9" t="str">
        <f t="shared" si="254"/>
        <v/>
      </c>
      <c r="AM1271" s="9" t="str">
        <f t="shared" si="255"/>
        <v/>
      </c>
      <c r="AN1271" s="9" t="str">
        <f t="shared" si="256"/>
        <v/>
      </c>
      <c r="AO1271" s="9" t="str">
        <f t="shared" si="257"/>
        <v/>
      </c>
      <c r="AP1271" s="9" t="str">
        <f t="shared" si="258"/>
        <v/>
      </c>
      <c r="AQ1271" s="10" t="str">
        <f t="shared" si="259"/>
        <v/>
      </c>
    </row>
    <row r="1272" spans="1:43">
      <c r="A1272">
        <v>1271</v>
      </c>
      <c r="B1272" t="s">
        <v>29</v>
      </c>
      <c r="C1272" t="s">
        <v>1652</v>
      </c>
      <c r="D1272" t="s">
        <v>1653</v>
      </c>
      <c r="E1272" t="s">
        <v>168</v>
      </c>
      <c r="G1272" t="s">
        <v>18</v>
      </c>
      <c r="H1272" s="4">
        <v>17226000</v>
      </c>
      <c r="I1272" s="5">
        <v>128</v>
      </c>
      <c r="J1272" s="5">
        <v>0</v>
      </c>
      <c r="K1272" s="5">
        <v>4</v>
      </c>
      <c r="L1272">
        <v>9</v>
      </c>
      <c r="M1272">
        <v>3.5</v>
      </c>
      <c r="N1272">
        <v>6.7</v>
      </c>
      <c r="O1272" s="6">
        <v>14</v>
      </c>
      <c r="P1272" s="7">
        <v>1.8</v>
      </c>
      <c r="U1272" t="s">
        <v>84</v>
      </c>
      <c r="V1272" t="s">
        <v>485</v>
      </c>
      <c r="W1272">
        <v>2.5</v>
      </c>
      <c r="X1272" t="s">
        <v>84</v>
      </c>
      <c r="Y1272" t="s">
        <v>130</v>
      </c>
      <c r="Z1272" t="s">
        <v>87</v>
      </c>
      <c r="AA1272" t="s">
        <v>149</v>
      </c>
      <c r="AB1272" t="s">
        <v>115</v>
      </c>
      <c r="AC1272">
        <v>638</v>
      </c>
      <c r="AD1272" s="8" t="b">
        <f>AND(
 H1272&gt;=Filters!$B$3,
 H1272&lt;=Filters!$B$4,
 I1272&gt;=Filters!$B$5,
 OR(Filters!$B$6="All",B1272=Filters!$B$6),
 F1272&gt;=Filters!$B$7,
 F1272&lt;=Filters!$B$8,
 OR(Filters!$B$9="All",G1272=Filters!$B$9)
)</f>
        <v>0</v>
      </c>
      <c r="AE1272">
        <f t="shared" si="247"/>
        <v>6</v>
      </c>
      <c r="AF1272">
        <f t="shared" si="248"/>
        <v>7</v>
      </c>
      <c r="AG1272">
        <f t="shared" si="249"/>
        <v>7</v>
      </c>
      <c r="AH1272" s="9" t="str">
        <f t="shared" si="250"/>
        <v/>
      </c>
      <c r="AI1272" s="9" t="str">
        <f t="shared" si="251"/>
        <v/>
      </c>
      <c r="AJ1272" s="9" t="str">
        <f t="shared" si="252"/>
        <v/>
      </c>
      <c r="AK1272" s="9" t="str">
        <f t="shared" si="253"/>
        <v/>
      </c>
      <c r="AL1272" s="9" t="str">
        <f t="shared" si="254"/>
        <v/>
      </c>
      <c r="AM1272" s="9" t="str">
        <f t="shared" si="255"/>
        <v/>
      </c>
      <c r="AN1272" s="9" t="str">
        <f t="shared" si="256"/>
        <v/>
      </c>
      <c r="AO1272" s="9" t="str">
        <f t="shared" si="257"/>
        <v/>
      </c>
      <c r="AP1272" s="9" t="str">
        <f t="shared" si="258"/>
        <v/>
      </c>
      <c r="AQ1272" s="10" t="str">
        <f t="shared" si="259"/>
        <v/>
      </c>
    </row>
    <row r="1273" spans="1:43">
      <c r="A1273">
        <v>1272</v>
      </c>
      <c r="B1273" t="s">
        <v>29</v>
      </c>
      <c r="C1273" t="s">
        <v>1145</v>
      </c>
      <c r="D1273" t="s">
        <v>1146</v>
      </c>
      <c r="E1273" t="s">
        <v>168</v>
      </c>
      <c r="G1273" t="s">
        <v>18</v>
      </c>
      <c r="H1273" s="4">
        <v>40473000</v>
      </c>
      <c r="I1273" s="5">
        <v>512</v>
      </c>
      <c r="J1273" s="5">
        <v>0</v>
      </c>
      <c r="K1273" s="5">
        <v>16</v>
      </c>
      <c r="L1273">
        <v>9</v>
      </c>
      <c r="M1273">
        <v>3.5</v>
      </c>
      <c r="N1273">
        <v>8.8699999999999992</v>
      </c>
      <c r="O1273" s="6">
        <v>13.3</v>
      </c>
      <c r="P1273" s="7">
        <v>1.3</v>
      </c>
      <c r="U1273" t="s">
        <v>84</v>
      </c>
      <c r="V1273" t="s">
        <v>485</v>
      </c>
      <c r="W1273">
        <v>2.5</v>
      </c>
      <c r="X1273" t="s">
        <v>84</v>
      </c>
      <c r="Y1273" t="s">
        <v>130</v>
      </c>
      <c r="Z1273" t="s">
        <v>106</v>
      </c>
      <c r="AA1273" t="s">
        <v>909</v>
      </c>
      <c r="AB1273" t="s">
        <v>115</v>
      </c>
      <c r="AC1273">
        <v>1499</v>
      </c>
      <c r="AD1273" s="8" t="b">
        <f>AND(
 H1273&gt;=Filters!$B$3,
 H1273&lt;=Filters!$B$4,
 I1273&gt;=Filters!$B$5,
 OR(Filters!$B$6="All",B1273=Filters!$B$6),
 F1273&gt;=Filters!$B$7,
 F1273&lt;=Filters!$B$8,
 OR(Filters!$B$9="All",G1273=Filters!$B$9)
)</f>
        <v>0</v>
      </c>
      <c r="AE1273">
        <f t="shared" si="247"/>
        <v>6</v>
      </c>
      <c r="AF1273">
        <f t="shared" si="248"/>
        <v>7</v>
      </c>
      <c r="AG1273">
        <f t="shared" si="249"/>
        <v>7</v>
      </c>
      <c r="AH1273" s="9" t="str">
        <f t="shared" si="250"/>
        <v/>
      </c>
      <c r="AI1273" s="9" t="str">
        <f t="shared" si="251"/>
        <v/>
      </c>
      <c r="AJ1273" s="9" t="str">
        <f t="shared" si="252"/>
        <v/>
      </c>
      <c r="AK1273" s="9" t="str">
        <f t="shared" si="253"/>
        <v/>
      </c>
      <c r="AL1273" s="9" t="str">
        <f t="shared" si="254"/>
        <v/>
      </c>
      <c r="AM1273" s="9" t="str">
        <f t="shared" si="255"/>
        <v/>
      </c>
      <c r="AN1273" s="9" t="str">
        <f t="shared" si="256"/>
        <v/>
      </c>
      <c r="AO1273" s="9" t="str">
        <f t="shared" si="257"/>
        <v/>
      </c>
      <c r="AP1273" s="9" t="str">
        <f t="shared" si="258"/>
        <v/>
      </c>
      <c r="AQ1273" s="10" t="str">
        <f t="shared" si="259"/>
        <v/>
      </c>
    </row>
    <row r="1274" spans="1:43">
      <c r="A1274">
        <v>1273</v>
      </c>
      <c r="B1274" t="s">
        <v>29</v>
      </c>
      <c r="C1274" t="s">
        <v>999</v>
      </c>
      <c r="D1274" t="s">
        <v>1000</v>
      </c>
      <c r="E1274" t="s">
        <v>97</v>
      </c>
      <c r="G1274" t="s">
        <v>18</v>
      </c>
      <c r="H1274" s="4">
        <v>6183000</v>
      </c>
      <c r="I1274" s="5">
        <v>64</v>
      </c>
      <c r="J1274" s="5">
        <v>0</v>
      </c>
      <c r="K1274" s="5">
        <v>2</v>
      </c>
      <c r="L1274">
        <v>1.2</v>
      </c>
      <c r="M1274">
        <v>3.5</v>
      </c>
      <c r="N1274">
        <v>4</v>
      </c>
      <c r="O1274" s="6">
        <v>14</v>
      </c>
      <c r="P1274" s="7">
        <v>1.5</v>
      </c>
      <c r="U1274" t="s">
        <v>84</v>
      </c>
      <c r="V1274" t="s">
        <v>1075</v>
      </c>
      <c r="W1274">
        <v>1.6</v>
      </c>
      <c r="X1274" t="s">
        <v>84</v>
      </c>
      <c r="Y1274" t="s">
        <v>187</v>
      </c>
      <c r="Z1274" t="s">
        <v>188</v>
      </c>
      <c r="AA1274" t="s">
        <v>114</v>
      </c>
      <c r="AB1274" t="s">
        <v>115</v>
      </c>
      <c r="AC1274">
        <v>229</v>
      </c>
      <c r="AD1274" s="8" t="b">
        <f>AND(
 H1274&gt;=Filters!$B$3,
 H1274&lt;=Filters!$B$4,
 I1274&gt;=Filters!$B$5,
 OR(Filters!$B$6="All",B1274=Filters!$B$6),
 F1274&gt;=Filters!$B$7,
 F1274&lt;=Filters!$B$8,
 OR(Filters!$B$9="All",G1274=Filters!$B$9)
)</f>
        <v>0</v>
      </c>
      <c r="AE1274">
        <f t="shared" si="247"/>
        <v>6</v>
      </c>
      <c r="AF1274">
        <f t="shared" si="248"/>
        <v>7</v>
      </c>
      <c r="AG1274">
        <f t="shared" si="249"/>
        <v>7</v>
      </c>
      <c r="AH1274" s="9" t="str">
        <f t="shared" si="250"/>
        <v/>
      </c>
      <c r="AI1274" s="9" t="str">
        <f t="shared" si="251"/>
        <v/>
      </c>
      <c r="AJ1274" s="9" t="str">
        <f t="shared" si="252"/>
        <v/>
      </c>
      <c r="AK1274" s="9" t="str">
        <f t="shared" si="253"/>
        <v/>
      </c>
      <c r="AL1274" s="9" t="str">
        <f t="shared" si="254"/>
        <v/>
      </c>
      <c r="AM1274" s="9" t="str">
        <f t="shared" si="255"/>
        <v/>
      </c>
      <c r="AN1274" s="9" t="str">
        <f t="shared" si="256"/>
        <v/>
      </c>
      <c r="AO1274" s="9" t="str">
        <f t="shared" si="257"/>
        <v/>
      </c>
      <c r="AP1274" s="9" t="str">
        <f t="shared" si="258"/>
        <v/>
      </c>
      <c r="AQ1274" s="10" t="str">
        <f t="shared" si="259"/>
        <v/>
      </c>
    </row>
    <row r="1275" spans="1:43">
      <c r="A1275">
        <v>1274</v>
      </c>
      <c r="B1275" t="s">
        <v>26</v>
      </c>
      <c r="C1275" t="s">
        <v>1654</v>
      </c>
      <c r="D1275" t="s">
        <v>1655</v>
      </c>
      <c r="E1275" t="s">
        <v>97</v>
      </c>
      <c r="G1275" t="s">
        <v>18</v>
      </c>
      <c r="H1275" s="4">
        <v>20628000</v>
      </c>
      <c r="I1275" s="5">
        <v>0</v>
      </c>
      <c r="J1275" s="5">
        <v>1024</v>
      </c>
      <c r="K1275" s="5">
        <v>6</v>
      </c>
      <c r="L1275">
        <v>9</v>
      </c>
      <c r="M1275">
        <v>6.5</v>
      </c>
      <c r="N1275">
        <v>3.92</v>
      </c>
      <c r="O1275" s="6">
        <v>15.6</v>
      </c>
      <c r="P1275" s="7">
        <v>2.19</v>
      </c>
      <c r="U1275" t="s">
        <v>84</v>
      </c>
      <c r="V1275" t="s">
        <v>485</v>
      </c>
      <c r="W1275">
        <v>2.5</v>
      </c>
      <c r="X1275" t="s">
        <v>104</v>
      </c>
      <c r="Y1275" t="s">
        <v>1454</v>
      </c>
      <c r="Z1275" t="s">
        <v>146</v>
      </c>
      <c r="AA1275" t="s">
        <v>114</v>
      </c>
      <c r="AB1275" t="s">
        <v>115</v>
      </c>
      <c r="AC1275">
        <v>764</v>
      </c>
      <c r="AD1275" s="8" t="b">
        <f>AND(
 H1275&gt;=Filters!$B$3,
 H1275&lt;=Filters!$B$4,
 I1275&gt;=Filters!$B$5,
 OR(Filters!$B$6="All",B1275=Filters!$B$6),
 F1275&gt;=Filters!$B$7,
 F1275&lt;=Filters!$B$8,
 OR(Filters!$B$9="All",G1275=Filters!$B$9)
)</f>
        <v>0</v>
      </c>
      <c r="AE1275">
        <f t="shared" si="247"/>
        <v>6</v>
      </c>
      <c r="AF1275">
        <f t="shared" si="248"/>
        <v>7</v>
      </c>
      <c r="AG1275">
        <f t="shared" si="249"/>
        <v>7</v>
      </c>
      <c r="AH1275" s="9" t="str">
        <f t="shared" si="250"/>
        <v/>
      </c>
      <c r="AI1275" s="9" t="str">
        <f t="shared" si="251"/>
        <v/>
      </c>
      <c r="AJ1275" s="9" t="str">
        <f t="shared" si="252"/>
        <v/>
      </c>
      <c r="AK1275" s="9" t="str">
        <f t="shared" si="253"/>
        <v/>
      </c>
      <c r="AL1275" s="9" t="str">
        <f t="shared" si="254"/>
        <v/>
      </c>
      <c r="AM1275" s="9" t="str">
        <f t="shared" si="255"/>
        <v/>
      </c>
      <c r="AN1275" s="9" t="str">
        <f t="shared" si="256"/>
        <v/>
      </c>
      <c r="AO1275" s="9" t="str">
        <f t="shared" si="257"/>
        <v/>
      </c>
      <c r="AP1275" s="9" t="str">
        <f t="shared" si="258"/>
        <v/>
      </c>
      <c r="AQ1275" s="10" t="str">
        <f t="shared" si="259"/>
        <v/>
      </c>
    </row>
    <row r="1276" spans="1:43">
      <c r="A1276">
        <v>1275</v>
      </c>
      <c r="B1276" t="s">
        <v>21</v>
      </c>
      <c r="C1276" t="s">
        <v>1656</v>
      </c>
      <c r="D1276" t="s">
        <v>1657</v>
      </c>
      <c r="E1276" t="s">
        <v>97</v>
      </c>
      <c r="G1276" t="s">
        <v>18</v>
      </c>
      <c r="H1276" s="4">
        <v>9963000</v>
      </c>
      <c r="I1276" s="5">
        <v>0</v>
      </c>
      <c r="J1276" s="5">
        <v>500</v>
      </c>
      <c r="K1276" s="5">
        <v>4</v>
      </c>
      <c r="L1276">
        <v>1.2</v>
      </c>
      <c r="M1276">
        <v>3.5</v>
      </c>
      <c r="N1276">
        <v>3.92</v>
      </c>
      <c r="O1276" s="6">
        <v>15.6</v>
      </c>
      <c r="P1276" s="7">
        <v>2.2000000000000002</v>
      </c>
      <c r="U1276" t="s">
        <v>84</v>
      </c>
      <c r="V1276" t="s">
        <v>1075</v>
      </c>
      <c r="W1276">
        <v>1.6</v>
      </c>
      <c r="X1276" t="s">
        <v>84</v>
      </c>
      <c r="Y1276" t="s">
        <v>187</v>
      </c>
      <c r="Z1276" t="s">
        <v>113</v>
      </c>
      <c r="AA1276" t="s">
        <v>114</v>
      </c>
      <c r="AB1276" t="s">
        <v>115</v>
      </c>
      <c r="AC1276">
        <v>369</v>
      </c>
      <c r="AD1276" s="8" t="b">
        <f>AND(
 H1276&gt;=Filters!$B$3,
 H1276&lt;=Filters!$B$4,
 I1276&gt;=Filters!$B$5,
 OR(Filters!$B$6="All",B1276=Filters!$B$6),
 F1276&gt;=Filters!$B$7,
 F1276&lt;=Filters!$B$8,
 OR(Filters!$B$9="All",G1276=Filters!$B$9)
)</f>
        <v>0</v>
      </c>
      <c r="AE1276">
        <f t="shared" si="247"/>
        <v>6</v>
      </c>
      <c r="AF1276">
        <f t="shared" si="248"/>
        <v>7</v>
      </c>
      <c r="AG1276">
        <f t="shared" si="249"/>
        <v>7</v>
      </c>
      <c r="AH1276" s="9" t="str">
        <f t="shared" si="250"/>
        <v/>
      </c>
      <c r="AI1276" s="9" t="str">
        <f t="shared" si="251"/>
        <v/>
      </c>
      <c r="AJ1276" s="9" t="str">
        <f t="shared" si="252"/>
        <v/>
      </c>
      <c r="AK1276" s="9" t="str">
        <f t="shared" si="253"/>
        <v/>
      </c>
      <c r="AL1276" s="9" t="str">
        <f t="shared" si="254"/>
        <v/>
      </c>
      <c r="AM1276" s="9" t="str">
        <f t="shared" si="255"/>
        <v/>
      </c>
      <c r="AN1276" s="9" t="str">
        <f t="shared" si="256"/>
        <v/>
      </c>
      <c r="AO1276" s="9" t="str">
        <f t="shared" si="257"/>
        <v/>
      </c>
      <c r="AP1276" s="9" t="str">
        <f t="shared" si="258"/>
        <v/>
      </c>
      <c r="AQ1276" s="10" t="str">
        <f t="shared" si="259"/>
        <v/>
      </c>
    </row>
    <row r="1277" spans="1:43">
      <c r="AD1277" s="8"/>
    </row>
    <row r="1278" spans="1:43">
      <c r="AD1278" s="8"/>
    </row>
    <row r="1279" spans="1:43">
      <c r="AD1279" s="8"/>
    </row>
    <row r="1280" spans="1:43">
      <c r="AD1280" s="8"/>
    </row>
    <row r="1281" spans="30:30">
      <c r="AD1281" s="8"/>
    </row>
    <row r="1282" spans="30:30">
      <c r="AD1282" s="8"/>
    </row>
    <row r="1283" spans="30:30">
      <c r="AD1283" s="8"/>
    </row>
    <row r="1284" spans="30:30">
      <c r="AD1284" s="8"/>
    </row>
    <row r="1285" spans="30:30">
      <c r="AD1285" s="8"/>
    </row>
    <row r="1286" spans="30:30">
      <c r="AD1286" s="8"/>
    </row>
    <row r="1287" spans="30:30">
      <c r="AD1287" s="8"/>
    </row>
    <row r="1288" spans="30:30">
      <c r="AD1288" s="8"/>
    </row>
    <row r="1289" spans="30:30">
      <c r="AD1289" s="8"/>
    </row>
    <row r="1290" spans="30:30">
      <c r="AD1290" s="8"/>
    </row>
    <row r="1291" spans="30:30">
      <c r="AD1291" s="8"/>
    </row>
    <row r="1292" spans="30:30">
      <c r="AD1292" s="8"/>
    </row>
    <row r="1293" spans="30:30">
      <c r="AD1293" s="8"/>
    </row>
    <row r="1294" spans="30:30">
      <c r="AD1294" s="8"/>
    </row>
    <row r="1295" spans="30:30">
      <c r="AD1295" s="8"/>
    </row>
    <row r="1296" spans="30:30">
      <c r="AD1296" s="8"/>
    </row>
    <row r="1297" spans="30:30">
      <c r="AD1297" s="8"/>
    </row>
    <row r="1298" spans="30:30">
      <c r="AD1298" s="8"/>
    </row>
    <row r="1299" spans="30:30">
      <c r="AD1299" s="8"/>
    </row>
  </sheetData>
  <conditionalFormatting sqref="AD2:AD1299">
    <cfRule type="cellIs" dxfId="3" priority="1" operator="equal">
      <formula>TRUE</formula>
    </cfRule>
    <cfRule type="cellIs" dxfId="2" priority="2" operator="equal">
      <formula>FALSE</formula>
    </cfRule>
  </conditionalFormatting>
  <dataValidations count="4">
    <dataValidation type="decimal" allowBlank="1" sqref="Q2:Q1299" xr:uid="{00000000-0002-0000-0200-000001000000}">
      <formula1>0</formula1>
      <formula2>24</formula2>
    </dataValidation>
    <dataValidation type="whole" allowBlank="1" sqref="R2:S1299" xr:uid="{00000000-0002-0000-0200-000002000000}">
      <formula1>1</formula1>
      <formula2>10</formula2>
    </dataValidation>
    <dataValidation type="whole" allowBlank="1" sqref="T2:T1299" xr:uid="{00000000-0002-0000-0200-000004000000}">
      <formula1>0</formula1>
      <formula2>10</formula2>
    </dataValidation>
    <dataValidation type="whole" allowBlank="1" sqref="F2:F1299" xr:uid="{00000000-0002-0000-0200-000005000000}">
      <formula1>2010</formula1>
      <formula2>2035</formula2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Lists!$C$3:$C$4</xm:f>
          </x14:formula1>
          <xm:sqref>G2:G1299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N19" sqref="N19"/>
    </sheetView>
  </sheetViews>
  <sheetFormatPr defaultRowHeight="14.4"/>
  <cols>
    <col min="1" max="1" width="22" customWidth="1"/>
    <col min="2" max="9" width="14" customWidth="1"/>
    <col min="10" max="13" width="12" customWidth="1"/>
  </cols>
  <sheetData>
    <row r="1" spans="1:13" ht="18">
      <c r="A1" s="11" t="s">
        <v>1665</v>
      </c>
    </row>
    <row r="2" spans="1:13">
      <c r="B2" s="36" t="s">
        <v>1710</v>
      </c>
      <c r="C2" s="36" t="s">
        <v>1711</v>
      </c>
      <c r="D2" s="36" t="s">
        <v>1712</v>
      </c>
      <c r="E2" s="36" t="s">
        <v>1713</v>
      </c>
      <c r="F2" s="36" t="s">
        <v>1714</v>
      </c>
      <c r="G2" s="36" t="s">
        <v>1715</v>
      </c>
      <c r="H2" s="36" t="s">
        <v>1716</v>
      </c>
      <c r="I2" s="36" t="s">
        <v>1718</v>
      </c>
    </row>
    <row r="3" spans="1:13" ht="28.8">
      <c r="A3" s="30" t="s">
        <v>1666</v>
      </c>
      <c r="B3" s="31" t="s">
        <v>1667</v>
      </c>
      <c r="C3" s="31" t="s">
        <v>1668</v>
      </c>
      <c r="D3" s="31" t="s">
        <v>1669</v>
      </c>
      <c r="E3" s="31" t="s">
        <v>1670</v>
      </c>
      <c r="F3" s="31" t="s">
        <v>1671</v>
      </c>
      <c r="G3" s="31" t="s">
        <v>1672</v>
      </c>
      <c r="H3" s="31" t="s">
        <v>1673</v>
      </c>
      <c r="I3" s="31" t="s">
        <v>1674</v>
      </c>
      <c r="J3" s="31" t="s">
        <v>1675</v>
      </c>
      <c r="K3" s="31" t="s">
        <v>1676</v>
      </c>
      <c r="L3" s="31" t="s">
        <v>1677</v>
      </c>
      <c r="M3" s="31" t="s">
        <v>1678</v>
      </c>
    </row>
    <row r="4" spans="1:13">
      <c r="A4" s="32" t="s">
        <v>1667</v>
      </c>
      <c r="B4" s="33">
        <v>1</v>
      </c>
      <c r="C4" s="34">
        <v>1</v>
      </c>
      <c r="D4" s="34">
        <v>3</v>
      </c>
      <c r="E4" s="34">
        <v>3</v>
      </c>
      <c r="F4" s="34">
        <v>4</v>
      </c>
      <c r="G4" s="34">
        <v>2</v>
      </c>
      <c r="H4" s="34">
        <v>2</v>
      </c>
      <c r="I4" s="34">
        <v>1</v>
      </c>
      <c r="J4" s="29">
        <f t="shared" ref="J4:J11" si="0">POWER(PRODUCT(B4:I4),1/8)</f>
        <v>1.8612097182041991</v>
      </c>
      <c r="K4" s="29">
        <f t="shared" ref="K4:K11" si="1">J4/SUM($J$4:$J$11)</f>
        <v>0.20888795739105059</v>
      </c>
      <c r="L4" s="29">
        <f>B4*$K$4
+C4*$K$5
+D4*$K$6
+E4*$K$7
+F4*$K$8
+G4*$K$9
+H4*$K$10
+I4*$K$11</f>
        <v>1.6914929432582451</v>
      </c>
      <c r="M4" s="29">
        <f t="shared" ref="M4:M11" si="2">L4/K4</f>
        <v>8.0976087103560044</v>
      </c>
    </row>
    <row r="5" spans="1:13">
      <c r="A5" s="32" t="s">
        <v>1668</v>
      </c>
      <c r="B5" s="35">
        <f>IF(C4="", "", 1/C4)</f>
        <v>1</v>
      </c>
      <c r="C5" s="33">
        <v>1</v>
      </c>
      <c r="D5" s="34">
        <v>3</v>
      </c>
      <c r="E5" s="34">
        <v>2</v>
      </c>
      <c r="F5" s="34">
        <v>4</v>
      </c>
      <c r="G5" s="34">
        <v>1</v>
      </c>
      <c r="H5" s="34">
        <v>2</v>
      </c>
      <c r="I5" s="34">
        <v>1</v>
      </c>
      <c r="J5" s="29">
        <f t="shared" si="0"/>
        <v>1.6223896036109775</v>
      </c>
      <c r="K5" s="29">
        <f t="shared" si="1"/>
        <v>0.18208461253778593</v>
      </c>
      <c r="L5" s="29">
        <f t="shared" ref="L5:L11" si="3">B5*$K$4
+C5*$K$5
+D5*$K$6
+E5*$K$7
+F5*$K$8
+G5*$K$9
+H5*$K$10
+I5*$K$11</f>
        <v>1.4688205026024201</v>
      </c>
      <c r="M5" s="29">
        <f t="shared" si="2"/>
        <v>8.0666920841408967</v>
      </c>
    </row>
    <row r="6" spans="1:13">
      <c r="A6" s="32" t="s">
        <v>1669</v>
      </c>
      <c r="B6" s="35">
        <f>IF(D4="", "", 1/D4)</f>
        <v>0.33333333333333331</v>
      </c>
      <c r="C6" s="35">
        <f>IF(D5="", "", 1/D5)</f>
        <v>0.33333333333333331</v>
      </c>
      <c r="D6" s="33">
        <v>1</v>
      </c>
      <c r="E6" s="34">
        <v>1</v>
      </c>
      <c r="F6" s="34">
        <v>1</v>
      </c>
      <c r="G6" s="34">
        <v>0.5</v>
      </c>
      <c r="H6" s="34">
        <v>0.5</v>
      </c>
      <c r="I6" s="34">
        <v>0.5</v>
      </c>
      <c r="J6" s="29">
        <f t="shared" si="0"/>
        <v>0.58591340997157559</v>
      </c>
      <c r="K6" s="29">
        <f t="shared" si="1"/>
        <v>6.5758444209649144E-2</v>
      </c>
      <c r="L6" s="29">
        <f t="shared" si="3"/>
        <v>0.53420347842612781</v>
      </c>
      <c r="M6" s="29">
        <f t="shared" si="2"/>
        <v>8.1237244105562461</v>
      </c>
    </row>
    <row r="7" spans="1:13">
      <c r="A7" s="32" t="s">
        <v>1670</v>
      </c>
      <c r="B7" s="35">
        <f>IF(E4="", "", 1/E4)</f>
        <v>0.33333333333333331</v>
      </c>
      <c r="C7" s="35">
        <f>IF(E5="", "", 1/E5)</f>
        <v>0.5</v>
      </c>
      <c r="D7" s="35">
        <f>IF(E6="", "", 1/E6)</f>
        <v>1</v>
      </c>
      <c r="E7" s="33">
        <v>1</v>
      </c>
      <c r="F7" s="34">
        <v>2</v>
      </c>
      <c r="G7" s="34">
        <v>0.5</v>
      </c>
      <c r="H7" s="34">
        <v>1</v>
      </c>
      <c r="I7" s="34">
        <v>0.5</v>
      </c>
      <c r="J7" s="29">
        <f t="shared" si="0"/>
        <v>0.73299724822933066</v>
      </c>
      <c r="K7" s="29">
        <f t="shared" si="1"/>
        <v>8.2266010357832819E-2</v>
      </c>
      <c r="L7" s="29">
        <f t="shared" si="3"/>
        <v>0.66671636963121039</v>
      </c>
      <c r="M7" s="29">
        <f t="shared" si="2"/>
        <v>8.1043965391197563</v>
      </c>
    </row>
    <row r="8" spans="1:13">
      <c r="A8" s="32" t="s">
        <v>1671</v>
      </c>
      <c r="B8" s="35">
        <f>IF(F4="", "", 1/F4)</f>
        <v>0.25</v>
      </c>
      <c r="C8" s="35">
        <f>IF(F5="", "", 1/F5)</f>
        <v>0.25</v>
      </c>
      <c r="D8" s="35">
        <f>IF(F6="", "", 1/F6)</f>
        <v>1</v>
      </c>
      <c r="E8" s="35">
        <f>IF(F7="", "", 1/F7)</f>
        <v>0.5</v>
      </c>
      <c r="F8" s="33">
        <v>1</v>
      </c>
      <c r="G8" s="34">
        <v>0.33333333333333331</v>
      </c>
      <c r="H8" s="34">
        <v>0.5</v>
      </c>
      <c r="I8" s="34">
        <v>0.33333333333333331</v>
      </c>
      <c r="J8" s="29">
        <f t="shared" si="0"/>
        <v>0.45180100180492239</v>
      </c>
      <c r="K8" s="29">
        <f t="shared" si="1"/>
        <v>5.0706692261052518E-2</v>
      </c>
      <c r="L8" s="29">
        <f t="shared" si="3"/>
        <v>0.40925963305305879</v>
      </c>
      <c r="M8" s="29">
        <f t="shared" si="2"/>
        <v>8.0711167462092277</v>
      </c>
    </row>
    <row r="9" spans="1:13">
      <c r="A9" s="32" t="s">
        <v>1672</v>
      </c>
      <c r="B9" s="35">
        <f>IF(G4="", "", 1/G4)</f>
        <v>0.5</v>
      </c>
      <c r="C9" s="35">
        <f>IF(G5="", "", 1/G5)</f>
        <v>1</v>
      </c>
      <c r="D9" s="35">
        <f>IF(G6="", "", 1/G6)</f>
        <v>2</v>
      </c>
      <c r="E9" s="35">
        <f>IF(G7="", "", 1/G7)</f>
        <v>2</v>
      </c>
      <c r="F9" s="35">
        <f>IF(G8="", "", 1/G8)</f>
        <v>3</v>
      </c>
      <c r="G9" s="33">
        <v>1</v>
      </c>
      <c r="H9" s="34">
        <v>1</v>
      </c>
      <c r="I9" s="34">
        <v>1</v>
      </c>
      <c r="J9" s="29">
        <f t="shared" si="0"/>
        <v>1.2510334048590739</v>
      </c>
      <c r="K9" s="29">
        <f t="shared" si="1"/>
        <v>0.14040643029799196</v>
      </c>
      <c r="L9" s="29">
        <f t="shared" si="3"/>
        <v>1.1449938603940617</v>
      </c>
      <c r="M9" s="29">
        <f t="shared" si="2"/>
        <v>8.1548534348746067</v>
      </c>
    </row>
    <row r="10" spans="1:13">
      <c r="A10" s="32" t="s">
        <v>1673</v>
      </c>
      <c r="B10" s="35">
        <f>IF(H4="", "", 1/H4)</f>
        <v>0.5</v>
      </c>
      <c r="C10" s="35">
        <f>IF(H5="", "", 1/H5)</f>
        <v>0.5</v>
      </c>
      <c r="D10" s="35">
        <f>IF(H6="", "", 1/H6)</f>
        <v>2</v>
      </c>
      <c r="E10" s="35">
        <f>IF(H7="", "", 1/H7)</f>
        <v>1</v>
      </c>
      <c r="F10" s="35">
        <f>IF(H8="", "", 1/H8)</f>
        <v>2</v>
      </c>
      <c r="G10" s="35">
        <f>IF(H9="", "", 1/H9)</f>
        <v>1</v>
      </c>
      <c r="H10" s="33">
        <v>1</v>
      </c>
      <c r="I10" s="34">
        <v>0.5</v>
      </c>
      <c r="J10" s="29">
        <f t="shared" si="0"/>
        <v>0.91700404320467122</v>
      </c>
      <c r="K10" s="29">
        <f t="shared" si="1"/>
        <v>0.10291752704213142</v>
      </c>
      <c r="L10" s="29">
        <f t="shared" si="3"/>
        <v>0.83749268855503067</v>
      </c>
      <c r="M10" s="29">
        <f t="shared" si="2"/>
        <v>8.1375127504976454</v>
      </c>
    </row>
    <row r="11" spans="1:13">
      <c r="A11" s="32" t="s">
        <v>1674</v>
      </c>
      <c r="B11" s="35">
        <f>IF(I4="", "", 1/I4)</f>
        <v>1</v>
      </c>
      <c r="C11" s="35">
        <f>IF(I5="", "", 1/I5)</f>
        <v>1</v>
      </c>
      <c r="D11" s="35">
        <f>IF(I6="", "", 1/I6)</f>
        <v>2</v>
      </c>
      <c r="E11" s="35">
        <f>IF(I7="", "", 1/I7)</f>
        <v>2</v>
      </c>
      <c r="F11" s="35">
        <f>IF(I8="", "", 1/I8)</f>
        <v>3</v>
      </c>
      <c r="G11" s="35">
        <f>IF(I9="", "", 1/I9)</f>
        <v>1</v>
      </c>
      <c r="H11" s="35">
        <f>IF(I10="", "", 1/I10)</f>
        <v>2</v>
      </c>
      <c r="I11" s="33">
        <v>1</v>
      </c>
      <c r="J11" s="29">
        <f t="shared" si="0"/>
        <v>1.4877378261644902</v>
      </c>
      <c r="K11" s="29">
        <f t="shared" si="1"/>
        <v>0.16697232590250566</v>
      </c>
      <c r="L11" s="29">
        <f t="shared" si="3"/>
        <v>1.3523553661317185</v>
      </c>
      <c r="M11" s="29">
        <f t="shared" si="2"/>
        <v>8.0992784811619156</v>
      </c>
    </row>
    <row r="13" spans="1:13">
      <c r="A13" s="13" t="s">
        <v>1679</v>
      </c>
    </row>
    <row r="14" spans="1:13">
      <c r="A14" s="28" t="s">
        <v>1680</v>
      </c>
      <c r="B14" s="29">
        <f>AVERAGE(M4:M11)</f>
        <v>8.1068978946145389</v>
      </c>
    </row>
    <row r="15" spans="1:13">
      <c r="A15" s="28" t="s">
        <v>1681</v>
      </c>
      <c r="B15" s="29">
        <f>(B14-8)/(8-1)</f>
        <v>1.5271127802076987E-2</v>
      </c>
    </row>
    <row r="16" spans="1:13">
      <c r="A16" s="28" t="s">
        <v>1682</v>
      </c>
      <c r="B16" s="29">
        <v>1.41</v>
      </c>
    </row>
    <row r="17" spans="1:13">
      <c r="A17" s="28" t="s">
        <v>1683</v>
      </c>
      <c r="B17" s="29">
        <f>IF(B16=0,0,B15/B16)</f>
        <v>1.0830587093671623E-2</v>
      </c>
    </row>
    <row r="21" spans="1:13" ht="28.8">
      <c r="G21" s="41" t="s">
        <v>1707</v>
      </c>
      <c r="H21" s="41" t="s">
        <v>1666</v>
      </c>
      <c r="I21" s="41" t="s">
        <v>1708</v>
      </c>
      <c r="J21" s="41" t="s">
        <v>1709</v>
      </c>
      <c r="K21" s="42" t="s">
        <v>1721</v>
      </c>
      <c r="L21" s="41" t="s">
        <v>1720</v>
      </c>
      <c r="M21" s="39"/>
    </row>
    <row r="22" spans="1:13">
      <c r="G22" s="33">
        <v>1</v>
      </c>
      <c r="H22" s="33" t="s">
        <v>1667</v>
      </c>
      <c r="I22" s="33" t="s">
        <v>1710</v>
      </c>
      <c r="J22" s="33">
        <v>0.15</v>
      </c>
      <c r="K22" s="40">
        <f>AHP_Setup!K4</f>
        <v>0.20888795739105059</v>
      </c>
      <c r="L22" s="38" t="str">
        <f>IF(ABS(J22-K22)&lt;=0.01,"≈",IF(J22&gt;K22,"↓","↑"))</f>
        <v>↑</v>
      </c>
    </row>
    <row r="23" spans="1:13">
      <c r="G23" s="33">
        <v>2</v>
      </c>
      <c r="H23" s="33" t="s">
        <v>1668</v>
      </c>
      <c r="I23" s="33" t="s">
        <v>1711</v>
      </c>
      <c r="J23" s="33">
        <v>0.15</v>
      </c>
      <c r="K23" s="40">
        <f>AHP_Setup!K5</f>
        <v>0.18208461253778593</v>
      </c>
      <c r="L23" s="38" t="str">
        <f t="shared" ref="L23:L29" si="4">IF(ABS(J23-K23)&lt;=0.01,"≈",IF(J23&gt;K23,"↓","↑"))</f>
        <v>↑</v>
      </c>
    </row>
    <row r="24" spans="1:13">
      <c r="G24" s="33">
        <v>3</v>
      </c>
      <c r="H24" s="33" t="s">
        <v>1669</v>
      </c>
      <c r="I24" s="33" t="s">
        <v>1712</v>
      </c>
      <c r="J24" s="33">
        <v>0.1</v>
      </c>
      <c r="K24" s="40">
        <f>AHP_Setup!K6</f>
        <v>6.5758444209649144E-2</v>
      </c>
      <c r="L24" s="38" t="str">
        <f t="shared" si="4"/>
        <v>↓</v>
      </c>
    </row>
    <row r="25" spans="1:13">
      <c r="G25" s="33">
        <v>4</v>
      </c>
      <c r="H25" s="33" t="s">
        <v>1670</v>
      </c>
      <c r="I25" s="33" t="s">
        <v>1713</v>
      </c>
      <c r="J25" s="33">
        <v>0.1</v>
      </c>
      <c r="K25" s="40">
        <f>AHP_Setup!K7</f>
        <v>8.2266010357832819E-2</v>
      </c>
      <c r="L25" s="38" t="str">
        <f t="shared" si="4"/>
        <v>↓</v>
      </c>
    </row>
    <row r="26" spans="1:13">
      <c r="G26" s="33">
        <v>5</v>
      </c>
      <c r="H26" s="33" t="s">
        <v>1671</v>
      </c>
      <c r="I26" s="33" t="s">
        <v>1714</v>
      </c>
      <c r="J26" s="33">
        <v>0.1</v>
      </c>
      <c r="K26" s="40">
        <f>AHP_Setup!K8</f>
        <v>5.0706692261052518E-2</v>
      </c>
      <c r="L26" s="38" t="str">
        <f t="shared" si="4"/>
        <v>↓</v>
      </c>
    </row>
    <row r="27" spans="1:13">
      <c r="G27" s="33">
        <v>6</v>
      </c>
      <c r="H27" s="33" t="s">
        <v>1672</v>
      </c>
      <c r="I27" s="33" t="s">
        <v>1715</v>
      </c>
      <c r="J27" s="33">
        <v>0.15</v>
      </c>
      <c r="K27" s="40">
        <f>AHP_Setup!K9</f>
        <v>0.14040643029799196</v>
      </c>
      <c r="L27" s="38" t="str">
        <f t="shared" si="4"/>
        <v>≈</v>
      </c>
    </row>
    <row r="28" spans="1:13">
      <c r="G28" s="33">
        <v>7</v>
      </c>
      <c r="H28" s="33" t="s">
        <v>1673</v>
      </c>
      <c r="I28" s="33" t="s">
        <v>1716</v>
      </c>
      <c r="J28" s="33">
        <v>0.1</v>
      </c>
      <c r="K28" s="40">
        <f>AHP_Setup!K10</f>
        <v>0.10291752704213142</v>
      </c>
      <c r="L28" s="38" t="str">
        <f t="shared" si="4"/>
        <v>≈</v>
      </c>
    </row>
    <row r="29" spans="1:13" ht="28.8">
      <c r="G29" s="33">
        <v>8</v>
      </c>
      <c r="H29" s="33" t="s">
        <v>1717</v>
      </c>
      <c r="I29" s="33" t="s">
        <v>1718</v>
      </c>
      <c r="J29" s="33">
        <v>0.15</v>
      </c>
      <c r="K29" s="40">
        <f>AHP_Setup!K11</f>
        <v>0.16697232590250566</v>
      </c>
      <c r="L29" s="38" t="str">
        <f t="shared" si="4"/>
        <v>↑</v>
      </c>
    </row>
    <row r="30" spans="1:13">
      <c r="G30" s="33"/>
      <c r="H30" s="33" t="s">
        <v>1719</v>
      </c>
      <c r="I30" s="33"/>
      <c r="J30" s="33">
        <f>J22+J23+J24+J25+J26+J27+J28+J29</f>
        <v>1</v>
      </c>
      <c r="K30" s="40">
        <f>K22+K23+K24+K25+K26+K27+K28+K29</f>
        <v>1</v>
      </c>
      <c r="L30" s="36"/>
    </row>
  </sheetData>
  <conditionalFormatting sqref="B17">
    <cfRule type="cellIs" dxfId="1" priority="1" operator="greaterThanOrEqual">
      <formula>0.1</formula>
    </cfRule>
    <cfRule type="cellIs" dxfId="0" priority="2" operator="lessThan">
      <formula>0.1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Lists!$E$2:$E$10</xm:f>
          </x14:formula1>
          <xm:sqref>C4 D4:D5 E4:E6 F4:F7 G4:G8 H4:H9 I4:I10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3"/>
  <sheetViews>
    <sheetView zoomScale="85" zoomScaleNormal="85" workbookViewId="0">
      <pane ySplit="4" topLeftCell="A5" activePane="bottomLeft" state="frozen"/>
      <selection pane="bottomLeft" activeCell="F32" sqref="F32"/>
    </sheetView>
  </sheetViews>
  <sheetFormatPr defaultRowHeight="14.4"/>
  <cols>
    <col min="1" max="1" width="40" customWidth="1"/>
    <col min="2" max="2" width="10" customWidth="1"/>
    <col min="4" max="4" width="18" customWidth="1"/>
    <col min="5" max="5" width="12" customWidth="1"/>
    <col min="6" max="6" width="14" customWidth="1"/>
    <col min="8" max="16" width="14" customWidth="1"/>
  </cols>
  <sheetData>
    <row r="1" spans="1:16" ht="18">
      <c r="A1" s="11" t="s">
        <v>1684</v>
      </c>
    </row>
    <row r="3" spans="1:16">
      <c r="A3" s="16" t="s">
        <v>1685</v>
      </c>
    </row>
    <row r="4" spans="1:16">
      <c r="A4" s="36"/>
      <c r="B4" s="36"/>
      <c r="C4" s="36"/>
      <c r="D4" s="31" t="s">
        <v>1666</v>
      </c>
      <c r="E4" s="31" t="s">
        <v>1686</v>
      </c>
      <c r="F4" s="31" t="s">
        <v>1687</v>
      </c>
      <c r="H4" s="13" t="s">
        <v>1688</v>
      </c>
    </row>
    <row r="5" spans="1:16" ht="28.8">
      <c r="A5" s="23" t="s">
        <v>1689</v>
      </c>
      <c r="B5" s="37">
        <v>3</v>
      </c>
      <c r="C5" s="36"/>
      <c r="D5" s="23" t="s">
        <v>1667</v>
      </c>
      <c r="E5" s="33">
        <f>0.6*$B$6+0.4*$B$5</f>
        <v>3.6</v>
      </c>
      <c r="F5" s="29">
        <f t="shared" ref="F5:F12" si="0">E5/SUM($E$5:$E$12)</f>
        <v>0.12371134020618556</v>
      </c>
      <c r="H5" s="31" t="s">
        <v>1690</v>
      </c>
      <c r="I5" s="31" t="s">
        <v>1667</v>
      </c>
      <c r="J5" s="31" t="s">
        <v>1668</v>
      </c>
      <c r="K5" s="31" t="s">
        <v>1669</v>
      </c>
      <c r="L5" s="31" t="s">
        <v>1670</v>
      </c>
      <c r="M5" s="31" t="s">
        <v>1671</v>
      </c>
      <c r="N5" s="31" t="s">
        <v>1672</v>
      </c>
      <c r="O5" s="31" t="s">
        <v>1673</v>
      </c>
      <c r="P5" s="31" t="s">
        <v>1674</v>
      </c>
    </row>
    <row r="6" spans="1:16">
      <c r="A6" s="23" t="s">
        <v>1691</v>
      </c>
      <c r="B6" s="37">
        <v>4</v>
      </c>
      <c r="C6" s="36"/>
      <c r="D6" s="23" t="s">
        <v>1668</v>
      </c>
      <c r="E6" s="33">
        <f>0.7*$B$6+0.3*$B$5</f>
        <v>3.6999999999999997</v>
      </c>
      <c r="F6" s="29">
        <f t="shared" si="0"/>
        <v>0.12714776632302405</v>
      </c>
      <c r="H6" s="32" t="s">
        <v>1667</v>
      </c>
      <c r="I6" s="35">
        <v>1</v>
      </c>
      <c r="J6" s="34">
        <f>IF($F$5/$F$6&gt;=1,MAX(1,MIN(9,ROUND($F$5/$F$6,0))),1/MAX(1,MIN(9,ROUND($F$6/$F$5,0))))</f>
        <v>1</v>
      </c>
      <c r="K6" s="34">
        <f>IF($F$5/$F$7&gt;=1,MAX(1,MIN(9,ROUND($F$5/$F$7,0))),1/MAX(1,MIN(9,ROUND($F$7/$F$5,0))))</f>
        <v>1</v>
      </c>
      <c r="L6" s="34">
        <f>IF($F$5/$F$8&gt;=1,MAX(1,MIN(9,ROUND($F$5/$F$8,0))),1/MAX(1,MIN(9,ROUND($F$8/$F$5,0))))</f>
        <v>1</v>
      </c>
      <c r="M6" s="34">
        <f>IF($F$5/$F$9&gt;=1,MAX(1,MIN(9,ROUND($F$5/$F$9,0))),1/MAX(1,MIN(9,ROUND($F$9/$F$5,0))))</f>
        <v>1</v>
      </c>
      <c r="N6" s="34">
        <f>IF($F$5/$F$10&gt;=1,MAX(1,MIN(9,ROUND($F$5/$F$10,0))),1/MAX(1,MIN(9,ROUND($F$10/$F$5,0))))</f>
        <v>1</v>
      </c>
      <c r="O6" s="34">
        <f>IF($F$5/$F$11&gt;=1,MAX(1,MIN(9,ROUND($F$5/$F$11,0))),1/MAX(1,MIN(9,ROUND($F$11/$F$5,0))))</f>
        <v>1</v>
      </c>
      <c r="P6" s="34">
        <f>IF($F$5/$F$12&gt;=1,MAX(1,MIN(9,ROUND($F$5/$F$12,0))),1/MAX(1,MIN(9,ROUND($F$12/$F$5,0))))</f>
        <v>1</v>
      </c>
    </row>
    <row r="7" spans="1:16">
      <c r="A7" s="23" t="s">
        <v>1692</v>
      </c>
      <c r="B7" s="37">
        <v>4</v>
      </c>
      <c r="C7" s="36"/>
      <c r="D7" s="23" t="s">
        <v>1669</v>
      </c>
      <c r="E7" s="33">
        <f>0.8*$B$5+0.2*$B$6</f>
        <v>3.2</v>
      </c>
      <c r="F7" s="29">
        <f t="shared" si="0"/>
        <v>0.10996563573883161</v>
      </c>
      <c r="H7" s="32" t="s">
        <v>1668</v>
      </c>
      <c r="I7" s="35">
        <f>1/J6</f>
        <v>1</v>
      </c>
      <c r="J7" s="35">
        <v>1</v>
      </c>
      <c r="K7" s="34">
        <f>IF($F$6/$F$7&gt;=1,MAX(1,MIN(9,ROUND($F$6/$F$7,0))),1/MAX(1,MIN(9,ROUND($F$7/$F$6,0))))</f>
        <v>1</v>
      </c>
      <c r="L7" s="34">
        <f>IF($F$6/$F$8&gt;=1,MAX(1,MIN(9,ROUND($F$6/$F$8,0))),1/MAX(1,MIN(9,ROUND($F$8/$F$6,0))))</f>
        <v>1</v>
      </c>
      <c r="M7" s="34">
        <f>IF($F$6/$F$9&gt;=1,MAX(1,MIN(9,ROUND($F$6/$F$9,0))),1/MAX(1,MIN(9,ROUND($F$9/$F$6,0))))</f>
        <v>1</v>
      </c>
      <c r="N7" s="34">
        <f>IF($F$6/$F$10&gt;=1,MAX(1,MIN(9,ROUND($F$6/$F$10,0))),1/MAX(1,MIN(9,ROUND($F$10/$F$6,0))))</f>
        <v>1</v>
      </c>
      <c r="O7" s="34">
        <f>IF($F$6/$F$11&gt;=1,MAX(1,MIN(9,ROUND($F$6/$F$11,0))),1/MAX(1,MIN(9,ROUND($F$11/$F$6,0))))</f>
        <v>1</v>
      </c>
      <c r="P7" s="34">
        <f>IF($F$6/$F$12&gt;=1,MAX(1,MIN(9,ROUND($F$6/$F$12,0))),1/MAX(1,MIN(9,ROUND($F$12/$F$6,0))))</f>
        <v>1</v>
      </c>
    </row>
    <row r="8" spans="1:16">
      <c r="A8" s="23" t="s">
        <v>1693</v>
      </c>
      <c r="B8" s="37">
        <v>4</v>
      </c>
      <c r="C8" s="36"/>
      <c r="D8" s="23" t="s">
        <v>1670</v>
      </c>
      <c r="E8" s="33">
        <f>0.9*$B$11+0.1*$B$5</f>
        <v>3</v>
      </c>
      <c r="F8" s="29">
        <f t="shared" si="0"/>
        <v>0.10309278350515463</v>
      </c>
      <c r="H8" s="32" t="s">
        <v>1669</v>
      </c>
      <c r="I8" s="35">
        <f>1/K6</f>
        <v>1</v>
      </c>
      <c r="J8" s="35">
        <f>1/K7</f>
        <v>1</v>
      </c>
      <c r="K8" s="35">
        <v>1</v>
      </c>
      <c r="L8" s="34">
        <f>IF($F$7/$F$8&gt;=1,MAX(1,MIN(9,ROUND($F$7/$F$8,0))),1/MAX(1,MIN(9,ROUND($F$8/$F$7,0))))</f>
        <v>1</v>
      </c>
      <c r="M8" s="34">
        <f>IF($F$7/$F$9&gt;=1,MAX(1,MIN(9,ROUND($F$7/$F$9,0))),1/MAX(1,MIN(9,ROUND($F$9/$F$7,0))))</f>
        <v>1</v>
      </c>
      <c r="N8" s="34">
        <f>IF($F$7/$F$10&gt;=1,MAX(1,MIN(9,ROUND($F$7/$F$10,0))),1/MAX(1,MIN(9,ROUND($F$10/$F$7,0))))</f>
        <v>0.5</v>
      </c>
      <c r="O8" s="34">
        <f>IF($F$7/$F$11&gt;=1,MAX(1,MIN(9,ROUND($F$7/$F$11,0))),1/MAX(1,MIN(9,ROUND($F$11/$F$7,0))))</f>
        <v>1</v>
      </c>
      <c r="P8" s="34">
        <f>IF($F$7/$F$12&gt;=1,MAX(1,MIN(9,ROUND($F$7/$F$12,0))),1/MAX(1,MIN(9,ROUND($F$12/$F$7,0))))</f>
        <v>1</v>
      </c>
    </row>
    <row r="9" spans="1:16">
      <c r="A9" s="23" t="s">
        <v>1694</v>
      </c>
      <c r="B9" s="37">
        <v>3</v>
      </c>
      <c r="C9" s="36"/>
      <c r="D9" s="23" t="s">
        <v>1671</v>
      </c>
      <c r="E9" s="33">
        <f>1*$B$7</f>
        <v>4</v>
      </c>
      <c r="F9" s="29">
        <f t="shared" si="0"/>
        <v>0.1374570446735395</v>
      </c>
      <c r="H9" s="32" t="s">
        <v>1670</v>
      </c>
      <c r="I9" s="35">
        <f>1/L6</f>
        <v>1</v>
      </c>
      <c r="J9" s="35">
        <f>1/L7</f>
        <v>1</v>
      </c>
      <c r="K9" s="35">
        <f>1/L8</f>
        <v>1</v>
      </c>
      <c r="L9" s="35">
        <v>1</v>
      </c>
      <c r="M9" s="34">
        <f>IF($F$8/$F$9&gt;=1,MAX(1,MIN(9,ROUND($F$8/$F$9,0))),1/MAX(1,MIN(9,ROUND($F$9/$F$8,0))))</f>
        <v>1</v>
      </c>
      <c r="N9" s="34">
        <f>IF($F$8/$F$10&gt;=1,MAX(1,MIN(9,ROUND($F$8/$F$10,0))),1/MAX(1,MIN(9,ROUND($F$10/$F$8,0))))</f>
        <v>0.5</v>
      </c>
      <c r="O9" s="34">
        <f>IF($F$8/$F$11&gt;=1,MAX(1,MIN(9,ROUND($F$8/$F$11,0))),1/MAX(1,MIN(9,ROUND($F$11/$F$8,0))))</f>
        <v>1</v>
      </c>
      <c r="P9" s="34">
        <f>IF($F$8/$F$12&gt;=1,MAX(1,MIN(9,ROUND($F$8/$F$12,0))),1/MAX(1,MIN(9,ROUND($F$12/$F$8,0))))</f>
        <v>1</v>
      </c>
    </row>
    <row r="10" spans="1:16">
      <c r="A10" s="23" t="s">
        <v>1695</v>
      </c>
      <c r="B10" s="37">
        <v>3</v>
      </c>
      <c r="C10" s="36"/>
      <c r="D10" s="23" t="s">
        <v>1672</v>
      </c>
      <c r="E10" s="33">
        <f>1*$B$8+0.2*$B$7</f>
        <v>4.8</v>
      </c>
      <c r="F10" s="29">
        <f t="shared" si="0"/>
        <v>0.16494845360824742</v>
      </c>
      <c r="H10" s="32" t="s">
        <v>1671</v>
      </c>
      <c r="I10" s="35">
        <f>1/M6</f>
        <v>1</v>
      </c>
      <c r="J10" s="35">
        <f>1/M7</f>
        <v>1</v>
      </c>
      <c r="K10" s="35">
        <f>1/M8</f>
        <v>1</v>
      </c>
      <c r="L10" s="35">
        <f>1/M9</f>
        <v>1</v>
      </c>
      <c r="M10" s="35">
        <v>1</v>
      </c>
      <c r="N10" s="34">
        <f>IF($F$9/$F$10&gt;=1,MAX(1,MIN(9,ROUND($F$9/$F$10,0))),1/MAX(1,MIN(9,ROUND($F$10/$F$9,0))))</f>
        <v>1</v>
      </c>
      <c r="O10" s="34">
        <f>IF($F$9/$F$11&gt;=1,MAX(1,MIN(9,ROUND($F$9/$F$11,0))),1/MAX(1,MIN(9,ROUND($F$11/$F$9,0))))</f>
        <v>1</v>
      </c>
      <c r="P10" s="34">
        <f>IF($F$9/$F$12&gt;=1,MAX(1,MIN(9,ROUND($F$9/$F$12,0))),1/MAX(1,MIN(9,ROUND($F$12/$F$9,0))))</f>
        <v>1</v>
      </c>
    </row>
    <row r="11" spans="1:16">
      <c r="A11" s="23" t="s">
        <v>1696</v>
      </c>
      <c r="B11" s="37">
        <v>3</v>
      </c>
      <c r="C11" s="36"/>
      <c r="D11" s="23" t="s">
        <v>1673</v>
      </c>
      <c r="E11" s="33">
        <f>1*$B$9</f>
        <v>3</v>
      </c>
      <c r="F11" s="29">
        <f t="shared" si="0"/>
        <v>0.10309278350515463</v>
      </c>
      <c r="H11" s="32" t="s">
        <v>1672</v>
      </c>
      <c r="I11" s="35">
        <f>1/N6</f>
        <v>1</v>
      </c>
      <c r="J11" s="35">
        <f>1/N7</f>
        <v>1</v>
      </c>
      <c r="K11" s="35">
        <f>1/N8</f>
        <v>2</v>
      </c>
      <c r="L11" s="35">
        <f>1/N9</f>
        <v>2</v>
      </c>
      <c r="M11" s="35">
        <f>1/N10</f>
        <v>1</v>
      </c>
      <c r="N11" s="35">
        <v>1</v>
      </c>
      <c r="O11" s="34">
        <f>IF($F$10/$F$11&gt;=1,MAX(1,MIN(9,ROUND($F$10/$F$11,0))),1/MAX(1,MIN(9,ROUND($F$11/$F$10,0))))</f>
        <v>2</v>
      </c>
      <c r="P11" s="34">
        <f>IF($F$10/$F$12&gt;=1,MAX(1,MIN(9,ROUND($F$10/$F$12,0))),1/MAX(1,MIN(9,ROUND($F$12/$F$10,0))))</f>
        <v>1</v>
      </c>
    </row>
    <row r="12" spans="1:16">
      <c r="A12" s="36"/>
      <c r="B12" s="36"/>
      <c r="C12" s="36"/>
      <c r="D12" s="23" t="s">
        <v>1674</v>
      </c>
      <c r="E12" s="33">
        <f>1*$B$10+0.2*$B$6</f>
        <v>3.8</v>
      </c>
      <c r="F12" s="29">
        <f t="shared" si="0"/>
        <v>0.13058419243986252</v>
      </c>
      <c r="H12" s="32" t="s">
        <v>1673</v>
      </c>
      <c r="I12" s="35">
        <f>1/O6</f>
        <v>1</v>
      </c>
      <c r="J12" s="35">
        <f>1/O7</f>
        <v>1</v>
      </c>
      <c r="K12" s="35">
        <f>1/O8</f>
        <v>1</v>
      </c>
      <c r="L12" s="35">
        <f>1/O9</f>
        <v>1</v>
      </c>
      <c r="M12" s="35">
        <f>1/O10</f>
        <v>1</v>
      </c>
      <c r="N12" s="35">
        <f>1/O11</f>
        <v>0.5</v>
      </c>
      <c r="O12" s="35">
        <v>1</v>
      </c>
      <c r="P12" s="34">
        <f>IF($F$11/$F$12&gt;=1,MAX(1,MIN(9,ROUND($F$11/$F$12,0))),1/MAX(1,MIN(9,ROUND($F$12/$F$11,0))))</f>
        <v>1</v>
      </c>
    </row>
    <row r="13" spans="1:16" ht="28.8">
      <c r="H13" s="32" t="s">
        <v>1674</v>
      </c>
      <c r="I13" s="35">
        <f>1/P6</f>
        <v>1</v>
      </c>
      <c r="J13" s="35">
        <f>1/P7</f>
        <v>1</v>
      </c>
      <c r="K13" s="35">
        <f>1/P8</f>
        <v>1</v>
      </c>
      <c r="L13" s="35">
        <f>1/P9</f>
        <v>1</v>
      </c>
      <c r="M13" s="35">
        <f>1/P10</f>
        <v>1</v>
      </c>
      <c r="N13" s="35">
        <f>1/P11</f>
        <v>1</v>
      </c>
      <c r="O13" s="35">
        <f>1/P12</f>
        <v>1</v>
      </c>
      <c r="P13" s="35">
        <v>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Lists!$G$2:$G$6</xm:f>
          </x14:formula1>
          <xm:sqref>B5:B11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6"/>
  <sheetViews>
    <sheetView zoomScale="85" zoomScaleNormal="85" workbookViewId="0">
      <pane ySplit="16" topLeftCell="A17" activePane="bottomLeft" state="frozen"/>
      <selection pane="bottomLeft" activeCell="J11" sqref="J11"/>
    </sheetView>
  </sheetViews>
  <sheetFormatPr defaultRowHeight="14.4"/>
  <cols>
    <col min="1" max="1" width="6" customWidth="1"/>
    <col min="2" max="2" width="45" customWidth="1"/>
    <col min="3" max="3" width="14" customWidth="1"/>
    <col min="4" max="5" width="10" customWidth="1"/>
    <col min="6" max="6" width="12" customWidth="1"/>
    <col min="7" max="7" width="10" customWidth="1"/>
  </cols>
  <sheetData>
    <row r="1" spans="1:7" ht="18">
      <c r="A1" s="11" t="s">
        <v>1697</v>
      </c>
    </row>
    <row r="3" spans="1:7">
      <c r="A3" s="13" t="s">
        <v>1698</v>
      </c>
      <c r="D3" s="13" t="s">
        <v>1699</v>
      </c>
    </row>
    <row r="4" spans="1:7" ht="28.8">
      <c r="A4" s="14" t="s">
        <v>1666</v>
      </c>
      <c r="B4" s="14" t="s">
        <v>1676</v>
      </c>
      <c r="D4" s="14" t="s">
        <v>1666</v>
      </c>
      <c r="E4" s="14" t="s">
        <v>1700</v>
      </c>
      <c r="F4" s="14" t="s">
        <v>1701</v>
      </c>
    </row>
    <row r="5" spans="1:7">
      <c r="A5" s="12" t="s">
        <v>1667</v>
      </c>
      <c r="B5" s="9">
        <f>AHP_Setup!K4</f>
        <v>0.20888795739105059</v>
      </c>
      <c r="D5" s="12" t="s">
        <v>1667</v>
      </c>
      <c r="E5" s="18">
        <f>_xlfn.AGGREGATE(15,6,Laptop_Data!L$2:L$1299/(Laptop_Data!AD$2:AD$1299=TRUE),1)</f>
        <v>1.2</v>
      </c>
      <c r="F5" s="18">
        <f>_xlfn.AGGREGATE(14,6,Laptop_Data!L$2:L$1299/(Laptop_Data!AD$2:AD$1299=TRUE),1)</f>
        <v>9.6</v>
      </c>
    </row>
    <row r="6" spans="1:7">
      <c r="A6" s="12" t="s">
        <v>1668</v>
      </c>
      <c r="B6" s="9">
        <f>AHP_Setup!K5</f>
        <v>0.18208461253778593</v>
      </c>
      <c r="D6" s="12" t="s">
        <v>1668</v>
      </c>
      <c r="E6" s="18">
        <f>_xlfn.AGGREGATE(15,6,Laptop_Data!L$2:L$1299/(Laptop_Data!AD$2:AD$1299=TRUE),1)</f>
        <v>1.2</v>
      </c>
      <c r="F6" s="18">
        <f>_xlfn.AGGREGATE(14,6,Laptop_Data!L$2:L$1299/(Laptop_Data!AD$2:AD$1299=TRUE),1)</f>
        <v>9.6</v>
      </c>
    </row>
    <row r="7" spans="1:7">
      <c r="A7" s="12" t="s">
        <v>1669</v>
      </c>
      <c r="B7" s="9">
        <f>AHP_Setup!K6</f>
        <v>6.5758444209649144E-2</v>
      </c>
      <c r="D7" s="12" t="s">
        <v>1669</v>
      </c>
      <c r="E7" s="18">
        <f>_xlfn.AGGREGATE(15,6,Laptop_Data!L$2:L$1299/(Laptop_Data!AD$2:AD$1299=TRUE),1)</f>
        <v>1.2</v>
      </c>
      <c r="F7" s="18">
        <f>_xlfn.AGGREGATE(14,6,Laptop_Data!L$2:L$1299/(Laptop_Data!AD$2:AD$1299=TRUE),1)</f>
        <v>9.6</v>
      </c>
    </row>
    <row r="8" spans="1:7" ht="28.8">
      <c r="A8" s="12" t="s">
        <v>1670</v>
      </c>
      <c r="B8" s="9">
        <f>AHP_Setup!K7</f>
        <v>8.2266010357832819E-2</v>
      </c>
      <c r="D8" s="12" t="s">
        <v>1670</v>
      </c>
      <c r="E8" s="18">
        <f>_xlfn.AGGREGATE(15,6,Laptop_Data!L$2:L$1299/(Laptop_Data!AD$2:AD$1299=TRUE),1)</f>
        <v>1.2</v>
      </c>
      <c r="F8" s="18">
        <f>_xlfn.AGGREGATE(14,6,Laptop_Data!L$2:L$1299/(Laptop_Data!AD$2:AD$1299=TRUE),1)</f>
        <v>9.6</v>
      </c>
    </row>
    <row r="9" spans="1:7" ht="28.8">
      <c r="A9" s="12" t="s">
        <v>1671</v>
      </c>
      <c r="B9" s="9">
        <f>AHP_Setup!K8</f>
        <v>5.0706692261052518E-2</v>
      </c>
      <c r="D9" s="12" t="s">
        <v>1671</v>
      </c>
      <c r="E9" s="18">
        <f>_xlfn.AGGREGATE(15,6,Laptop_Data!L$2:L$1299/(Laptop_Data!AD$2:AD$1299=TRUE),1)</f>
        <v>1.2</v>
      </c>
      <c r="F9" s="18">
        <f>_xlfn.AGGREGATE(14,6,Laptop_Data!L$2:L$1299/(Laptop_Data!AD$2:AD$1299=TRUE),1)</f>
        <v>9.6</v>
      </c>
    </row>
    <row r="10" spans="1:7">
      <c r="A10" s="12" t="s">
        <v>1672</v>
      </c>
      <c r="B10" s="9">
        <f>AHP_Setup!K9</f>
        <v>0.14040643029799196</v>
      </c>
      <c r="D10" s="12" t="s">
        <v>1672</v>
      </c>
      <c r="E10" s="18">
        <f>_xlfn.AGGREGATE(15,6,Laptop_Data!L$2:L$1299/(Laptop_Data!AD$2:AD$1299=TRUE),1)</f>
        <v>1.2</v>
      </c>
      <c r="F10" s="18">
        <f>_xlfn.AGGREGATE(14,6,Laptop_Data!L$2:L$1299/(Laptop_Data!AD$2:AD$1299=TRUE),1)</f>
        <v>9.6</v>
      </c>
    </row>
    <row r="11" spans="1:7" ht="28.8">
      <c r="A11" s="12" t="s">
        <v>1673</v>
      </c>
      <c r="B11" s="9">
        <f>AHP_Setup!K10</f>
        <v>0.10291752704213142</v>
      </c>
      <c r="D11" s="12" t="s">
        <v>1673</v>
      </c>
      <c r="E11" s="18">
        <f>_xlfn.AGGREGATE(15,6,Laptop_Data!L$2:L$1299/(Laptop_Data!AD$2:AD$1299=TRUE),1)</f>
        <v>1.2</v>
      </c>
      <c r="F11" s="18">
        <f>_xlfn.AGGREGATE(14,6,Laptop_Data!L$2:L$1299/(Laptop_Data!AD$2:AD$1299=TRUE),1)</f>
        <v>9.6</v>
      </c>
    </row>
    <row r="12" spans="1:7" ht="57.6">
      <c r="A12" s="12" t="s">
        <v>1674</v>
      </c>
      <c r="B12" s="9">
        <f>AHP_Setup!K11</f>
        <v>0.16697232590250566</v>
      </c>
      <c r="D12" s="12" t="s">
        <v>1674</v>
      </c>
      <c r="E12" s="18">
        <f>_xlfn.AGGREGATE(15,6,Laptop_Data!L$2:L$1299/(Laptop_Data!AD$2:AD$1299=TRUE),1)</f>
        <v>1.2</v>
      </c>
      <c r="F12" s="18">
        <f>_xlfn.AGGREGATE(14,6,Laptop_Data!L$2:L$1299/(Laptop_Data!AD$2:AD$1299=TRUE),1)</f>
        <v>9.6</v>
      </c>
    </row>
    <row r="15" spans="1:7">
      <c r="A15" s="13" t="s">
        <v>1702</v>
      </c>
    </row>
    <row r="16" spans="1:7">
      <c r="A16" s="14" t="s">
        <v>1703</v>
      </c>
      <c r="B16" s="14" t="s">
        <v>1704</v>
      </c>
      <c r="C16" s="14" t="s">
        <v>45</v>
      </c>
      <c r="D16" s="14" t="s">
        <v>46</v>
      </c>
      <c r="E16" s="14" t="s">
        <v>48</v>
      </c>
      <c r="F16" s="14" t="s">
        <v>53</v>
      </c>
      <c r="G16" s="14" t="s">
        <v>79</v>
      </c>
    </row>
    <row r="17" spans="1:7">
      <c r="A17" s="15">
        <v>1</v>
      </c>
      <c r="B17" s="17" t="str">
        <f>IFERROR(INDEX(Laptop_Data!$C$2:$C$1299,MATCH(LARGE(Laptop_Data!$AQ$2:$AQ$1299,1),Laptop_Data!$AQ$2:$AQ$1299,0)),"")</f>
        <v>Dell Inspiron 5567 (Notebook)</v>
      </c>
      <c r="C17" s="19">
        <f>IFERROR(INDEX(Laptop_Data!$H$2:$H$1299,MATCH(LARGE(Laptop_Data!$AQ$2:$AQ$1299,1),Laptop_Data!$AQ$2:$AQ$1299,0)),"")</f>
        <v>24273000</v>
      </c>
      <c r="D17" s="20">
        <f>IFERROR(INDEX(Laptop_Data!$I$2:$I$1299,MATCH(LARGE(Laptop_Data!$AQ$2:$AQ$1299,1),Laptop_Data!$AQ$2:$AQ$1299,0)),"")</f>
        <v>256</v>
      </c>
      <c r="E17" s="20">
        <f>IFERROR(INDEX(Laptop_Data!$K$2:$K$1299,MATCH(LARGE(Laptop_Data!$AQ$2:$AQ$1299,1),Laptop_Data!$AQ$2:$AQ$1299,0)),"")</f>
        <v>16</v>
      </c>
      <c r="F17" s="21">
        <f>IFERROR(INDEX(Laptop_Data!$P$2:$P$1299,MATCH(LARGE(Laptop_Data!$AQ$2:$AQ$1299,1),Laptop_Data!$AQ$2:$AQ$1299,0)),"")</f>
        <v>2.36</v>
      </c>
      <c r="G17" s="22">
        <f>IFERROR(INDEX(Laptop_Data!$AP$2:$AP$1299,MATCH(LARGE(Laptop_Data!$AQ$2:$AQ$1299,1),Laptop_Data!$AQ$2:$AQ$1299,0)),"")</f>
        <v>0.92273539331490884</v>
      </c>
    </row>
    <row r="18" spans="1:7">
      <c r="A18" s="15">
        <v>2</v>
      </c>
      <c r="B18" s="17" t="str">
        <f>IFERROR(INDEX(Laptop_Data!$C$2:$C$1299,MATCH(LARGE(Laptop_Data!$AQ$2:$AQ$1299,2),Laptop_Data!$AQ$2:$AQ$1299,0)),"")</f>
        <v>Lenovo Legion Y520-15IKBN (Gaming)</v>
      </c>
      <c r="C18" s="19">
        <f>IFERROR(INDEX(Laptop_Data!$H$2:$H$1299,MATCH(LARGE(Laptop_Data!$AQ$2:$AQ$1299,2),Laptop_Data!$AQ$2:$AQ$1299,0)),"")</f>
        <v>23463000</v>
      </c>
      <c r="D18" s="20">
        <f>IFERROR(INDEX(Laptop_Data!$I$2:$I$1299,MATCH(LARGE(Laptop_Data!$AQ$2:$AQ$1299,2),Laptop_Data!$AQ$2:$AQ$1299,0)),"")</f>
        <v>256</v>
      </c>
      <c r="E18" s="20">
        <f>IFERROR(INDEX(Laptop_Data!$K$2:$K$1299,MATCH(LARGE(Laptop_Data!$AQ$2:$AQ$1299,2),Laptop_Data!$AQ$2:$AQ$1299,0)),"")</f>
        <v>8</v>
      </c>
      <c r="F18" s="21">
        <f>IFERROR(INDEX(Laptop_Data!$P$2:$P$1299,MATCH(LARGE(Laptop_Data!$AQ$2:$AQ$1299,2),Laptop_Data!$AQ$2:$AQ$1299,0)),"")</f>
        <v>2.4</v>
      </c>
      <c r="G18" s="22">
        <f>IFERROR(INDEX(Laptop_Data!$AP$2:$AP$1299,MATCH(LARGE(Laptop_Data!$AQ$2:$AQ$1299,2),Laptop_Data!$AQ$2:$AQ$1299,0)),"")</f>
        <v>0.77910761081427382</v>
      </c>
    </row>
    <row r="19" spans="1:7" ht="28.8">
      <c r="A19" s="15">
        <v>3</v>
      </c>
      <c r="B19" s="17" t="str">
        <f>IFERROR(INDEX(Laptop_Data!$C$2:$C$1299,MATCH(LARGE(Laptop_Data!$AQ$2:$AQ$1299,3),Laptop_Data!$AQ$2:$AQ$1299,0)),"")</f>
        <v>Asus K556UR-DM621T (i7-7500U/8GB/256GB/GeForce (Notebook)</v>
      </c>
      <c r="C19" s="19">
        <f>IFERROR(INDEX(Laptop_Data!$H$2:$H$1299,MATCH(LARGE(Laptop_Data!$AQ$2:$AQ$1299,3),Laptop_Data!$AQ$2:$AQ$1299,0)),"")</f>
        <v>21249000</v>
      </c>
      <c r="D19" s="20">
        <f>IFERROR(INDEX(Laptop_Data!$I$2:$I$1299,MATCH(LARGE(Laptop_Data!$AQ$2:$AQ$1299,3),Laptop_Data!$AQ$2:$AQ$1299,0)),"")</f>
        <v>256</v>
      </c>
      <c r="E19" s="20">
        <f>IFERROR(INDEX(Laptop_Data!$K$2:$K$1299,MATCH(LARGE(Laptop_Data!$AQ$2:$AQ$1299,3),Laptop_Data!$AQ$2:$AQ$1299,0)),"")</f>
        <v>8</v>
      </c>
      <c r="F19" s="21">
        <f>IFERROR(INDEX(Laptop_Data!$P$2:$P$1299,MATCH(LARGE(Laptop_Data!$AQ$2:$AQ$1299,3),Laptop_Data!$AQ$2:$AQ$1299,0)),"")</f>
        <v>2.2999999999999998</v>
      </c>
      <c r="G19" s="22">
        <f>IFERROR(INDEX(Laptop_Data!$AP$2:$AP$1299,MATCH(LARGE(Laptop_Data!$AQ$2:$AQ$1299,3),Laptop_Data!$AQ$2:$AQ$1299,0)),"")</f>
        <v>0.77473773911759458</v>
      </c>
    </row>
    <row r="20" spans="1:7">
      <c r="A20" s="15">
        <v>4</v>
      </c>
      <c r="B20" s="17" t="str">
        <f>IFERROR(INDEX(Laptop_Data!$C$2:$C$1299,MATCH(LARGE(Laptop_Data!$AQ$2:$AQ$1299,4),Laptop_Data!$AQ$2:$AQ$1299,0)),"")</f>
        <v>Acer Aspire 7 (Notebook)</v>
      </c>
      <c r="C20" s="19">
        <f>IFERROR(INDEX(Laptop_Data!$H$2:$H$1299,MATCH(LARGE(Laptop_Data!$AQ$2:$AQ$1299,4),Laptop_Data!$AQ$2:$AQ$1299,0)),"")</f>
        <v>23733000</v>
      </c>
      <c r="D20" s="20">
        <f>IFERROR(INDEX(Laptop_Data!$I$2:$I$1299,MATCH(LARGE(Laptop_Data!$AQ$2:$AQ$1299,4),Laptop_Data!$AQ$2:$AQ$1299,0)),"")</f>
        <v>256</v>
      </c>
      <c r="E20" s="20">
        <f>IFERROR(INDEX(Laptop_Data!$K$2:$K$1299,MATCH(LARGE(Laptop_Data!$AQ$2:$AQ$1299,4),Laptop_Data!$AQ$2:$AQ$1299,0)),"")</f>
        <v>8</v>
      </c>
      <c r="F20" s="21">
        <f>IFERROR(INDEX(Laptop_Data!$P$2:$P$1299,MATCH(LARGE(Laptop_Data!$AQ$2:$AQ$1299,4),Laptop_Data!$AQ$2:$AQ$1299,0)),"")</f>
        <v>2.5</v>
      </c>
      <c r="G20" s="22">
        <f>IFERROR(INDEX(Laptop_Data!$AP$2:$AP$1299,MATCH(LARGE(Laptop_Data!$AQ$2:$AQ$1299,4),Laptop_Data!$AQ$2:$AQ$1299,0)),"")</f>
        <v>0.77458653065126915</v>
      </c>
    </row>
    <row r="21" spans="1:7">
      <c r="A21" s="15">
        <v>5</v>
      </c>
      <c r="B21" s="17" t="str">
        <f>IFERROR(INDEX(Laptop_Data!$C$2:$C$1299,MATCH(LARGE(Laptop_Data!$AQ$2:$AQ$1299,5),Laptop_Data!$AQ$2:$AQ$1299,0)),"")</f>
        <v>Asus Rog GL552VW-DM201T (Gaming)</v>
      </c>
      <c r="C21" s="19">
        <f>IFERROR(INDEX(Laptop_Data!$H$2:$H$1299,MATCH(LARGE(Laptop_Data!$AQ$2:$AQ$1299,5),Laptop_Data!$AQ$2:$AQ$1299,0)),"")</f>
        <v>24543000</v>
      </c>
      <c r="D21" s="20">
        <f>IFERROR(INDEX(Laptop_Data!$I$2:$I$1299,MATCH(LARGE(Laptop_Data!$AQ$2:$AQ$1299,5),Laptop_Data!$AQ$2:$AQ$1299,0)),"")</f>
        <v>256</v>
      </c>
      <c r="E21" s="20">
        <f>IFERROR(INDEX(Laptop_Data!$K$2:$K$1299,MATCH(LARGE(Laptop_Data!$AQ$2:$AQ$1299,5),Laptop_Data!$AQ$2:$AQ$1299,0)),"")</f>
        <v>8</v>
      </c>
      <c r="F21" s="21">
        <f>IFERROR(INDEX(Laptop_Data!$P$2:$P$1299,MATCH(LARGE(Laptop_Data!$AQ$2:$AQ$1299,5),Laptop_Data!$AQ$2:$AQ$1299,0)),"")</f>
        <v>2.5910000000000002</v>
      </c>
      <c r="G21" s="22">
        <f>IFERROR(INDEX(Laptop_Data!$AP$2:$AP$1299,MATCH(LARGE(Laptop_Data!$AQ$2:$AQ$1299,5),Laptop_Data!$AQ$2:$AQ$1299,0)),"")</f>
        <v>0.7680075916263831</v>
      </c>
    </row>
    <row r="22" spans="1:7">
      <c r="A22" s="15">
        <v>6</v>
      </c>
      <c r="B22" s="17" t="str">
        <f>IFERROR(INDEX(Laptop_Data!$C$2:$C$1299,MATCH(LARGE(Laptop_Data!$AQ$2:$AQ$1299,6),Laptop_Data!$AQ$2:$AQ$1299,0)),"")</f>
        <v>Lenovo IdeaPad 510s-14IKB (Notebook)</v>
      </c>
      <c r="C22" s="19">
        <f>IFERROR(INDEX(Laptop_Data!$H$2:$H$1299,MATCH(LARGE(Laptop_Data!$AQ$2:$AQ$1299,6),Laptop_Data!$AQ$2:$AQ$1299,0)),"")</f>
        <v>21573000</v>
      </c>
      <c r="D22" s="20">
        <f>IFERROR(INDEX(Laptop_Data!$I$2:$I$1299,MATCH(LARGE(Laptop_Data!$AQ$2:$AQ$1299,6),Laptop_Data!$AQ$2:$AQ$1299,0)),"")</f>
        <v>512</v>
      </c>
      <c r="E22" s="20">
        <f>IFERROR(INDEX(Laptop_Data!$K$2:$K$1299,MATCH(LARGE(Laptop_Data!$AQ$2:$AQ$1299,6),Laptop_Data!$AQ$2:$AQ$1299,0)),"")</f>
        <v>8</v>
      </c>
      <c r="F22" s="21">
        <f>IFERROR(INDEX(Laptop_Data!$P$2:$P$1299,MATCH(LARGE(Laptop_Data!$AQ$2:$AQ$1299,6),Laptop_Data!$AQ$2:$AQ$1299,0)),"")</f>
        <v>1.5</v>
      </c>
      <c r="G22" s="22">
        <f>IFERROR(INDEX(Laptop_Data!$AP$2:$AP$1299,MATCH(LARGE(Laptop_Data!$AQ$2:$AQ$1299,6),Laptop_Data!$AQ$2:$AQ$1299,0)),"")</f>
        <v>0.75921379093562036</v>
      </c>
    </row>
    <row r="23" spans="1:7">
      <c r="A23" s="15">
        <v>7</v>
      </c>
      <c r="B23" s="17" t="str">
        <f>IFERROR(INDEX(Laptop_Data!$C$2:$C$1299,MATCH(LARGE(Laptop_Data!$AQ$2:$AQ$1299,7),Laptop_Data!$AQ$2:$AQ$1299,0)),"")</f>
        <v>Lenovo Thinkpad E470 (Notebook)</v>
      </c>
      <c r="C23" s="19">
        <f>IFERROR(INDEX(Laptop_Data!$H$2:$H$1299,MATCH(LARGE(Laptop_Data!$AQ$2:$AQ$1299,7),Laptop_Data!$AQ$2:$AQ$1299,0)),"")</f>
        <v>23193000</v>
      </c>
      <c r="D23" s="20">
        <f>IFERROR(INDEX(Laptop_Data!$I$2:$I$1299,MATCH(LARGE(Laptop_Data!$AQ$2:$AQ$1299,7),Laptop_Data!$AQ$2:$AQ$1299,0)),"")</f>
        <v>256</v>
      </c>
      <c r="E23" s="20">
        <f>IFERROR(INDEX(Laptop_Data!$K$2:$K$1299,MATCH(LARGE(Laptop_Data!$AQ$2:$AQ$1299,7),Laptop_Data!$AQ$2:$AQ$1299,0)),"")</f>
        <v>8</v>
      </c>
      <c r="F23" s="21">
        <f>IFERROR(INDEX(Laptop_Data!$P$2:$P$1299,MATCH(LARGE(Laptop_Data!$AQ$2:$AQ$1299,7),Laptop_Data!$AQ$2:$AQ$1299,0)),"")</f>
        <v>1.87</v>
      </c>
      <c r="G23" s="22">
        <f>IFERROR(INDEX(Laptop_Data!$AP$2:$AP$1299,MATCH(LARGE(Laptop_Data!$AQ$2:$AQ$1299,7),Laptop_Data!$AQ$2:$AQ$1299,0)),"")</f>
        <v>0.75698028187174071</v>
      </c>
    </row>
    <row r="24" spans="1:7" ht="28.8">
      <c r="A24" s="15">
        <v>8</v>
      </c>
      <c r="B24" s="17" t="str">
        <f>IFERROR(INDEX(Laptop_Data!$C$2:$C$1299,MATCH(LARGE(Laptop_Data!$AQ$2:$AQ$1299,8),Laptop_Data!$AQ$2:$AQ$1299,0)),"")</f>
        <v>HP 15-bs017nv (i7-7500U/8GB/256GB/Radeon (Notebook)</v>
      </c>
      <c r="C24" s="19">
        <f>IFERROR(INDEX(Laptop_Data!$H$2:$H$1299,MATCH(LARGE(Laptop_Data!$AQ$2:$AQ$1299,8),Laptop_Data!$AQ$2:$AQ$1299,0)),"")</f>
        <v>19413000</v>
      </c>
      <c r="D24" s="20">
        <f>IFERROR(INDEX(Laptop_Data!$I$2:$I$1299,MATCH(LARGE(Laptop_Data!$AQ$2:$AQ$1299,8),Laptop_Data!$AQ$2:$AQ$1299,0)),"")</f>
        <v>256</v>
      </c>
      <c r="E24" s="20">
        <f>IFERROR(INDEX(Laptop_Data!$K$2:$K$1299,MATCH(LARGE(Laptop_Data!$AQ$2:$AQ$1299,8),Laptop_Data!$AQ$2:$AQ$1299,0)),"")</f>
        <v>8</v>
      </c>
      <c r="F24" s="21">
        <f>IFERROR(INDEX(Laptop_Data!$P$2:$P$1299,MATCH(LARGE(Laptop_Data!$AQ$2:$AQ$1299,8),Laptop_Data!$AQ$2:$AQ$1299,0)),"")</f>
        <v>1.91</v>
      </c>
      <c r="G24" s="22">
        <f>IFERROR(INDEX(Laptop_Data!$AP$2:$AP$1299,MATCH(LARGE(Laptop_Data!$AQ$2:$AQ$1299,8),Laptop_Data!$AQ$2:$AQ$1299,0)),"")</f>
        <v>0.75203790655481195</v>
      </c>
    </row>
    <row r="25" spans="1:7">
      <c r="A25" s="15">
        <v>9</v>
      </c>
      <c r="B25" s="17" t="str">
        <f>IFERROR(INDEX(Laptop_Data!$C$2:$C$1299,MATCH(LARGE(Laptop_Data!$AQ$2:$AQ$1299,9),Laptop_Data!$AQ$2:$AQ$1299,0)),"")</f>
        <v>Dell Vostro 5568 (Notebook)</v>
      </c>
      <c r="C25" s="19">
        <f>IFERROR(INDEX(Laptop_Data!$H$2:$H$1299,MATCH(LARGE(Laptop_Data!$AQ$2:$AQ$1299,9),Laptop_Data!$AQ$2:$AQ$1299,0)),"")</f>
        <v>24165270</v>
      </c>
      <c r="D25" s="20">
        <f>IFERROR(INDEX(Laptop_Data!$I$2:$I$1299,MATCH(LARGE(Laptop_Data!$AQ$2:$AQ$1299,9),Laptop_Data!$AQ$2:$AQ$1299,0)),"")</f>
        <v>256</v>
      </c>
      <c r="E25" s="20">
        <f>IFERROR(INDEX(Laptop_Data!$K$2:$K$1299,MATCH(LARGE(Laptop_Data!$AQ$2:$AQ$1299,9),Laptop_Data!$AQ$2:$AQ$1299,0)),"")</f>
        <v>8</v>
      </c>
      <c r="F25" s="21">
        <f>IFERROR(INDEX(Laptop_Data!$P$2:$P$1299,MATCH(LARGE(Laptop_Data!$AQ$2:$AQ$1299,9),Laptop_Data!$AQ$2:$AQ$1299,0)),"")</f>
        <v>1.98</v>
      </c>
      <c r="G25" s="22">
        <f>IFERROR(INDEX(Laptop_Data!$AP$2:$AP$1299,MATCH(LARGE(Laptop_Data!$AQ$2:$AQ$1299,9),Laptop_Data!$AQ$2:$AQ$1299,0)),"")</f>
        <v>0.75161535078596986</v>
      </c>
    </row>
    <row r="26" spans="1:7">
      <c r="A26" s="15">
        <v>10</v>
      </c>
      <c r="B26" s="17" t="str">
        <f>IFERROR(INDEX(Laptop_Data!$C$2:$C$1299,MATCH(LARGE(Laptop_Data!$AQ$2:$AQ$1299,10),Laptop_Data!$AQ$2:$AQ$1299,0)),"")</f>
        <v>Dell Inspiron 3567 (Notebook)</v>
      </c>
      <c r="C26" s="19">
        <f>IFERROR(INDEX(Laptop_Data!$H$2:$H$1299,MATCH(LARGE(Laptop_Data!$AQ$2:$AQ$1299,10),Laptop_Data!$AQ$2:$AQ$1299,0)),"")</f>
        <v>20223270</v>
      </c>
      <c r="D26" s="20">
        <f>IFERROR(INDEX(Laptop_Data!$I$2:$I$1299,MATCH(LARGE(Laptop_Data!$AQ$2:$AQ$1299,10),Laptop_Data!$AQ$2:$AQ$1299,0)),"")</f>
        <v>256</v>
      </c>
      <c r="E26" s="20">
        <f>IFERROR(INDEX(Laptop_Data!$K$2:$K$1299,MATCH(LARGE(Laptop_Data!$AQ$2:$AQ$1299,10),Laptop_Data!$AQ$2:$AQ$1299,0)),"")</f>
        <v>8</v>
      </c>
      <c r="F26" s="21">
        <f>IFERROR(INDEX(Laptop_Data!$P$2:$P$1299,MATCH(LARGE(Laptop_Data!$AQ$2:$AQ$1299,10),Laptop_Data!$AQ$2:$AQ$1299,0)),"")</f>
        <v>2.2000000000000002</v>
      </c>
      <c r="G26" s="22">
        <f>IFERROR(INDEX(Laptop_Data!$AP$2:$AP$1299,MATCH(LARGE(Laptop_Data!$AQ$2:$AQ$1299,10),Laptop_Data!$AQ$2:$AQ$1299,0)),"")</f>
        <v>0.75028731836960894</v>
      </c>
    </row>
    <row r="27" spans="1:7">
      <c r="A27" s="15">
        <v>11</v>
      </c>
      <c r="B27" s="17" t="str">
        <f>IFERROR(INDEX(Laptop_Data!$C$2:$C$1299,MATCH(LARGE(Laptop_Data!$AQ$2:$AQ$1299,11),Laptop_Data!$AQ$2:$AQ$1299,0)),"")</f>
        <v>Acer Aspire E5-576G (Notebook)</v>
      </c>
      <c r="C27" s="19">
        <f>IFERROR(INDEX(Laptop_Data!$H$2:$H$1299,MATCH(LARGE(Laptop_Data!$AQ$2:$AQ$1299,11),Laptop_Data!$AQ$2:$AQ$1299,0)),"")</f>
        <v>22464000</v>
      </c>
      <c r="D27" s="20">
        <f>IFERROR(INDEX(Laptop_Data!$I$2:$I$1299,MATCH(LARGE(Laptop_Data!$AQ$2:$AQ$1299,11),Laptop_Data!$AQ$2:$AQ$1299,0)),"")</f>
        <v>256</v>
      </c>
      <c r="E27" s="20">
        <f>IFERROR(INDEX(Laptop_Data!$K$2:$K$1299,MATCH(LARGE(Laptop_Data!$AQ$2:$AQ$1299,11),Laptop_Data!$AQ$2:$AQ$1299,0)),"")</f>
        <v>8</v>
      </c>
      <c r="F27" s="21">
        <f>IFERROR(INDEX(Laptop_Data!$P$2:$P$1299,MATCH(LARGE(Laptop_Data!$AQ$2:$AQ$1299,11),Laptop_Data!$AQ$2:$AQ$1299,0)),"")</f>
        <v>2.2000000000000002</v>
      </c>
      <c r="G27" s="22">
        <f>IFERROR(INDEX(Laptop_Data!$AP$2:$AP$1299,MATCH(LARGE(Laptop_Data!$AQ$2:$AQ$1299,11),Laptop_Data!$AQ$2:$AQ$1299,0)),"")</f>
        <v>0.75028731836960894</v>
      </c>
    </row>
    <row r="28" spans="1:7">
      <c r="A28" s="15">
        <v>12</v>
      </c>
      <c r="B28" s="17" t="str">
        <f>IFERROR(INDEX(Laptop_Data!$C$2:$C$1299,MATCH(LARGE(Laptop_Data!$AQ$2:$AQ$1299,12),Laptop_Data!$AQ$2:$AQ$1299,0)),"")</f>
        <v>Dell Inspiron 3567 (Notebook)</v>
      </c>
      <c r="C28" s="19">
        <f>IFERROR(INDEX(Laptop_Data!$H$2:$H$1299,MATCH(LARGE(Laptop_Data!$AQ$2:$AQ$1299,12),Laptop_Data!$AQ$2:$AQ$1299,0)),"")</f>
        <v>20115000</v>
      </c>
      <c r="D28" s="20">
        <f>IFERROR(INDEX(Laptop_Data!$I$2:$I$1299,MATCH(LARGE(Laptop_Data!$AQ$2:$AQ$1299,12),Laptop_Data!$AQ$2:$AQ$1299,0)),"")</f>
        <v>256</v>
      </c>
      <c r="E28" s="20">
        <f>IFERROR(INDEX(Laptop_Data!$K$2:$K$1299,MATCH(LARGE(Laptop_Data!$AQ$2:$AQ$1299,12),Laptop_Data!$AQ$2:$AQ$1299,0)),"")</f>
        <v>8</v>
      </c>
      <c r="F28" s="21">
        <f>IFERROR(INDEX(Laptop_Data!$P$2:$P$1299,MATCH(LARGE(Laptop_Data!$AQ$2:$AQ$1299,12),Laptop_Data!$AQ$2:$AQ$1299,0)),"")</f>
        <v>2.2000000000000002</v>
      </c>
      <c r="G28" s="22">
        <f>IFERROR(INDEX(Laptop_Data!$AP$2:$AP$1299,MATCH(LARGE(Laptop_Data!$AQ$2:$AQ$1299,12),Laptop_Data!$AQ$2:$AQ$1299,0)),"")</f>
        <v>0.75028731836960894</v>
      </c>
    </row>
    <row r="29" spans="1:7">
      <c r="A29" s="15">
        <v>13</v>
      </c>
      <c r="B29" s="17" t="str">
        <f>IFERROR(INDEX(Laptop_Data!$C$2:$C$1299,MATCH(LARGE(Laptop_Data!$AQ$2:$AQ$1299,13),Laptop_Data!$AQ$2:$AQ$1299,0)),"")</f>
        <v>Dell Inspiron 5567 (Notebook)</v>
      </c>
      <c r="C29" s="19">
        <f>IFERROR(INDEX(Laptop_Data!$H$2:$H$1299,MATCH(LARGE(Laptop_Data!$AQ$2:$AQ$1299,13),Laptop_Data!$AQ$2:$AQ$1299,0)),"")</f>
        <v>21029490</v>
      </c>
      <c r="D29" s="20">
        <f>IFERROR(INDEX(Laptop_Data!$I$2:$I$1299,MATCH(LARGE(Laptop_Data!$AQ$2:$AQ$1299,13),Laptop_Data!$AQ$2:$AQ$1299,0)),"")</f>
        <v>256</v>
      </c>
      <c r="E29" s="20">
        <f>IFERROR(INDEX(Laptop_Data!$K$2:$K$1299,MATCH(LARGE(Laptop_Data!$AQ$2:$AQ$1299,13),Laptop_Data!$AQ$2:$AQ$1299,0)),"")</f>
        <v>8</v>
      </c>
      <c r="F29" s="21">
        <f>IFERROR(INDEX(Laptop_Data!$P$2:$P$1299,MATCH(LARGE(Laptop_Data!$AQ$2:$AQ$1299,13),Laptop_Data!$AQ$2:$AQ$1299,0)),"")</f>
        <v>2.33</v>
      </c>
      <c r="G29" s="22">
        <f>IFERROR(INDEX(Laptop_Data!$AP$2:$AP$1299,MATCH(LARGE(Laptop_Data!$AQ$2:$AQ$1299,13),Laptop_Data!$AQ$2:$AQ$1299,0)),"")</f>
        <v>0.74950257194175929</v>
      </c>
    </row>
    <row r="30" spans="1:7">
      <c r="A30" s="15">
        <v>14</v>
      </c>
      <c r="B30" s="17" t="str">
        <f>IFERROR(INDEX(Laptop_Data!$C$2:$C$1299,MATCH(LARGE(Laptop_Data!$AQ$2:$AQ$1299,14),Laptop_Data!$AQ$2:$AQ$1299,0)),"")</f>
        <v>Dell Inspiron 5567 (Notebook)</v>
      </c>
      <c r="C30" s="19">
        <f>IFERROR(INDEX(Laptop_Data!$H$2:$H$1299,MATCH(LARGE(Laptop_Data!$AQ$2:$AQ$1299,14),Laptop_Data!$AQ$2:$AQ$1299,0)),"")</f>
        <v>24273000</v>
      </c>
      <c r="D30" s="20">
        <f>IFERROR(INDEX(Laptop_Data!$I$2:$I$1299,MATCH(LARGE(Laptop_Data!$AQ$2:$AQ$1299,14),Laptop_Data!$AQ$2:$AQ$1299,0)),"")</f>
        <v>256</v>
      </c>
      <c r="E30" s="20">
        <f>IFERROR(INDEX(Laptop_Data!$K$2:$K$1299,MATCH(LARGE(Laptop_Data!$AQ$2:$AQ$1299,14),Laptop_Data!$AQ$2:$AQ$1299,0)),"")</f>
        <v>8</v>
      </c>
      <c r="F30" s="21">
        <f>IFERROR(INDEX(Laptop_Data!$P$2:$P$1299,MATCH(LARGE(Laptop_Data!$AQ$2:$AQ$1299,14),Laptop_Data!$AQ$2:$AQ$1299,0)),"")</f>
        <v>2.33</v>
      </c>
      <c r="G30" s="22">
        <f>IFERROR(INDEX(Laptop_Data!$AP$2:$AP$1299,MATCH(LARGE(Laptop_Data!$AQ$2:$AQ$1299,14),Laptop_Data!$AQ$2:$AQ$1299,0)),"")</f>
        <v>0.74950257194175929</v>
      </c>
    </row>
    <row r="31" spans="1:7">
      <c r="A31" s="15">
        <v>15</v>
      </c>
      <c r="B31" s="17" t="str">
        <f>IFERROR(INDEX(Laptop_Data!$C$2:$C$1299,MATCH(LARGE(Laptop_Data!$AQ$2:$AQ$1299,15),Laptop_Data!$AQ$2:$AQ$1299,0)),"")</f>
        <v>HP Pavilion 15-CK000nv (Ultrabook)</v>
      </c>
      <c r="C31" s="19">
        <f>IFERROR(INDEX(Laptop_Data!$H$2:$H$1299,MATCH(LARGE(Laptop_Data!$AQ$2:$AQ$1299,15),Laptop_Data!$AQ$2:$AQ$1299,0)),"")</f>
        <v>18873000</v>
      </c>
      <c r="D31" s="20">
        <f>IFERROR(INDEX(Laptop_Data!$I$2:$I$1299,MATCH(LARGE(Laptop_Data!$AQ$2:$AQ$1299,15),Laptop_Data!$AQ$2:$AQ$1299,0)),"")</f>
        <v>256</v>
      </c>
      <c r="E31" s="20">
        <f>IFERROR(INDEX(Laptop_Data!$K$2:$K$1299,MATCH(LARGE(Laptop_Data!$AQ$2:$AQ$1299,15),Laptop_Data!$AQ$2:$AQ$1299,0)),"")</f>
        <v>8</v>
      </c>
      <c r="F31" s="21">
        <f>IFERROR(INDEX(Laptop_Data!$P$2:$P$1299,MATCH(LARGE(Laptop_Data!$AQ$2:$AQ$1299,15),Laptop_Data!$AQ$2:$AQ$1299,0)),"")</f>
        <v>1.83</v>
      </c>
      <c r="G31" s="22">
        <f>IFERROR(INDEX(Laptop_Data!$AP$2:$AP$1299,MATCH(LARGE(Laptop_Data!$AQ$2:$AQ$1299,15),Laptop_Data!$AQ$2:$AQ$1299,0)),"")</f>
        <v>0.732813194124595</v>
      </c>
    </row>
    <row r="32" spans="1:7">
      <c r="A32" s="15">
        <v>16</v>
      </c>
      <c r="B32" s="17" t="str">
        <f>IFERROR(INDEX(Laptop_Data!$C$2:$C$1299,MATCH(LARGE(Laptop_Data!$AQ$2:$AQ$1299,16),Laptop_Data!$AQ$2:$AQ$1299,0)),"")</f>
        <v>HP 250 G6 (Ultrabook)</v>
      </c>
      <c r="C32" s="19">
        <f>IFERROR(INDEX(Laptop_Data!$H$2:$H$1299,MATCH(LARGE(Laptop_Data!$AQ$2:$AQ$1299,16),Laptop_Data!$AQ$2:$AQ$1299,0)),"")</f>
        <v>20304000</v>
      </c>
      <c r="D32" s="20">
        <f>IFERROR(INDEX(Laptop_Data!$I$2:$I$1299,MATCH(LARGE(Laptop_Data!$AQ$2:$AQ$1299,16),Laptop_Data!$AQ$2:$AQ$1299,0)),"")</f>
        <v>256</v>
      </c>
      <c r="E32" s="20">
        <f>IFERROR(INDEX(Laptop_Data!$K$2:$K$1299,MATCH(LARGE(Laptop_Data!$AQ$2:$AQ$1299,16),Laptop_Data!$AQ$2:$AQ$1299,0)),"")</f>
        <v>8</v>
      </c>
      <c r="F32" s="21">
        <f>IFERROR(INDEX(Laptop_Data!$P$2:$P$1299,MATCH(LARGE(Laptop_Data!$AQ$2:$AQ$1299,16),Laptop_Data!$AQ$2:$AQ$1299,0)),"")</f>
        <v>1.84</v>
      </c>
      <c r="G32" s="22">
        <f>IFERROR(INDEX(Laptop_Data!$AP$2:$AP$1299,MATCH(LARGE(Laptop_Data!$AQ$2:$AQ$1299,16),Laptop_Data!$AQ$2:$AQ$1299,0)),"")</f>
        <v>0.72897530367735075</v>
      </c>
    </row>
    <row r="33" spans="1:7">
      <c r="A33" s="15">
        <v>17</v>
      </c>
      <c r="B33" s="17" t="str">
        <f>IFERROR(INDEX(Laptop_Data!$C$2:$C$1299,MATCH(LARGE(Laptop_Data!$AQ$2:$AQ$1299,17),Laptop_Data!$AQ$2:$AQ$1299,0)),"")</f>
        <v>Acer Aspire R7 (2 in 1 Convertible)</v>
      </c>
      <c r="C33" s="19">
        <f>IFERROR(INDEX(Laptop_Data!$H$2:$H$1299,MATCH(LARGE(Laptop_Data!$AQ$2:$AQ$1299,17),Laptop_Data!$AQ$2:$AQ$1299,0)),"")</f>
        <v>21303270</v>
      </c>
      <c r="D33" s="20">
        <f>IFERROR(INDEX(Laptop_Data!$I$2:$I$1299,MATCH(LARGE(Laptop_Data!$AQ$2:$AQ$1299,17),Laptop_Data!$AQ$2:$AQ$1299,0)),"")</f>
        <v>256</v>
      </c>
      <c r="E33" s="20">
        <f>IFERROR(INDEX(Laptop_Data!$K$2:$K$1299,MATCH(LARGE(Laptop_Data!$AQ$2:$AQ$1299,17),Laptop_Data!$AQ$2:$AQ$1299,0)),"")</f>
        <v>8</v>
      </c>
      <c r="F33" s="21">
        <f>IFERROR(INDEX(Laptop_Data!$P$2:$P$1299,MATCH(LARGE(Laptop_Data!$AQ$2:$AQ$1299,17),Laptop_Data!$AQ$2:$AQ$1299,0)),"")</f>
        <v>1.6</v>
      </c>
      <c r="G33" s="22">
        <f>IFERROR(INDEX(Laptop_Data!$AP$2:$AP$1299,MATCH(LARGE(Laptop_Data!$AQ$2:$AQ$1299,17),Laptop_Data!$AQ$2:$AQ$1299,0)),"")</f>
        <v>0.72782220021956578</v>
      </c>
    </row>
    <row r="34" spans="1:7">
      <c r="A34" s="15">
        <v>18</v>
      </c>
      <c r="B34" s="17" t="str">
        <f>IFERROR(INDEX(Laptop_Data!$C$2:$C$1299,MATCH(LARGE(Laptop_Data!$AQ$2:$AQ$1299,18),Laptop_Data!$AQ$2:$AQ$1299,0)),"")</f>
        <v>Lenovo IdeaPad 310-15IKB (Ultrabook)</v>
      </c>
      <c r="C34" s="19">
        <f>IFERROR(INDEX(Laptop_Data!$H$2:$H$1299,MATCH(LARGE(Laptop_Data!$AQ$2:$AQ$1299,18),Laptop_Data!$AQ$2:$AQ$1299,0)),"")</f>
        <v>22437000</v>
      </c>
      <c r="D34" s="20">
        <f>IFERROR(INDEX(Laptop_Data!$I$2:$I$1299,MATCH(LARGE(Laptop_Data!$AQ$2:$AQ$1299,18),Laptop_Data!$AQ$2:$AQ$1299,0)),"")</f>
        <v>256</v>
      </c>
      <c r="E34" s="20">
        <f>IFERROR(INDEX(Laptop_Data!$K$2:$K$1299,MATCH(LARGE(Laptop_Data!$AQ$2:$AQ$1299,18),Laptop_Data!$AQ$2:$AQ$1299,0)),"")</f>
        <v>6</v>
      </c>
      <c r="F34" s="21">
        <f>IFERROR(INDEX(Laptop_Data!$P$2:$P$1299,MATCH(LARGE(Laptop_Data!$AQ$2:$AQ$1299,18),Laptop_Data!$AQ$2:$AQ$1299,0)),"")</f>
        <v>1.54</v>
      </c>
      <c r="G34" s="22">
        <f>IFERROR(INDEX(Laptop_Data!$AP$2:$AP$1299,MATCH(LARGE(Laptop_Data!$AQ$2:$AQ$1299,18),Laptop_Data!$AQ$2:$AQ$1299,0)),"")</f>
        <v>0.72657470887389708</v>
      </c>
    </row>
    <row r="35" spans="1:7">
      <c r="A35" s="15">
        <v>19</v>
      </c>
      <c r="B35" s="17" t="str">
        <f>IFERROR(INDEX(Laptop_Data!$C$2:$C$1299,MATCH(LARGE(Laptop_Data!$AQ$2:$AQ$1299,19),Laptop_Data!$AQ$2:$AQ$1299,0)),"")</f>
        <v>Dell Inspiron 5368 (2 in 1 Convertible)</v>
      </c>
      <c r="C35" s="19">
        <f>IFERROR(INDEX(Laptop_Data!$H$2:$H$1299,MATCH(LARGE(Laptop_Data!$AQ$2:$AQ$1299,19),Laptop_Data!$AQ$2:$AQ$1299,0)),"")</f>
        <v>21546270</v>
      </c>
      <c r="D35" s="20">
        <f>IFERROR(INDEX(Laptop_Data!$I$2:$I$1299,MATCH(LARGE(Laptop_Data!$AQ$2:$AQ$1299,19),Laptop_Data!$AQ$2:$AQ$1299,0)),"")</f>
        <v>256</v>
      </c>
      <c r="E35" s="20">
        <f>IFERROR(INDEX(Laptop_Data!$K$2:$K$1299,MATCH(LARGE(Laptop_Data!$AQ$2:$AQ$1299,19),Laptop_Data!$AQ$2:$AQ$1299,0)),"")</f>
        <v>8</v>
      </c>
      <c r="F35" s="21">
        <f>IFERROR(INDEX(Laptop_Data!$P$2:$P$1299,MATCH(LARGE(Laptop_Data!$AQ$2:$AQ$1299,19),Laptop_Data!$AQ$2:$AQ$1299,0)),"")</f>
        <v>1.62</v>
      </c>
      <c r="G35" s="22">
        <f>IFERROR(INDEX(Laptop_Data!$AP$2:$AP$1299,MATCH(LARGE(Laptop_Data!$AQ$2:$AQ$1299,19),Laptop_Data!$AQ$2:$AQ$1299,0)),"")</f>
        <v>0.72368610520862153</v>
      </c>
    </row>
    <row r="36" spans="1:7">
      <c r="A36" s="15">
        <v>20</v>
      </c>
      <c r="B36" s="17" t="str">
        <f>IFERROR(INDEX(Laptop_Data!$C$2:$C$1299,MATCH(LARGE(Laptop_Data!$AQ$2:$AQ$1299,20),Laptop_Data!$AQ$2:$AQ$1299,0)),"")</f>
        <v>HP 250 G5 (Notebook)</v>
      </c>
      <c r="C36" s="19">
        <f>IFERROR(INDEX(Laptop_Data!$H$2:$H$1299,MATCH(LARGE(Laptop_Data!$AQ$2:$AQ$1299,20),Laptop_Data!$AQ$2:$AQ$1299,0)),"")</f>
        <v>18333000</v>
      </c>
      <c r="D36" s="20">
        <f>IFERROR(INDEX(Laptop_Data!$I$2:$I$1299,MATCH(LARGE(Laptop_Data!$AQ$2:$AQ$1299,20),Laptop_Data!$AQ$2:$AQ$1299,0)),"")</f>
        <v>256</v>
      </c>
      <c r="E36" s="20">
        <f>IFERROR(INDEX(Laptop_Data!$K$2:$K$1299,MATCH(LARGE(Laptop_Data!$AQ$2:$AQ$1299,20),Laptop_Data!$AQ$2:$AQ$1299,0)),"")</f>
        <v>8</v>
      </c>
      <c r="F36" s="21">
        <f>IFERROR(INDEX(Laptop_Data!$P$2:$P$1299,MATCH(LARGE(Laptop_Data!$AQ$2:$AQ$1299,20),Laptop_Data!$AQ$2:$AQ$1299,0)),"")</f>
        <v>1.96</v>
      </c>
      <c r="G36" s="22">
        <f>IFERROR(INDEX(Laptop_Data!$AP$2:$AP$1299,MATCH(LARGE(Laptop_Data!$AQ$2:$AQ$1299,20),Laptop_Data!$AQ$2:$AQ$1299,0)),"")</f>
        <v>0.71830387676928564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24</vt:i4>
      </vt:variant>
    </vt:vector>
  </HeadingPairs>
  <TitlesOfParts>
    <vt:vector size="31" baseType="lpstr">
      <vt:lpstr>README</vt:lpstr>
      <vt:lpstr>Lists</vt:lpstr>
      <vt:lpstr>Filters</vt:lpstr>
      <vt:lpstr>Laptop_Data</vt:lpstr>
      <vt:lpstr>AHP_Setup</vt:lpstr>
      <vt:lpstr>AI_Suggestions</vt:lpstr>
      <vt:lpstr>Ranking</vt:lpstr>
      <vt:lpstr>BATTERY_MAX</vt:lpstr>
      <vt:lpstr>BATTERY_MIN</vt:lpstr>
      <vt:lpstr>CPU_MAX</vt:lpstr>
      <vt:lpstr>CPU_MIN</vt:lpstr>
      <vt:lpstr>DURABILITY_MAX</vt:lpstr>
      <vt:lpstr>DURABILITY_MIN</vt:lpstr>
      <vt:lpstr>GPU_MAX</vt:lpstr>
      <vt:lpstr>GPU_MIN</vt:lpstr>
      <vt:lpstr>RAM_MAX</vt:lpstr>
      <vt:lpstr>RAM_MIN</vt:lpstr>
      <vt:lpstr>SCREEN_MAX</vt:lpstr>
      <vt:lpstr>SCREEN_MIN</vt:lpstr>
      <vt:lpstr>UPGRADE_MAX</vt:lpstr>
      <vt:lpstr>UPGRADE_MIN</vt:lpstr>
      <vt:lpstr>W_BATTERY</vt:lpstr>
      <vt:lpstr>W_CPU</vt:lpstr>
      <vt:lpstr>W_DURABILITY</vt:lpstr>
      <vt:lpstr>W_GPU</vt:lpstr>
      <vt:lpstr>W_RAM</vt:lpstr>
      <vt:lpstr>W_SCREEN</vt:lpstr>
      <vt:lpstr>W_UPGRADE</vt:lpstr>
      <vt:lpstr>W_WEIGHT</vt:lpstr>
      <vt:lpstr>WEIGHT_MAX</vt:lpstr>
      <vt:lpstr>WEIGHT_MIN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Bảo Phạm Gia</cp:lastModifiedBy>
  <dcterms:created xsi:type="dcterms:W3CDTF">2026-02-05T03:58:14Z</dcterms:created>
  <dcterms:modified xsi:type="dcterms:W3CDTF">2026-03-03T13:58:36Z</dcterms:modified>
</cp:coreProperties>
</file>